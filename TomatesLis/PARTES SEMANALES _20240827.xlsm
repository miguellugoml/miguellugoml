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18" documentId="14_{D34AE30D-C3CE-4655-B19E-FB4F6B71C11D}" xr6:coauthVersionLast="47" xr6:coauthVersionMax="47" xr10:uidLastSave="{658485F8-09CE-4CE2-ABA6-F3E97D1F0B4E}"/>
  <bookViews>
    <workbookView xWindow="-120" yWindow="-120" windowWidth="24240" windowHeight="13020" tabRatio="769" xr2:uid="{FB7D1B7B-0160-4AC8-B207-E1A9D5F2893C}"/>
  </bookViews>
  <sheets>
    <sheet name="AGOSTO" sheetId="1" r:id="rId1"/>
    <sheet name="SEPTIEMBRE" sheetId="6" r:id="rId2"/>
    <sheet name="JORNADAS" sheetId="2" r:id="rId3"/>
    <sheet name="SEMANA_AGO_1" sheetId="8" r:id="rId4"/>
    <sheet name="SEMANA_AGO_2" sheetId="3" r:id="rId5"/>
    <sheet name="SEMANA_AGO_3" sheetId="4" r:id="rId6"/>
    <sheet name="SEMANA_AGO_4" sheetId="5" r:id="rId7"/>
    <sheet name="SEMANA_SEP_2" sheetId="7" r:id="rId8"/>
  </sheets>
  <functionGroups builtInGroupCount="19"/>
  <definedNames>
    <definedName name="_xlnm._FilterDatabase" localSheetId="0" hidden="1">AGOSTO!$C$65:$AB$65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5" i="7" l="1"/>
  <c r="AF4" i="7"/>
  <c r="AF8" i="7"/>
  <c r="AF7" i="7"/>
  <c r="AF11" i="7"/>
  <c r="AF10" i="7"/>
  <c r="AF14" i="7"/>
  <c r="AF13" i="7"/>
  <c r="AF17" i="7"/>
  <c r="AF16" i="7"/>
  <c r="AF20" i="7"/>
  <c r="AF19" i="7"/>
  <c r="AF23" i="7"/>
  <c r="AF22" i="7"/>
  <c r="AF26" i="7"/>
  <c r="AF25" i="7"/>
  <c r="AF29" i="7"/>
  <c r="AF28" i="7"/>
  <c r="AF32" i="7"/>
  <c r="AF31" i="7"/>
  <c r="AF35" i="7"/>
  <c r="AF34" i="7"/>
  <c r="AF38" i="7"/>
  <c r="AF37" i="7"/>
  <c r="AF41" i="7"/>
  <c r="AF40" i="7"/>
  <c r="AF44" i="7"/>
  <c r="AF43" i="7"/>
  <c r="AF47" i="7"/>
  <c r="AF46" i="7"/>
  <c r="AF50" i="7"/>
  <c r="AF49" i="7"/>
  <c r="AF53" i="7"/>
  <c r="AF52" i="7"/>
  <c r="AF56" i="7"/>
  <c r="AF55" i="7"/>
  <c r="AF59" i="7"/>
  <c r="AF58" i="7"/>
  <c r="AF62" i="7"/>
  <c r="AF61" i="7"/>
  <c r="AF65" i="7"/>
  <c r="AF64" i="7"/>
  <c r="AF74" i="7"/>
  <c r="AF73" i="7"/>
  <c r="AF71" i="7"/>
  <c r="AF70" i="7"/>
  <c r="AF68" i="7"/>
  <c r="AF67" i="7"/>
  <c r="AF101" i="3"/>
  <c r="AF100" i="3"/>
  <c r="AF98" i="3"/>
  <c r="AF97" i="3"/>
  <c r="AF92" i="3"/>
  <c r="AF91" i="3"/>
  <c r="AF89" i="3"/>
  <c r="AF88" i="3"/>
  <c r="AF86" i="3"/>
  <c r="AF85" i="3"/>
  <c r="AF47" i="3"/>
  <c r="AF46" i="3"/>
  <c r="AF44" i="3"/>
  <c r="AF43" i="3"/>
  <c r="AF41" i="3"/>
  <c r="AF40" i="3"/>
  <c r="AF38" i="3"/>
  <c r="AF37" i="3"/>
  <c r="AF35" i="3"/>
  <c r="AF34" i="3"/>
  <c r="AF32" i="3"/>
  <c r="AF31" i="3"/>
  <c r="AF29" i="3"/>
  <c r="AF28" i="3"/>
  <c r="AF26" i="3"/>
  <c r="AF25" i="3"/>
  <c r="AF23" i="3"/>
  <c r="AF22" i="3"/>
  <c r="AF20" i="3"/>
  <c r="AF19" i="3"/>
  <c r="AF17" i="3"/>
  <c r="AF16" i="3"/>
  <c r="AF14" i="3"/>
  <c r="AF13" i="3"/>
  <c r="AF11" i="3"/>
  <c r="AF10" i="3"/>
  <c r="AF8" i="3"/>
  <c r="AF7" i="3"/>
  <c r="AF105" i="3"/>
  <c r="AF80" i="3"/>
  <c r="AF114" i="3"/>
  <c r="AF113" i="3"/>
  <c r="AF111" i="3"/>
  <c r="AF110" i="3"/>
  <c r="AF108" i="3"/>
  <c r="AF107" i="3"/>
  <c r="AF104" i="3"/>
  <c r="AF103" i="3"/>
  <c r="AF95" i="3"/>
  <c r="AF94" i="3"/>
  <c r="AF83" i="3"/>
  <c r="AF82" i="3"/>
  <c r="AF79" i="3"/>
  <c r="AF77" i="3"/>
  <c r="AF76" i="3"/>
  <c r="H143" i="6"/>
  <c r="G143" i="6"/>
  <c r="F143" i="6"/>
  <c r="E143" i="6"/>
  <c r="D143" i="6"/>
  <c r="C143" i="6"/>
  <c r="H142" i="6"/>
  <c r="G142" i="6"/>
  <c r="F142" i="6"/>
  <c r="E142" i="6"/>
  <c r="D142" i="6"/>
  <c r="C142" i="6"/>
  <c r="H141" i="6"/>
  <c r="G141" i="6"/>
  <c r="F141" i="6"/>
  <c r="E141" i="6"/>
  <c r="D141" i="6"/>
  <c r="C141" i="6"/>
  <c r="H140" i="6"/>
  <c r="H145" i="6" s="1"/>
  <c r="G140" i="6"/>
  <c r="G144" i="6" s="1"/>
  <c r="F140" i="6"/>
  <c r="F144" i="6" s="1"/>
  <c r="E140" i="6"/>
  <c r="E144" i="6" s="1"/>
  <c r="D140" i="6"/>
  <c r="D144" i="6" s="1"/>
  <c r="C140" i="6"/>
  <c r="C144" i="6" s="1"/>
  <c r="AE112" i="8"/>
  <c r="AE109" i="8"/>
  <c r="AE106" i="8"/>
  <c r="AE103" i="8"/>
  <c r="AF100" i="8"/>
  <c r="AF97" i="8"/>
  <c r="AF94" i="8"/>
  <c r="AF91" i="8"/>
  <c r="AF88" i="8"/>
  <c r="AF85" i="8"/>
  <c r="AF82" i="8"/>
  <c r="AF81" i="8"/>
  <c r="AF80" i="8"/>
  <c r="AF79" i="8"/>
  <c r="AF76" i="8"/>
  <c r="AF74" i="8"/>
  <c r="AF73" i="8"/>
  <c r="AF71" i="8"/>
  <c r="AF70" i="8"/>
  <c r="AF68" i="8"/>
  <c r="AF67" i="8"/>
  <c r="AF65" i="8"/>
  <c r="AF64" i="8"/>
  <c r="AF62" i="8"/>
  <c r="AF61" i="8"/>
  <c r="AF59" i="8"/>
  <c r="AF58" i="8"/>
  <c r="AF56" i="8"/>
  <c r="AF55" i="8"/>
  <c r="AF53" i="8"/>
  <c r="AF52" i="8"/>
  <c r="AF50" i="8"/>
  <c r="AF49" i="8"/>
  <c r="AF47" i="8"/>
  <c r="AF46" i="8"/>
  <c r="AF44" i="8"/>
  <c r="AF43" i="8"/>
  <c r="AF41" i="8"/>
  <c r="AF40" i="8"/>
  <c r="AF38" i="8"/>
  <c r="AF37" i="8"/>
  <c r="AF35" i="8"/>
  <c r="AF34" i="8"/>
  <c r="AF32" i="8"/>
  <c r="AF31" i="8"/>
  <c r="AF28" i="8"/>
  <c r="AF25" i="8"/>
  <c r="AF23" i="8"/>
  <c r="AF22" i="8"/>
  <c r="AF19" i="8"/>
  <c r="AF16" i="8"/>
  <c r="AF13" i="8"/>
  <c r="AF11" i="8"/>
  <c r="AF10" i="8"/>
  <c r="AF7" i="8"/>
  <c r="AF5" i="8"/>
  <c r="AF4" i="8"/>
  <c r="AJ2" i="8" a="1"/>
  <c r="AJ2" i="3" a="1"/>
  <c r="AJ2" i="4" a="1"/>
  <c r="AJ2" i="7" a="1"/>
  <c r="AJ2" i="5" a="1"/>
  <c r="AJ2" i="8" l="1"/>
  <c r="AJ2" i="3"/>
  <c r="AJ2" i="4"/>
  <c r="AJ2" i="7"/>
  <c r="AJ2" i="5"/>
  <c r="A137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V132" i="6"/>
  <c r="T132" i="6"/>
  <c r="W132" i="6" s="1"/>
  <c r="S132" i="6"/>
  <c r="R132" i="6"/>
  <c r="U132" i="6" s="1"/>
  <c r="X132" i="6" s="1"/>
  <c r="U131" i="6"/>
  <c r="X131" i="6" s="1"/>
  <c r="T131" i="6"/>
  <c r="W131" i="6" s="1"/>
  <c r="S131" i="6"/>
  <c r="V131" i="6" s="1"/>
  <c r="R131" i="6"/>
  <c r="T130" i="6"/>
  <c r="W130" i="6" s="1"/>
  <c r="S130" i="6"/>
  <c r="V130" i="6" s="1"/>
  <c r="R130" i="6"/>
  <c r="U130" i="6" s="1"/>
  <c r="X130" i="6" s="1"/>
  <c r="T129" i="6"/>
  <c r="W129" i="6" s="1"/>
  <c r="S129" i="6"/>
  <c r="V129" i="6" s="1"/>
  <c r="R129" i="6"/>
  <c r="U129" i="6" s="1"/>
  <c r="W128" i="6"/>
  <c r="T128" i="6"/>
  <c r="S128" i="6"/>
  <c r="V128" i="6" s="1"/>
  <c r="R128" i="6"/>
  <c r="U128" i="6" s="1"/>
  <c r="X128" i="6" s="1"/>
  <c r="W127" i="6"/>
  <c r="V127" i="6"/>
  <c r="T127" i="6"/>
  <c r="S127" i="6"/>
  <c r="R127" i="6"/>
  <c r="U127" i="6" s="1"/>
  <c r="X127" i="6" s="1"/>
  <c r="X126" i="6"/>
  <c r="W126" i="6"/>
  <c r="V126" i="6"/>
  <c r="U126" i="6"/>
  <c r="T126" i="6"/>
  <c r="S126" i="6"/>
  <c r="R126" i="6"/>
  <c r="W125" i="6"/>
  <c r="V125" i="6"/>
  <c r="U125" i="6"/>
  <c r="T125" i="6"/>
  <c r="S125" i="6"/>
  <c r="R125" i="6"/>
  <c r="V124" i="6"/>
  <c r="U124" i="6"/>
  <c r="T124" i="6"/>
  <c r="W124" i="6" s="1"/>
  <c r="S124" i="6"/>
  <c r="R124" i="6"/>
  <c r="U123" i="6"/>
  <c r="T123" i="6"/>
  <c r="W123" i="6" s="1"/>
  <c r="S123" i="6"/>
  <c r="V123" i="6" s="1"/>
  <c r="R123" i="6"/>
  <c r="T122" i="6"/>
  <c r="W122" i="6" s="1"/>
  <c r="S122" i="6"/>
  <c r="V122" i="6" s="1"/>
  <c r="R122" i="6"/>
  <c r="U122" i="6" s="1"/>
  <c r="X122" i="6" s="1"/>
  <c r="T121" i="6"/>
  <c r="W121" i="6" s="1"/>
  <c r="S121" i="6"/>
  <c r="V121" i="6" s="1"/>
  <c r="R121" i="6"/>
  <c r="U121" i="6" s="1"/>
  <c r="X121" i="6" s="1"/>
  <c r="W120" i="6"/>
  <c r="T120" i="6"/>
  <c r="S120" i="6"/>
  <c r="V120" i="6" s="1"/>
  <c r="R120" i="6"/>
  <c r="U120" i="6" s="1"/>
  <c r="X120" i="6" s="1"/>
  <c r="W119" i="6"/>
  <c r="V119" i="6"/>
  <c r="T119" i="6"/>
  <c r="S119" i="6"/>
  <c r="R119" i="6"/>
  <c r="U119" i="6" s="1"/>
  <c r="X119" i="6" s="1"/>
  <c r="X118" i="6"/>
  <c r="W118" i="6"/>
  <c r="V118" i="6"/>
  <c r="U118" i="6"/>
  <c r="T118" i="6"/>
  <c r="S118" i="6"/>
  <c r="R118" i="6"/>
  <c r="W117" i="6"/>
  <c r="V117" i="6"/>
  <c r="U117" i="6"/>
  <c r="X117" i="6" s="1"/>
  <c r="T117" i="6"/>
  <c r="S117" i="6"/>
  <c r="R117" i="6"/>
  <c r="V116" i="6"/>
  <c r="U116" i="6"/>
  <c r="X116" i="6" s="1"/>
  <c r="T116" i="6"/>
  <c r="W116" i="6" s="1"/>
  <c r="S116" i="6"/>
  <c r="R116" i="6"/>
  <c r="U115" i="6"/>
  <c r="T115" i="6"/>
  <c r="W115" i="6" s="1"/>
  <c r="S115" i="6"/>
  <c r="V115" i="6" s="1"/>
  <c r="R115" i="6"/>
  <c r="T114" i="6"/>
  <c r="W114" i="6" s="1"/>
  <c r="S114" i="6"/>
  <c r="V114" i="6" s="1"/>
  <c r="R114" i="6"/>
  <c r="U114" i="6" s="1"/>
  <c r="X114" i="6" s="1"/>
  <c r="T113" i="6"/>
  <c r="W113" i="6" s="1"/>
  <c r="S113" i="6"/>
  <c r="V113" i="6" s="1"/>
  <c r="R113" i="6"/>
  <c r="U113" i="6" s="1"/>
  <c r="X113" i="6" s="1"/>
  <c r="W112" i="6"/>
  <c r="T112" i="6"/>
  <c r="S112" i="6"/>
  <c r="V112" i="6" s="1"/>
  <c r="R112" i="6"/>
  <c r="U112" i="6" s="1"/>
  <c r="W111" i="6"/>
  <c r="V111" i="6"/>
  <c r="T111" i="6"/>
  <c r="S111" i="6"/>
  <c r="R111" i="6"/>
  <c r="U111" i="6" s="1"/>
  <c r="X111" i="6" s="1"/>
  <c r="X110" i="6"/>
  <c r="W110" i="6"/>
  <c r="V110" i="6"/>
  <c r="U110" i="6"/>
  <c r="T110" i="6"/>
  <c r="S110" i="6"/>
  <c r="R110" i="6"/>
  <c r="W109" i="6"/>
  <c r="V109" i="6"/>
  <c r="U109" i="6"/>
  <c r="X109" i="6" s="1"/>
  <c r="T109" i="6"/>
  <c r="S109" i="6"/>
  <c r="R109" i="6"/>
  <c r="V108" i="6"/>
  <c r="U108" i="6"/>
  <c r="X108" i="6" s="1"/>
  <c r="T108" i="6"/>
  <c r="W108" i="6" s="1"/>
  <c r="S108" i="6"/>
  <c r="R108" i="6"/>
  <c r="U107" i="6"/>
  <c r="T107" i="6"/>
  <c r="W107" i="6" s="1"/>
  <c r="S107" i="6"/>
  <c r="V107" i="6" s="1"/>
  <c r="R107" i="6"/>
  <c r="T106" i="6"/>
  <c r="W106" i="6" s="1"/>
  <c r="S106" i="6"/>
  <c r="V106" i="6" s="1"/>
  <c r="R106" i="6"/>
  <c r="U106" i="6" s="1"/>
  <c r="T105" i="6"/>
  <c r="W105" i="6" s="1"/>
  <c r="S105" i="6"/>
  <c r="V105" i="6" s="1"/>
  <c r="R105" i="6"/>
  <c r="U105" i="6" s="1"/>
  <c r="X105" i="6" s="1"/>
  <c r="W104" i="6"/>
  <c r="T104" i="6"/>
  <c r="S104" i="6"/>
  <c r="V104" i="6" s="1"/>
  <c r="R104" i="6"/>
  <c r="U104" i="6" s="1"/>
  <c r="W103" i="6"/>
  <c r="V103" i="6"/>
  <c r="T103" i="6"/>
  <c r="S103" i="6"/>
  <c r="R103" i="6"/>
  <c r="U103" i="6" s="1"/>
  <c r="X103" i="6" s="1"/>
  <c r="X102" i="6"/>
  <c r="W102" i="6"/>
  <c r="W133" i="6" s="1"/>
  <c r="V102" i="6"/>
  <c r="U102" i="6"/>
  <c r="T102" i="6"/>
  <c r="S102" i="6"/>
  <c r="R102" i="6"/>
  <c r="R133" i="6" s="1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T96" i="6"/>
  <c r="W96" i="6" s="1"/>
  <c r="S96" i="6"/>
  <c r="V96" i="6" s="1"/>
  <c r="R96" i="6"/>
  <c r="U96" i="6" s="1"/>
  <c r="T95" i="6"/>
  <c r="W95" i="6" s="1"/>
  <c r="S95" i="6"/>
  <c r="V95" i="6" s="1"/>
  <c r="R95" i="6"/>
  <c r="U95" i="6" s="1"/>
  <c r="T94" i="6"/>
  <c r="W94" i="6" s="1"/>
  <c r="S94" i="6"/>
  <c r="V94" i="6" s="1"/>
  <c r="R94" i="6"/>
  <c r="U94" i="6" s="1"/>
  <c r="T93" i="6"/>
  <c r="W93" i="6" s="1"/>
  <c r="S93" i="6"/>
  <c r="V93" i="6" s="1"/>
  <c r="R93" i="6"/>
  <c r="U93" i="6" s="1"/>
  <c r="T92" i="6"/>
  <c r="W92" i="6" s="1"/>
  <c r="S92" i="6"/>
  <c r="V92" i="6" s="1"/>
  <c r="R92" i="6"/>
  <c r="U92" i="6" s="1"/>
  <c r="T91" i="6"/>
  <c r="W91" i="6" s="1"/>
  <c r="S91" i="6"/>
  <c r="V91" i="6" s="1"/>
  <c r="R91" i="6"/>
  <c r="U91" i="6" s="1"/>
  <c r="T90" i="6"/>
  <c r="W90" i="6" s="1"/>
  <c r="S90" i="6"/>
  <c r="V90" i="6" s="1"/>
  <c r="R90" i="6"/>
  <c r="U90" i="6" s="1"/>
  <c r="T89" i="6"/>
  <c r="W89" i="6" s="1"/>
  <c r="S89" i="6"/>
  <c r="V89" i="6" s="1"/>
  <c r="R89" i="6"/>
  <c r="U89" i="6" s="1"/>
  <c r="T88" i="6"/>
  <c r="W88" i="6" s="1"/>
  <c r="S88" i="6"/>
  <c r="V88" i="6" s="1"/>
  <c r="R88" i="6"/>
  <c r="U88" i="6" s="1"/>
  <c r="T87" i="6"/>
  <c r="W87" i="6" s="1"/>
  <c r="S87" i="6"/>
  <c r="V87" i="6" s="1"/>
  <c r="R87" i="6"/>
  <c r="U87" i="6" s="1"/>
  <c r="T86" i="6"/>
  <c r="W86" i="6" s="1"/>
  <c r="S86" i="6"/>
  <c r="V86" i="6" s="1"/>
  <c r="R86" i="6"/>
  <c r="U86" i="6" s="1"/>
  <c r="T85" i="6"/>
  <c r="W85" i="6" s="1"/>
  <c r="S85" i="6"/>
  <c r="V85" i="6" s="1"/>
  <c r="R85" i="6"/>
  <c r="U85" i="6" s="1"/>
  <c r="W84" i="6"/>
  <c r="T84" i="6"/>
  <c r="S84" i="6"/>
  <c r="V84" i="6" s="1"/>
  <c r="R84" i="6"/>
  <c r="U84" i="6" s="1"/>
  <c r="V83" i="6"/>
  <c r="T83" i="6"/>
  <c r="W83" i="6" s="1"/>
  <c r="S83" i="6"/>
  <c r="R83" i="6"/>
  <c r="U83" i="6" s="1"/>
  <c r="T82" i="6"/>
  <c r="W82" i="6" s="1"/>
  <c r="S82" i="6"/>
  <c r="V82" i="6" s="1"/>
  <c r="R82" i="6"/>
  <c r="U82" i="6" s="1"/>
  <c r="T81" i="6"/>
  <c r="W81" i="6" s="1"/>
  <c r="S81" i="6"/>
  <c r="V81" i="6" s="1"/>
  <c r="R81" i="6"/>
  <c r="U81" i="6" s="1"/>
  <c r="T80" i="6"/>
  <c r="W80" i="6" s="1"/>
  <c r="S80" i="6"/>
  <c r="V80" i="6" s="1"/>
  <c r="R80" i="6"/>
  <c r="U80" i="6" s="1"/>
  <c r="T79" i="6"/>
  <c r="W79" i="6" s="1"/>
  <c r="S79" i="6"/>
  <c r="V79" i="6" s="1"/>
  <c r="R79" i="6"/>
  <c r="U79" i="6" s="1"/>
  <c r="T78" i="6"/>
  <c r="W78" i="6" s="1"/>
  <c r="S78" i="6"/>
  <c r="V78" i="6" s="1"/>
  <c r="R78" i="6"/>
  <c r="U78" i="6" s="1"/>
  <c r="T77" i="6"/>
  <c r="W77" i="6" s="1"/>
  <c r="S77" i="6"/>
  <c r="V77" i="6" s="1"/>
  <c r="R77" i="6"/>
  <c r="U77" i="6" s="1"/>
  <c r="T76" i="6"/>
  <c r="W76" i="6" s="1"/>
  <c r="S76" i="6"/>
  <c r="V76" i="6" s="1"/>
  <c r="R76" i="6"/>
  <c r="U76" i="6" s="1"/>
  <c r="T75" i="6"/>
  <c r="W75" i="6" s="1"/>
  <c r="S75" i="6"/>
  <c r="V75" i="6" s="1"/>
  <c r="R75" i="6"/>
  <c r="U75" i="6" s="1"/>
  <c r="T74" i="6"/>
  <c r="W74" i="6" s="1"/>
  <c r="S74" i="6"/>
  <c r="V74" i="6" s="1"/>
  <c r="R74" i="6"/>
  <c r="U74" i="6" s="1"/>
  <c r="T73" i="6"/>
  <c r="W73" i="6" s="1"/>
  <c r="S73" i="6"/>
  <c r="V73" i="6" s="1"/>
  <c r="R73" i="6"/>
  <c r="U73" i="6" s="1"/>
  <c r="T72" i="6"/>
  <c r="W72" i="6" s="1"/>
  <c r="S72" i="6"/>
  <c r="V72" i="6" s="1"/>
  <c r="R72" i="6"/>
  <c r="U72" i="6" s="1"/>
  <c r="T71" i="6"/>
  <c r="W71" i="6" s="1"/>
  <c r="S71" i="6"/>
  <c r="V71" i="6" s="1"/>
  <c r="R71" i="6"/>
  <c r="U71" i="6" s="1"/>
  <c r="T70" i="6"/>
  <c r="W70" i="6" s="1"/>
  <c r="S70" i="6"/>
  <c r="V70" i="6" s="1"/>
  <c r="R70" i="6"/>
  <c r="U70" i="6" s="1"/>
  <c r="T69" i="6"/>
  <c r="W69" i="6" s="1"/>
  <c r="S69" i="6"/>
  <c r="V69" i="6" s="1"/>
  <c r="R69" i="6"/>
  <c r="U69" i="6" s="1"/>
  <c r="T68" i="6"/>
  <c r="W68" i="6" s="1"/>
  <c r="S68" i="6"/>
  <c r="V68" i="6" s="1"/>
  <c r="R68" i="6"/>
  <c r="U68" i="6" s="1"/>
  <c r="T67" i="6"/>
  <c r="W67" i="6" s="1"/>
  <c r="S67" i="6"/>
  <c r="V67" i="6" s="1"/>
  <c r="R67" i="6"/>
  <c r="U67" i="6" s="1"/>
  <c r="T66" i="6"/>
  <c r="W66" i="6" s="1"/>
  <c r="S66" i="6"/>
  <c r="V66" i="6" s="1"/>
  <c r="R66" i="6"/>
  <c r="U66" i="6" s="1"/>
  <c r="N62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W60" i="6"/>
  <c r="U60" i="6"/>
  <c r="T60" i="6"/>
  <c r="S60" i="6"/>
  <c r="V60" i="6" s="1"/>
  <c r="R60" i="6"/>
  <c r="V59" i="6"/>
  <c r="T59" i="6"/>
  <c r="W59" i="6" s="1"/>
  <c r="S59" i="6"/>
  <c r="R59" i="6"/>
  <c r="U59" i="6" s="1"/>
  <c r="Z58" i="6"/>
  <c r="V58" i="6"/>
  <c r="T58" i="6"/>
  <c r="W58" i="6" s="1"/>
  <c r="S58" i="6"/>
  <c r="R58" i="6"/>
  <c r="U58" i="6" s="1"/>
  <c r="W57" i="6"/>
  <c r="U57" i="6"/>
  <c r="T57" i="6"/>
  <c r="S57" i="6"/>
  <c r="V57" i="6" s="1"/>
  <c r="R57" i="6"/>
  <c r="V56" i="6"/>
  <c r="T56" i="6"/>
  <c r="W56" i="6" s="1"/>
  <c r="S56" i="6"/>
  <c r="R56" i="6"/>
  <c r="U56" i="6" s="1"/>
  <c r="X56" i="6" s="1"/>
  <c r="U55" i="6"/>
  <c r="T55" i="6"/>
  <c r="W55" i="6" s="1"/>
  <c r="S55" i="6"/>
  <c r="V55" i="6" s="1"/>
  <c r="X55" i="6" s="1"/>
  <c r="R55" i="6"/>
  <c r="W54" i="6"/>
  <c r="T54" i="6"/>
  <c r="S54" i="6"/>
  <c r="V54" i="6" s="1"/>
  <c r="X54" i="6" s="1"/>
  <c r="R54" i="6"/>
  <c r="U54" i="6" s="1"/>
  <c r="W53" i="6"/>
  <c r="V53" i="6"/>
  <c r="T53" i="6"/>
  <c r="S53" i="6"/>
  <c r="R53" i="6"/>
  <c r="U53" i="6" s="1"/>
  <c r="V52" i="6"/>
  <c r="X52" i="6" s="1"/>
  <c r="U52" i="6"/>
  <c r="T52" i="6"/>
  <c r="W52" i="6" s="1"/>
  <c r="S52" i="6"/>
  <c r="R52" i="6"/>
  <c r="W51" i="6"/>
  <c r="U51" i="6"/>
  <c r="T51" i="6"/>
  <c r="S51" i="6"/>
  <c r="V51" i="6" s="1"/>
  <c r="R51" i="6"/>
  <c r="V50" i="6"/>
  <c r="T50" i="6"/>
  <c r="W50" i="6" s="1"/>
  <c r="S50" i="6"/>
  <c r="R50" i="6"/>
  <c r="U50" i="6" s="1"/>
  <c r="X50" i="6" s="1"/>
  <c r="U49" i="6"/>
  <c r="T49" i="6"/>
  <c r="W49" i="6" s="1"/>
  <c r="S49" i="6"/>
  <c r="V49" i="6" s="1"/>
  <c r="R49" i="6"/>
  <c r="T48" i="6"/>
  <c r="W48" i="6" s="1"/>
  <c r="S48" i="6"/>
  <c r="V48" i="6" s="1"/>
  <c r="R48" i="6"/>
  <c r="U48" i="6" s="1"/>
  <c r="T47" i="6"/>
  <c r="W47" i="6" s="1"/>
  <c r="S47" i="6"/>
  <c r="V47" i="6" s="1"/>
  <c r="R47" i="6"/>
  <c r="U47" i="6" s="1"/>
  <c r="X46" i="6"/>
  <c r="W46" i="6"/>
  <c r="T46" i="6"/>
  <c r="S46" i="6"/>
  <c r="V46" i="6" s="1"/>
  <c r="R46" i="6"/>
  <c r="U46" i="6" s="1"/>
  <c r="W45" i="6"/>
  <c r="V45" i="6"/>
  <c r="T45" i="6"/>
  <c r="S45" i="6"/>
  <c r="R45" i="6"/>
  <c r="U45" i="6" s="1"/>
  <c r="V44" i="6"/>
  <c r="X44" i="6" s="1"/>
  <c r="U44" i="6"/>
  <c r="T44" i="6"/>
  <c r="W44" i="6" s="1"/>
  <c r="S44" i="6"/>
  <c r="R44" i="6"/>
  <c r="W43" i="6"/>
  <c r="U43" i="6"/>
  <c r="T43" i="6"/>
  <c r="S43" i="6"/>
  <c r="V43" i="6" s="1"/>
  <c r="R43" i="6"/>
  <c r="V42" i="6"/>
  <c r="T42" i="6"/>
  <c r="W42" i="6" s="1"/>
  <c r="S42" i="6"/>
  <c r="R42" i="6"/>
  <c r="U42" i="6" s="1"/>
  <c r="X42" i="6" s="1"/>
  <c r="W41" i="6"/>
  <c r="U41" i="6"/>
  <c r="T41" i="6"/>
  <c r="S41" i="6"/>
  <c r="V41" i="6" s="1"/>
  <c r="R41" i="6"/>
  <c r="T40" i="6"/>
  <c r="W40" i="6" s="1"/>
  <c r="S40" i="6"/>
  <c r="V40" i="6" s="1"/>
  <c r="R40" i="6"/>
  <c r="U40" i="6" s="1"/>
  <c r="X40" i="6" s="1"/>
  <c r="T39" i="6"/>
  <c r="W39" i="6" s="1"/>
  <c r="S39" i="6"/>
  <c r="V39" i="6" s="1"/>
  <c r="R39" i="6"/>
  <c r="U39" i="6" s="1"/>
  <c r="X39" i="6" s="1"/>
  <c r="W38" i="6"/>
  <c r="T38" i="6"/>
  <c r="S38" i="6"/>
  <c r="V38" i="6" s="1"/>
  <c r="R38" i="6"/>
  <c r="U38" i="6" s="1"/>
  <c r="X38" i="6" s="1"/>
  <c r="W37" i="6"/>
  <c r="V37" i="6"/>
  <c r="T37" i="6"/>
  <c r="S37" i="6"/>
  <c r="R37" i="6"/>
  <c r="U37" i="6" s="1"/>
  <c r="X37" i="6" s="1"/>
  <c r="V36" i="6"/>
  <c r="X36" i="6" s="1"/>
  <c r="U36" i="6"/>
  <c r="T36" i="6"/>
  <c r="W36" i="6" s="1"/>
  <c r="S36" i="6"/>
  <c r="R36" i="6"/>
  <c r="W35" i="6"/>
  <c r="U35" i="6"/>
  <c r="X35" i="6" s="1"/>
  <c r="T35" i="6"/>
  <c r="S35" i="6"/>
  <c r="V35" i="6" s="1"/>
  <c r="R35" i="6"/>
  <c r="V34" i="6"/>
  <c r="T34" i="6"/>
  <c r="W34" i="6" s="1"/>
  <c r="S34" i="6"/>
  <c r="R34" i="6"/>
  <c r="U34" i="6" s="1"/>
  <c r="W33" i="6"/>
  <c r="U33" i="6"/>
  <c r="T33" i="6"/>
  <c r="S33" i="6"/>
  <c r="V33" i="6" s="1"/>
  <c r="R33" i="6"/>
  <c r="T32" i="6"/>
  <c r="W32" i="6" s="1"/>
  <c r="S32" i="6"/>
  <c r="V32" i="6" s="1"/>
  <c r="R32" i="6"/>
  <c r="U32" i="6" s="1"/>
  <c r="T31" i="6"/>
  <c r="W31" i="6" s="1"/>
  <c r="S31" i="6"/>
  <c r="V31" i="6" s="1"/>
  <c r="R31" i="6"/>
  <c r="U31" i="6" s="1"/>
  <c r="X30" i="6"/>
  <c r="W30" i="6"/>
  <c r="T30" i="6"/>
  <c r="S30" i="6"/>
  <c r="V30" i="6" s="1"/>
  <c r="R30" i="6"/>
  <c r="U30" i="6" s="1"/>
  <c r="W29" i="6"/>
  <c r="V29" i="6"/>
  <c r="T29" i="6"/>
  <c r="S29" i="6"/>
  <c r="R29" i="6"/>
  <c r="U29" i="6" s="1"/>
  <c r="V28" i="6"/>
  <c r="X28" i="6" s="1"/>
  <c r="U28" i="6"/>
  <c r="T28" i="6"/>
  <c r="W28" i="6" s="1"/>
  <c r="S28" i="6"/>
  <c r="R28" i="6"/>
  <c r="W27" i="6"/>
  <c r="U27" i="6"/>
  <c r="T27" i="6"/>
  <c r="S27" i="6"/>
  <c r="V27" i="6" s="1"/>
  <c r="R27" i="6"/>
  <c r="V26" i="6"/>
  <c r="T26" i="6"/>
  <c r="S26" i="6"/>
  <c r="R26" i="6"/>
  <c r="U26" i="6" s="1"/>
  <c r="Q21" i="6"/>
  <c r="P21" i="6"/>
  <c r="O21" i="6"/>
  <c r="N21" i="6"/>
  <c r="M21" i="6"/>
  <c r="L21" i="6"/>
  <c r="L62" i="6" s="1"/>
  <c r="K21" i="6"/>
  <c r="J21" i="6"/>
  <c r="I21" i="6"/>
  <c r="H21" i="6"/>
  <c r="G21" i="6"/>
  <c r="F21" i="6"/>
  <c r="E21" i="6"/>
  <c r="D21" i="6"/>
  <c r="C21" i="6"/>
  <c r="W20" i="6"/>
  <c r="T20" i="6"/>
  <c r="S20" i="6"/>
  <c r="V20" i="6" s="1"/>
  <c r="X20" i="6" s="1"/>
  <c r="R20" i="6"/>
  <c r="U20" i="6" s="1"/>
  <c r="W19" i="6"/>
  <c r="V19" i="6"/>
  <c r="T19" i="6"/>
  <c r="S19" i="6"/>
  <c r="R19" i="6"/>
  <c r="U19" i="6" s="1"/>
  <c r="V18" i="6"/>
  <c r="X18" i="6" s="1"/>
  <c r="U18" i="6"/>
  <c r="T18" i="6"/>
  <c r="W18" i="6" s="1"/>
  <c r="S18" i="6"/>
  <c r="R18" i="6"/>
  <c r="W17" i="6"/>
  <c r="U17" i="6"/>
  <c r="T17" i="6"/>
  <c r="S17" i="6"/>
  <c r="V17" i="6" s="1"/>
  <c r="R17" i="6"/>
  <c r="T16" i="6"/>
  <c r="W16" i="6" s="1"/>
  <c r="S16" i="6"/>
  <c r="V16" i="6" s="1"/>
  <c r="R16" i="6"/>
  <c r="U16" i="6" s="1"/>
  <c r="W15" i="6"/>
  <c r="U15" i="6"/>
  <c r="X15" i="6" s="1"/>
  <c r="T15" i="6"/>
  <c r="S15" i="6"/>
  <c r="V15" i="6" s="1"/>
  <c r="R15" i="6"/>
  <c r="V14" i="6"/>
  <c r="T14" i="6"/>
  <c r="W14" i="6" s="1"/>
  <c r="S14" i="6"/>
  <c r="R14" i="6"/>
  <c r="U14" i="6" s="1"/>
  <c r="T13" i="6"/>
  <c r="W13" i="6" s="1"/>
  <c r="X13" i="6" s="1"/>
  <c r="S13" i="6"/>
  <c r="V13" i="6" s="1"/>
  <c r="R13" i="6"/>
  <c r="U13" i="6" s="1"/>
  <c r="X12" i="6"/>
  <c r="W12" i="6"/>
  <c r="T12" i="6"/>
  <c r="S12" i="6"/>
  <c r="V12" i="6" s="1"/>
  <c r="R12" i="6"/>
  <c r="U12" i="6" s="1"/>
  <c r="W11" i="6"/>
  <c r="V11" i="6"/>
  <c r="T11" i="6"/>
  <c r="S11" i="6"/>
  <c r="R11" i="6"/>
  <c r="U11" i="6" s="1"/>
  <c r="V10" i="6"/>
  <c r="U10" i="6"/>
  <c r="T10" i="6"/>
  <c r="W10" i="6" s="1"/>
  <c r="X10" i="6" s="1"/>
  <c r="S10" i="6"/>
  <c r="R10" i="6"/>
  <c r="U9" i="6"/>
  <c r="T9" i="6"/>
  <c r="W9" i="6" s="1"/>
  <c r="S9" i="6"/>
  <c r="V9" i="6" s="1"/>
  <c r="R9" i="6"/>
  <c r="V8" i="6"/>
  <c r="T8" i="6"/>
  <c r="W8" i="6" s="1"/>
  <c r="S8" i="6"/>
  <c r="R8" i="6"/>
  <c r="U8" i="6" s="1"/>
  <c r="W7" i="6"/>
  <c r="T7" i="6"/>
  <c r="S7" i="6"/>
  <c r="R7" i="6"/>
  <c r="R21" i="6" s="1"/>
  <c r="C3" i="6"/>
  <c r="AF74" i="5"/>
  <c r="AF73" i="5"/>
  <c r="AF71" i="5"/>
  <c r="AF70" i="5"/>
  <c r="AF68" i="5"/>
  <c r="AF67" i="5"/>
  <c r="AF65" i="5"/>
  <c r="AF64" i="5"/>
  <c r="AF62" i="5"/>
  <c r="AF61" i="5"/>
  <c r="AF59" i="5"/>
  <c r="AF58" i="5"/>
  <c r="AF56" i="5"/>
  <c r="AF55" i="5"/>
  <c r="AF53" i="5"/>
  <c r="AF52" i="5"/>
  <c r="AF50" i="5"/>
  <c r="AF49" i="5"/>
  <c r="AF47" i="5"/>
  <c r="AF46" i="5"/>
  <c r="AF44" i="5"/>
  <c r="AF43" i="5"/>
  <c r="AF41" i="5"/>
  <c r="AF40" i="5"/>
  <c r="AF38" i="5"/>
  <c r="AF37" i="5"/>
  <c r="AF35" i="5"/>
  <c r="AF34" i="5"/>
  <c r="AF32" i="5"/>
  <c r="AF31" i="5"/>
  <c r="AF28" i="5"/>
  <c r="AF25" i="5"/>
  <c r="AF23" i="5"/>
  <c r="AF22" i="5"/>
  <c r="AF19" i="5"/>
  <c r="AF16" i="5"/>
  <c r="AF13" i="5"/>
  <c r="AF11" i="5"/>
  <c r="AF10" i="5"/>
  <c r="AF7" i="5"/>
  <c r="AF5" i="5"/>
  <c r="AF4" i="5"/>
  <c r="AB2" i="8" l="1"/>
  <c r="X2" i="8"/>
  <c r="T2" i="8"/>
  <c r="P2" i="8"/>
  <c r="L2" i="8"/>
  <c r="D2" i="8"/>
  <c r="H2" i="8"/>
  <c r="D2" i="3"/>
  <c r="AB2" i="3"/>
  <c r="L2" i="3"/>
  <c r="X2" i="3"/>
  <c r="H2" i="3"/>
  <c r="T2" i="3"/>
  <c r="P2" i="3"/>
  <c r="D2" i="7"/>
  <c r="T2" i="7"/>
  <c r="L2" i="7"/>
  <c r="AB2" i="7"/>
  <c r="X2" i="7"/>
  <c r="P2" i="7"/>
  <c r="H2" i="7"/>
  <c r="T2" i="5"/>
  <c r="L2" i="5"/>
  <c r="H2" i="5"/>
  <c r="D2" i="5"/>
  <c r="AB2" i="5"/>
  <c r="P2" i="5"/>
  <c r="X2" i="5"/>
  <c r="D2" i="4"/>
  <c r="H2" i="4"/>
  <c r="T2" i="4"/>
  <c r="L2" i="4"/>
  <c r="AB2" i="4"/>
  <c r="X2" i="4"/>
  <c r="P2" i="4"/>
  <c r="X91" i="6"/>
  <c r="X83" i="6"/>
  <c r="X75" i="6"/>
  <c r="X71" i="6"/>
  <c r="X70" i="6"/>
  <c r="X67" i="6"/>
  <c r="X74" i="6"/>
  <c r="Z22" i="6"/>
  <c r="X68" i="6"/>
  <c r="X85" i="6"/>
  <c r="X77" i="6"/>
  <c r="X69" i="6"/>
  <c r="X73" i="6"/>
  <c r="X80" i="6"/>
  <c r="T97" i="6"/>
  <c r="X93" i="6"/>
  <c r="W97" i="6"/>
  <c r="W139" i="6" s="1"/>
  <c r="W141" i="6" s="1"/>
  <c r="X92" i="6"/>
  <c r="X84" i="6"/>
  <c r="X76" i="6"/>
  <c r="R23" i="6"/>
  <c r="R22" i="6"/>
  <c r="S21" i="6"/>
  <c r="V7" i="6"/>
  <c r="V21" i="6" s="1"/>
  <c r="X31" i="6"/>
  <c r="X47" i="6"/>
  <c r="X58" i="6"/>
  <c r="R97" i="6"/>
  <c r="X94" i="6"/>
  <c r="X115" i="6"/>
  <c r="U61" i="6"/>
  <c r="S61" i="6"/>
  <c r="X82" i="6"/>
  <c r="X89" i="6"/>
  <c r="X14" i="6"/>
  <c r="X17" i="6"/>
  <c r="X19" i="6"/>
  <c r="T61" i="6"/>
  <c r="W26" i="6"/>
  <c r="W61" i="6" s="1"/>
  <c r="X33" i="6"/>
  <c r="X49" i="6"/>
  <c r="X51" i="6"/>
  <c r="X53" i="6"/>
  <c r="S97" i="6"/>
  <c r="S139" i="6" s="1"/>
  <c r="X72" i="6"/>
  <c r="X79" i="6"/>
  <c r="X96" i="6"/>
  <c r="X124" i="6"/>
  <c r="X129" i="6"/>
  <c r="U7" i="6"/>
  <c r="X16" i="6"/>
  <c r="W21" i="6"/>
  <c r="X9" i="6"/>
  <c r="X11" i="6"/>
  <c r="T21" i="6"/>
  <c r="X32" i="6"/>
  <c r="X34" i="6"/>
  <c r="X48" i="6"/>
  <c r="U97" i="6"/>
  <c r="X66" i="6"/>
  <c r="X81" i="6"/>
  <c r="X86" i="6"/>
  <c r="X95" i="6"/>
  <c r="S133" i="6"/>
  <c r="X107" i="6"/>
  <c r="X112" i="6"/>
  <c r="X8" i="6"/>
  <c r="V97" i="6"/>
  <c r="X88" i="6"/>
  <c r="T133" i="6"/>
  <c r="X41" i="6"/>
  <c r="X59" i="6"/>
  <c r="X90" i="6"/>
  <c r="U133" i="6"/>
  <c r="X106" i="6"/>
  <c r="X123" i="6"/>
  <c r="V61" i="6"/>
  <c r="X60" i="6"/>
  <c r="X27" i="6"/>
  <c r="X29" i="6"/>
  <c r="X43" i="6"/>
  <c r="X45" i="6"/>
  <c r="X57" i="6"/>
  <c r="X78" i="6"/>
  <c r="X87" i="6"/>
  <c r="V133" i="6"/>
  <c r="X104" i="6"/>
  <c r="X133" i="6" s="1"/>
  <c r="X125" i="6"/>
  <c r="R61" i="6"/>
  <c r="S135" i="6" l="1"/>
  <c r="R135" i="6"/>
  <c r="T139" i="6"/>
  <c r="V139" i="6"/>
  <c r="V141" i="6" s="1"/>
  <c r="V135" i="6"/>
  <c r="V23" i="6"/>
  <c r="V22" i="6"/>
  <c r="W22" i="6"/>
  <c r="W135" i="6"/>
  <c r="W23" i="6"/>
  <c r="X97" i="6"/>
  <c r="R139" i="6"/>
  <c r="R141" i="6" s="1"/>
  <c r="X7" i="6"/>
  <c r="X21" i="6" s="1"/>
  <c r="U21" i="6"/>
  <c r="U135" i="6" s="1"/>
  <c r="X26" i="6"/>
  <c r="X61" i="6" s="1"/>
  <c r="R62" i="6"/>
  <c r="T135" i="6"/>
  <c r="AF74" i="4"/>
  <c r="AF73" i="4"/>
  <c r="AF71" i="4"/>
  <c r="AF70" i="4"/>
  <c r="AF68" i="4"/>
  <c r="AF67" i="4"/>
  <c r="AF65" i="4"/>
  <c r="AF64" i="4"/>
  <c r="AF62" i="4"/>
  <c r="AF61" i="4"/>
  <c r="AF59" i="4"/>
  <c r="AF58" i="4"/>
  <c r="AF56" i="4"/>
  <c r="AF55" i="4"/>
  <c r="AF53" i="4"/>
  <c r="AF52" i="4"/>
  <c r="AF50" i="4"/>
  <c r="AF49" i="4"/>
  <c r="AF47" i="4"/>
  <c r="AF46" i="4"/>
  <c r="AF44" i="4"/>
  <c r="AF43" i="4"/>
  <c r="AF41" i="4"/>
  <c r="AF40" i="4"/>
  <c r="AF38" i="4"/>
  <c r="AF37" i="4"/>
  <c r="AF35" i="4"/>
  <c r="AF34" i="4"/>
  <c r="AF32" i="4"/>
  <c r="AF31" i="4"/>
  <c r="AF28" i="4"/>
  <c r="AF25" i="4"/>
  <c r="AF23" i="4"/>
  <c r="AF22" i="4"/>
  <c r="AF19" i="4"/>
  <c r="AF16" i="4"/>
  <c r="AF13" i="4"/>
  <c r="AF11" i="4"/>
  <c r="AF10" i="4"/>
  <c r="AF7" i="4"/>
  <c r="AF5" i="4"/>
  <c r="AF4" i="4"/>
  <c r="X135" i="6" l="1"/>
  <c r="T137" i="6"/>
  <c r="S137" i="6"/>
  <c r="R137" i="6"/>
  <c r="A137" i="1" l="1"/>
  <c r="Q133" i="1"/>
  <c r="P133" i="1"/>
  <c r="O133" i="1"/>
  <c r="N133" i="1"/>
  <c r="M133" i="1"/>
  <c r="L133" i="1"/>
  <c r="K133" i="1"/>
  <c r="J133" i="1"/>
  <c r="I133" i="1"/>
  <c r="H133" i="1"/>
  <c r="G133" i="1"/>
  <c r="F133" i="1"/>
  <c r="D142" i="1" s="1"/>
  <c r="E133" i="1"/>
  <c r="D133" i="1"/>
  <c r="C133" i="1"/>
  <c r="T132" i="1"/>
  <c r="W132" i="1" s="1"/>
  <c r="S132" i="1"/>
  <c r="V132" i="1" s="1"/>
  <c r="R132" i="1"/>
  <c r="U132" i="1" s="1"/>
  <c r="T131" i="1"/>
  <c r="W131" i="1" s="1"/>
  <c r="S131" i="1"/>
  <c r="V131" i="1" s="1"/>
  <c r="R131" i="1"/>
  <c r="U131" i="1" s="1"/>
  <c r="T130" i="1"/>
  <c r="W130" i="1" s="1"/>
  <c r="S130" i="1"/>
  <c r="V130" i="1" s="1"/>
  <c r="R130" i="1"/>
  <c r="U130" i="1" s="1"/>
  <c r="T129" i="1"/>
  <c r="W129" i="1" s="1"/>
  <c r="S129" i="1"/>
  <c r="V129" i="1" s="1"/>
  <c r="R129" i="1"/>
  <c r="U129" i="1" s="1"/>
  <c r="T128" i="1"/>
  <c r="W128" i="1" s="1"/>
  <c r="S128" i="1"/>
  <c r="V128" i="1" s="1"/>
  <c r="R128" i="1"/>
  <c r="U128" i="1" s="1"/>
  <c r="T127" i="1"/>
  <c r="W127" i="1" s="1"/>
  <c r="S127" i="1"/>
  <c r="V127" i="1" s="1"/>
  <c r="R127" i="1"/>
  <c r="U127" i="1" s="1"/>
  <c r="T126" i="1"/>
  <c r="W126" i="1" s="1"/>
  <c r="S126" i="1"/>
  <c r="V126" i="1" s="1"/>
  <c r="R126" i="1"/>
  <c r="U126" i="1" s="1"/>
  <c r="T125" i="1"/>
  <c r="W125" i="1" s="1"/>
  <c r="S125" i="1"/>
  <c r="V125" i="1" s="1"/>
  <c r="R125" i="1"/>
  <c r="U125" i="1" s="1"/>
  <c r="T124" i="1"/>
  <c r="W124" i="1" s="1"/>
  <c r="S124" i="1"/>
  <c r="V124" i="1" s="1"/>
  <c r="R124" i="1"/>
  <c r="U124" i="1" s="1"/>
  <c r="T123" i="1"/>
  <c r="W123" i="1" s="1"/>
  <c r="S123" i="1"/>
  <c r="V123" i="1" s="1"/>
  <c r="R123" i="1"/>
  <c r="U123" i="1" s="1"/>
  <c r="T122" i="1"/>
  <c r="W122" i="1" s="1"/>
  <c r="S122" i="1"/>
  <c r="V122" i="1" s="1"/>
  <c r="R122" i="1"/>
  <c r="U122" i="1" s="1"/>
  <c r="T121" i="1"/>
  <c r="W121" i="1" s="1"/>
  <c r="S121" i="1"/>
  <c r="V121" i="1" s="1"/>
  <c r="R121" i="1"/>
  <c r="U121" i="1" s="1"/>
  <c r="T120" i="1"/>
  <c r="W120" i="1" s="1"/>
  <c r="S120" i="1"/>
  <c r="V120" i="1" s="1"/>
  <c r="R120" i="1"/>
  <c r="U120" i="1" s="1"/>
  <c r="T119" i="1"/>
  <c r="W119" i="1" s="1"/>
  <c r="S119" i="1"/>
  <c r="V119" i="1" s="1"/>
  <c r="R119" i="1"/>
  <c r="U119" i="1" s="1"/>
  <c r="T118" i="1"/>
  <c r="W118" i="1" s="1"/>
  <c r="S118" i="1"/>
  <c r="V118" i="1" s="1"/>
  <c r="R118" i="1"/>
  <c r="U118" i="1" s="1"/>
  <c r="T117" i="1"/>
  <c r="W117" i="1" s="1"/>
  <c r="S117" i="1"/>
  <c r="V117" i="1" s="1"/>
  <c r="R117" i="1"/>
  <c r="U117" i="1" s="1"/>
  <c r="T116" i="1"/>
  <c r="W116" i="1" s="1"/>
  <c r="S116" i="1"/>
  <c r="V116" i="1" s="1"/>
  <c r="R116" i="1"/>
  <c r="U116" i="1" s="1"/>
  <c r="T115" i="1"/>
  <c r="W115" i="1" s="1"/>
  <c r="S115" i="1"/>
  <c r="V115" i="1" s="1"/>
  <c r="R115" i="1"/>
  <c r="U115" i="1" s="1"/>
  <c r="T114" i="1"/>
  <c r="W114" i="1" s="1"/>
  <c r="S114" i="1"/>
  <c r="V114" i="1" s="1"/>
  <c r="R114" i="1"/>
  <c r="U114" i="1" s="1"/>
  <c r="T113" i="1"/>
  <c r="W113" i="1" s="1"/>
  <c r="S113" i="1"/>
  <c r="V113" i="1" s="1"/>
  <c r="R113" i="1"/>
  <c r="U113" i="1" s="1"/>
  <c r="T112" i="1"/>
  <c r="W112" i="1" s="1"/>
  <c r="S112" i="1"/>
  <c r="V112" i="1" s="1"/>
  <c r="R112" i="1"/>
  <c r="U112" i="1" s="1"/>
  <c r="T111" i="1"/>
  <c r="W111" i="1" s="1"/>
  <c r="S111" i="1"/>
  <c r="V111" i="1" s="1"/>
  <c r="R111" i="1"/>
  <c r="U111" i="1" s="1"/>
  <c r="T110" i="1"/>
  <c r="W110" i="1" s="1"/>
  <c r="S110" i="1"/>
  <c r="V110" i="1" s="1"/>
  <c r="R110" i="1"/>
  <c r="U110" i="1" s="1"/>
  <c r="T109" i="1"/>
  <c r="W109" i="1" s="1"/>
  <c r="S109" i="1"/>
  <c r="V109" i="1" s="1"/>
  <c r="R109" i="1"/>
  <c r="U109" i="1" s="1"/>
  <c r="T108" i="1"/>
  <c r="W108" i="1" s="1"/>
  <c r="S108" i="1"/>
  <c r="V108" i="1" s="1"/>
  <c r="R108" i="1"/>
  <c r="U108" i="1" s="1"/>
  <c r="T107" i="1"/>
  <c r="W107" i="1" s="1"/>
  <c r="S107" i="1"/>
  <c r="V107" i="1" s="1"/>
  <c r="R107" i="1"/>
  <c r="U107" i="1" s="1"/>
  <c r="X107" i="1" s="1"/>
  <c r="T106" i="1"/>
  <c r="W106" i="1" s="1"/>
  <c r="S106" i="1"/>
  <c r="V106" i="1" s="1"/>
  <c r="R106" i="1"/>
  <c r="U106" i="1" s="1"/>
  <c r="T105" i="1"/>
  <c r="W105" i="1" s="1"/>
  <c r="S105" i="1"/>
  <c r="V105" i="1" s="1"/>
  <c r="R105" i="1"/>
  <c r="U105" i="1" s="1"/>
  <c r="T104" i="1"/>
  <c r="W104" i="1" s="1"/>
  <c r="S104" i="1"/>
  <c r="V104" i="1" s="1"/>
  <c r="R104" i="1"/>
  <c r="U104" i="1" s="1"/>
  <c r="T103" i="1"/>
  <c r="W103" i="1" s="1"/>
  <c r="S103" i="1"/>
  <c r="V103" i="1" s="1"/>
  <c r="R103" i="1"/>
  <c r="U103" i="1" s="1"/>
  <c r="T102" i="1"/>
  <c r="W102" i="1" s="1"/>
  <c r="S102" i="1"/>
  <c r="V102" i="1" s="1"/>
  <c r="R102" i="1"/>
  <c r="Q97" i="1"/>
  <c r="P97" i="1"/>
  <c r="O97" i="1"/>
  <c r="N97" i="1"/>
  <c r="M97" i="1"/>
  <c r="L97" i="1"/>
  <c r="K97" i="1"/>
  <c r="J97" i="1"/>
  <c r="I97" i="1"/>
  <c r="E141" i="1" s="1"/>
  <c r="H97" i="1"/>
  <c r="G97" i="1"/>
  <c r="F97" i="1"/>
  <c r="E97" i="1"/>
  <c r="D97" i="1"/>
  <c r="C97" i="1"/>
  <c r="T96" i="1"/>
  <c r="W96" i="1" s="1"/>
  <c r="S96" i="1"/>
  <c r="V96" i="1" s="1"/>
  <c r="R96" i="1"/>
  <c r="U96" i="1" s="1"/>
  <c r="T95" i="1"/>
  <c r="W95" i="1" s="1"/>
  <c r="S95" i="1"/>
  <c r="V95" i="1" s="1"/>
  <c r="R95" i="1"/>
  <c r="U95" i="1" s="1"/>
  <c r="T94" i="1"/>
  <c r="W94" i="1" s="1"/>
  <c r="S94" i="1"/>
  <c r="V94" i="1" s="1"/>
  <c r="R94" i="1"/>
  <c r="U94" i="1" s="1"/>
  <c r="T93" i="1"/>
  <c r="W93" i="1" s="1"/>
  <c r="S93" i="1"/>
  <c r="V93" i="1" s="1"/>
  <c r="R93" i="1"/>
  <c r="U93" i="1" s="1"/>
  <c r="T92" i="1"/>
  <c r="W92" i="1" s="1"/>
  <c r="S92" i="1"/>
  <c r="V92" i="1" s="1"/>
  <c r="R92" i="1"/>
  <c r="U92" i="1" s="1"/>
  <c r="T91" i="1"/>
  <c r="W91" i="1" s="1"/>
  <c r="S91" i="1"/>
  <c r="V91" i="1" s="1"/>
  <c r="R91" i="1"/>
  <c r="U91" i="1" s="1"/>
  <c r="T90" i="1"/>
  <c r="W90" i="1" s="1"/>
  <c r="S90" i="1"/>
  <c r="V90" i="1" s="1"/>
  <c r="R90" i="1"/>
  <c r="U90" i="1" s="1"/>
  <c r="T89" i="1"/>
  <c r="W89" i="1" s="1"/>
  <c r="S89" i="1"/>
  <c r="V89" i="1" s="1"/>
  <c r="R89" i="1"/>
  <c r="U89" i="1" s="1"/>
  <c r="T88" i="1"/>
  <c r="W88" i="1" s="1"/>
  <c r="S88" i="1"/>
  <c r="V88" i="1" s="1"/>
  <c r="R88" i="1"/>
  <c r="U88" i="1" s="1"/>
  <c r="T87" i="1"/>
  <c r="W87" i="1" s="1"/>
  <c r="S87" i="1"/>
  <c r="V87" i="1" s="1"/>
  <c r="R87" i="1"/>
  <c r="U87" i="1" s="1"/>
  <c r="T86" i="1"/>
  <c r="W86" i="1" s="1"/>
  <c r="S86" i="1"/>
  <c r="V86" i="1" s="1"/>
  <c r="R86" i="1"/>
  <c r="U86" i="1" s="1"/>
  <c r="T85" i="1"/>
  <c r="W85" i="1" s="1"/>
  <c r="S85" i="1"/>
  <c r="V85" i="1" s="1"/>
  <c r="R85" i="1"/>
  <c r="U85" i="1" s="1"/>
  <c r="T84" i="1"/>
  <c r="W84" i="1" s="1"/>
  <c r="S84" i="1"/>
  <c r="V84" i="1" s="1"/>
  <c r="R84" i="1"/>
  <c r="U84" i="1" s="1"/>
  <c r="T83" i="1"/>
  <c r="W83" i="1" s="1"/>
  <c r="S83" i="1"/>
  <c r="V83" i="1" s="1"/>
  <c r="R83" i="1"/>
  <c r="U83" i="1" s="1"/>
  <c r="T82" i="1"/>
  <c r="W82" i="1" s="1"/>
  <c r="S82" i="1"/>
  <c r="V82" i="1" s="1"/>
  <c r="R82" i="1"/>
  <c r="U82" i="1" s="1"/>
  <c r="T81" i="1"/>
  <c r="W81" i="1" s="1"/>
  <c r="S81" i="1"/>
  <c r="V81" i="1" s="1"/>
  <c r="R81" i="1"/>
  <c r="U81" i="1" s="1"/>
  <c r="T80" i="1"/>
  <c r="W80" i="1" s="1"/>
  <c r="S80" i="1"/>
  <c r="V80" i="1" s="1"/>
  <c r="R80" i="1"/>
  <c r="U80" i="1" s="1"/>
  <c r="T79" i="1"/>
  <c r="W79" i="1" s="1"/>
  <c r="S79" i="1"/>
  <c r="V79" i="1" s="1"/>
  <c r="R79" i="1"/>
  <c r="U79" i="1" s="1"/>
  <c r="T78" i="1"/>
  <c r="W78" i="1" s="1"/>
  <c r="S78" i="1"/>
  <c r="V78" i="1" s="1"/>
  <c r="R78" i="1"/>
  <c r="U78" i="1" s="1"/>
  <c r="T77" i="1"/>
  <c r="W77" i="1" s="1"/>
  <c r="S77" i="1"/>
  <c r="V77" i="1" s="1"/>
  <c r="R77" i="1"/>
  <c r="U77" i="1" s="1"/>
  <c r="T76" i="1"/>
  <c r="W76" i="1" s="1"/>
  <c r="S76" i="1"/>
  <c r="V76" i="1" s="1"/>
  <c r="R76" i="1"/>
  <c r="U76" i="1" s="1"/>
  <c r="T75" i="1"/>
  <c r="W75" i="1" s="1"/>
  <c r="S75" i="1"/>
  <c r="V75" i="1" s="1"/>
  <c r="R75" i="1"/>
  <c r="U75" i="1" s="1"/>
  <c r="T74" i="1"/>
  <c r="W74" i="1" s="1"/>
  <c r="S74" i="1"/>
  <c r="V74" i="1" s="1"/>
  <c r="R74" i="1"/>
  <c r="U74" i="1" s="1"/>
  <c r="T73" i="1"/>
  <c r="W73" i="1" s="1"/>
  <c r="S73" i="1"/>
  <c r="V73" i="1" s="1"/>
  <c r="R73" i="1"/>
  <c r="U73" i="1" s="1"/>
  <c r="T72" i="1"/>
  <c r="W72" i="1" s="1"/>
  <c r="S72" i="1"/>
  <c r="V72" i="1" s="1"/>
  <c r="R72" i="1"/>
  <c r="U72" i="1" s="1"/>
  <c r="T71" i="1"/>
  <c r="W71" i="1" s="1"/>
  <c r="S71" i="1"/>
  <c r="V71" i="1" s="1"/>
  <c r="R71" i="1"/>
  <c r="U71" i="1" s="1"/>
  <c r="T70" i="1"/>
  <c r="W70" i="1" s="1"/>
  <c r="S70" i="1"/>
  <c r="V70" i="1" s="1"/>
  <c r="R70" i="1"/>
  <c r="U70" i="1" s="1"/>
  <c r="T69" i="1"/>
  <c r="W69" i="1" s="1"/>
  <c r="S69" i="1"/>
  <c r="V69" i="1" s="1"/>
  <c r="R69" i="1"/>
  <c r="U69" i="1" s="1"/>
  <c r="T68" i="1"/>
  <c r="W68" i="1" s="1"/>
  <c r="S68" i="1"/>
  <c r="V68" i="1" s="1"/>
  <c r="R68" i="1"/>
  <c r="U68" i="1" s="1"/>
  <c r="T67" i="1"/>
  <c r="W67" i="1" s="1"/>
  <c r="S67" i="1"/>
  <c r="V67" i="1" s="1"/>
  <c r="R67" i="1"/>
  <c r="U67" i="1" s="1"/>
  <c r="T66" i="1"/>
  <c r="W66" i="1" s="1"/>
  <c r="S66" i="1"/>
  <c r="V66" i="1" s="1"/>
  <c r="R66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T60" i="1"/>
  <c r="W60" i="1" s="1"/>
  <c r="S60" i="1"/>
  <c r="V60" i="1" s="1"/>
  <c r="R60" i="1"/>
  <c r="U60" i="1" s="1"/>
  <c r="T59" i="1"/>
  <c r="W59" i="1" s="1"/>
  <c r="S59" i="1"/>
  <c r="V59" i="1" s="1"/>
  <c r="R59" i="1"/>
  <c r="U59" i="1" s="1"/>
  <c r="Z58" i="1"/>
  <c r="T58" i="1"/>
  <c r="W58" i="1" s="1"/>
  <c r="S58" i="1"/>
  <c r="V58" i="1" s="1"/>
  <c r="R58" i="1"/>
  <c r="U58" i="1" s="1"/>
  <c r="T57" i="1"/>
  <c r="W57" i="1" s="1"/>
  <c r="S57" i="1"/>
  <c r="V57" i="1" s="1"/>
  <c r="R57" i="1"/>
  <c r="U57" i="1" s="1"/>
  <c r="T17" i="1"/>
  <c r="W17" i="1" s="1"/>
  <c r="S17" i="1"/>
  <c r="V17" i="1" s="1"/>
  <c r="R17" i="1"/>
  <c r="U17" i="1" s="1"/>
  <c r="T56" i="1"/>
  <c r="W56" i="1" s="1"/>
  <c r="S56" i="1"/>
  <c r="V56" i="1" s="1"/>
  <c r="R56" i="1"/>
  <c r="U56" i="1" s="1"/>
  <c r="T55" i="1"/>
  <c r="W55" i="1" s="1"/>
  <c r="S55" i="1"/>
  <c r="V55" i="1" s="1"/>
  <c r="R55" i="1"/>
  <c r="U55" i="1" s="1"/>
  <c r="T54" i="1"/>
  <c r="W54" i="1" s="1"/>
  <c r="S54" i="1"/>
  <c r="V54" i="1" s="1"/>
  <c r="R54" i="1"/>
  <c r="U54" i="1" s="1"/>
  <c r="T53" i="1"/>
  <c r="W53" i="1" s="1"/>
  <c r="S53" i="1"/>
  <c r="V53" i="1" s="1"/>
  <c r="R53" i="1"/>
  <c r="U53" i="1" s="1"/>
  <c r="T52" i="1"/>
  <c r="W52" i="1" s="1"/>
  <c r="S52" i="1"/>
  <c r="V52" i="1" s="1"/>
  <c r="R52" i="1"/>
  <c r="U52" i="1" s="1"/>
  <c r="T51" i="1"/>
  <c r="W51" i="1" s="1"/>
  <c r="S51" i="1"/>
  <c r="V51" i="1" s="1"/>
  <c r="R51" i="1"/>
  <c r="U51" i="1" s="1"/>
  <c r="T50" i="1"/>
  <c r="W50" i="1" s="1"/>
  <c r="S50" i="1"/>
  <c r="V50" i="1" s="1"/>
  <c r="R50" i="1"/>
  <c r="U50" i="1" s="1"/>
  <c r="T49" i="1"/>
  <c r="W49" i="1" s="1"/>
  <c r="S49" i="1"/>
  <c r="V49" i="1" s="1"/>
  <c r="R49" i="1"/>
  <c r="U49" i="1" s="1"/>
  <c r="T48" i="1"/>
  <c r="W48" i="1" s="1"/>
  <c r="S48" i="1"/>
  <c r="V48" i="1" s="1"/>
  <c r="R48" i="1"/>
  <c r="U48" i="1" s="1"/>
  <c r="T47" i="1"/>
  <c r="W47" i="1" s="1"/>
  <c r="S47" i="1"/>
  <c r="V47" i="1" s="1"/>
  <c r="R47" i="1"/>
  <c r="U47" i="1" s="1"/>
  <c r="T46" i="1"/>
  <c r="W46" i="1" s="1"/>
  <c r="S46" i="1"/>
  <c r="V46" i="1" s="1"/>
  <c r="R46" i="1"/>
  <c r="U46" i="1" s="1"/>
  <c r="T45" i="1"/>
  <c r="W45" i="1" s="1"/>
  <c r="S45" i="1"/>
  <c r="V45" i="1" s="1"/>
  <c r="R45" i="1"/>
  <c r="U45" i="1" s="1"/>
  <c r="T44" i="1"/>
  <c r="W44" i="1" s="1"/>
  <c r="S44" i="1"/>
  <c r="V44" i="1" s="1"/>
  <c r="R44" i="1"/>
  <c r="U44" i="1" s="1"/>
  <c r="T43" i="1"/>
  <c r="W43" i="1" s="1"/>
  <c r="S43" i="1"/>
  <c r="V43" i="1" s="1"/>
  <c r="R43" i="1"/>
  <c r="U43" i="1" s="1"/>
  <c r="T42" i="1"/>
  <c r="W42" i="1" s="1"/>
  <c r="S42" i="1"/>
  <c r="V42" i="1" s="1"/>
  <c r="R42" i="1"/>
  <c r="U42" i="1" s="1"/>
  <c r="T41" i="1"/>
  <c r="W41" i="1" s="1"/>
  <c r="S41" i="1"/>
  <c r="V41" i="1" s="1"/>
  <c r="R41" i="1"/>
  <c r="U41" i="1" s="1"/>
  <c r="T40" i="1"/>
  <c r="W40" i="1" s="1"/>
  <c r="S40" i="1"/>
  <c r="V40" i="1" s="1"/>
  <c r="R40" i="1"/>
  <c r="U40" i="1" s="1"/>
  <c r="T39" i="1"/>
  <c r="W39" i="1" s="1"/>
  <c r="S39" i="1"/>
  <c r="V39" i="1" s="1"/>
  <c r="R39" i="1"/>
  <c r="U39" i="1" s="1"/>
  <c r="T38" i="1"/>
  <c r="W38" i="1" s="1"/>
  <c r="S38" i="1"/>
  <c r="V38" i="1" s="1"/>
  <c r="R38" i="1"/>
  <c r="U38" i="1" s="1"/>
  <c r="T37" i="1"/>
  <c r="W37" i="1" s="1"/>
  <c r="S37" i="1"/>
  <c r="V37" i="1" s="1"/>
  <c r="R37" i="1"/>
  <c r="U37" i="1" s="1"/>
  <c r="T36" i="1"/>
  <c r="W36" i="1" s="1"/>
  <c r="S36" i="1"/>
  <c r="V36" i="1" s="1"/>
  <c r="R36" i="1"/>
  <c r="U36" i="1" s="1"/>
  <c r="T35" i="1"/>
  <c r="W35" i="1" s="1"/>
  <c r="S35" i="1"/>
  <c r="V35" i="1" s="1"/>
  <c r="R35" i="1"/>
  <c r="U35" i="1" s="1"/>
  <c r="T34" i="1"/>
  <c r="W34" i="1" s="1"/>
  <c r="S34" i="1"/>
  <c r="V34" i="1" s="1"/>
  <c r="R34" i="1"/>
  <c r="U34" i="1" s="1"/>
  <c r="T33" i="1"/>
  <c r="W33" i="1" s="1"/>
  <c r="S33" i="1"/>
  <c r="V33" i="1" s="1"/>
  <c r="R33" i="1"/>
  <c r="U33" i="1" s="1"/>
  <c r="T32" i="1"/>
  <c r="W32" i="1" s="1"/>
  <c r="S32" i="1"/>
  <c r="V32" i="1" s="1"/>
  <c r="R32" i="1"/>
  <c r="U32" i="1" s="1"/>
  <c r="T31" i="1"/>
  <c r="W31" i="1" s="1"/>
  <c r="S31" i="1"/>
  <c r="V31" i="1" s="1"/>
  <c r="R31" i="1"/>
  <c r="U31" i="1" s="1"/>
  <c r="T30" i="1"/>
  <c r="W30" i="1" s="1"/>
  <c r="S30" i="1"/>
  <c r="V30" i="1" s="1"/>
  <c r="R30" i="1"/>
  <c r="U30" i="1" s="1"/>
  <c r="T29" i="1"/>
  <c r="W29" i="1" s="1"/>
  <c r="S29" i="1"/>
  <c r="V29" i="1" s="1"/>
  <c r="R29" i="1"/>
  <c r="U29" i="1" s="1"/>
  <c r="T28" i="1"/>
  <c r="W28" i="1" s="1"/>
  <c r="S28" i="1"/>
  <c r="V28" i="1" s="1"/>
  <c r="R28" i="1"/>
  <c r="U28" i="1" s="1"/>
  <c r="T27" i="1"/>
  <c r="S27" i="1"/>
  <c r="V27" i="1" s="1"/>
  <c r="R27" i="1"/>
  <c r="Q22" i="1"/>
  <c r="P22" i="1"/>
  <c r="O22" i="1"/>
  <c r="N22" i="1"/>
  <c r="N62" i="1" s="1"/>
  <c r="M22" i="1"/>
  <c r="L22" i="1"/>
  <c r="K22" i="1"/>
  <c r="J22" i="1"/>
  <c r="I22" i="1"/>
  <c r="H22" i="1"/>
  <c r="G22" i="1"/>
  <c r="F22" i="1"/>
  <c r="E22" i="1"/>
  <c r="D22" i="1"/>
  <c r="C22" i="1"/>
  <c r="T21" i="1"/>
  <c r="W21" i="1" s="1"/>
  <c r="S21" i="1"/>
  <c r="V21" i="1" s="1"/>
  <c r="R21" i="1"/>
  <c r="U21" i="1" s="1"/>
  <c r="T20" i="1"/>
  <c r="W20" i="1" s="1"/>
  <c r="S20" i="1"/>
  <c r="V20" i="1" s="1"/>
  <c r="R20" i="1"/>
  <c r="U20" i="1" s="1"/>
  <c r="T19" i="1"/>
  <c r="W19" i="1" s="1"/>
  <c r="S19" i="1"/>
  <c r="V19" i="1" s="1"/>
  <c r="R19" i="1"/>
  <c r="U19" i="1" s="1"/>
  <c r="T18" i="1"/>
  <c r="W18" i="1" s="1"/>
  <c r="S18" i="1"/>
  <c r="V18" i="1" s="1"/>
  <c r="R18" i="1"/>
  <c r="U18" i="1" s="1"/>
  <c r="T16" i="1"/>
  <c r="W16" i="1" s="1"/>
  <c r="S16" i="1"/>
  <c r="V16" i="1" s="1"/>
  <c r="R16" i="1"/>
  <c r="U16" i="1" s="1"/>
  <c r="T15" i="1"/>
  <c r="W15" i="1" s="1"/>
  <c r="S15" i="1"/>
  <c r="V15" i="1" s="1"/>
  <c r="R15" i="1"/>
  <c r="U15" i="1" s="1"/>
  <c r="T14" i="1"/>
  <c r="W14" i="1" s="1"/>
  <c r="S14" i="1"/>
  <c r="V14" i="1" s="1"/>
  <c r="R14" i="1"/>
  <c r="U14" i="1" s="1"/>
  <c r="T13" i="1"/>
  <c r="W13" i="1" s="1"/>
  <c r="S13" i="1"/>
  <c r="V13" i="1" s="1"/>
  <c r="R13" i="1"/>
  <c r="U13" i="1" s="1"/>
  <c r="T12" i="1"/>
  <c r="W12" i="1" s="1"/>
  <c r="S12" i="1"/>
  <c r="V12" i="1" s="1"/>
  <c r="R12" i="1"/>
  <c r="U12" i="1" s="1"/>
  <c r="T11" i="1"/>
  <c r="S11" i="1"/>
  <c r="V11" i="1" s="1"/>
  <c r="R11" i="1"/>
  <c r="U11" i="1" s="1"/>
  <c r="T10" i="1"/>
  <c r="W10" i="1" s="1"/>
  <c r="S10" i="1"/>
  <c r="V10" i="1" s="1"/>
  <c r="R10" i="1"/>
  <c r="U10" i="1" s="1"/>
  <c r="T9" i="1"/>
  <c r="W9" i="1" s="1"/>
  <c r="S9" i="1"/>
  <c r="V9" i="1" s="1"/>
  <c r="R9" i="1"/>
  <c r="U9" i="1" s="1"/>
  <c r="T8" i="1"/>
  <c r="W8" i="1" s="1"/>
  <c r="S8" i="1"/>
  <c r="V8" i="1" s="1"/>
  <c r="R8" i="1"/>
  <c r="U8" i="1" s="1"/>
  <c r="T7" i="1"/>
  <c r="W7" i="1" s="1"/>
  <c r="S7" i="1"/>
  <c r="R7" i="1"/>
  <c r="U7" i="1" s="1"/>
  <c r="C3" i="1"/>
  <c r="G139" i="1" l="1"/>
  <c r="C142" i="1"/>
  <c r="D140" i="1"/>
  <c r="C139" i="1"/>
  <c r="X30" i="1"/>
  <c r="F139" i="1"/>
  <c r="C140" i="1"/>
  <c r="G141" i="1"/>
  <c r="F140" i="1"/>
  <c r="F142" i="1"/>
  <c r="X131" i="1"/>
  <c r="G140" i="1"/>
  <c r="C141" i="1"/>
  <c r="G142" i="1"/>
  <c r="E139" i="1"/>
  <c r="X68" i="1"/>
  <c r="X76" i="1"/>
  <c r="X84" i="1"/>
  <c r="F141" i="1"/>
  <c r="E140" i="1"/>
  <c r="E142" i="1"/>
  <c r="D139" i="1"/>
  <c r="D141" i="1"/>
  <c r="X103" i="1"/>
  <c r="X122" i="1"/>
  <c r="X109" i="1"/>
  <c r="L62" i="1"/>
  <c r="X130" i="1"/>
  <c r="X34" i="1"/>
  <c r="X71" i="1"/>
  <c r="X20" i="1"/>
  <c r="X72" i="1"/>
  <c r="X41" i="1"/>
  <c r="X54" i="1"/>
  <c r="X46" i="1"/>
  <c r="X51" i="1"/>
  <c r="X53" i="1"/>
  <c r="X38" i="1"/>
  <c r="X49" i="1"/>
  <c r="X111" i="1"/>
  <c r="X124" i="1"/>
  <c r="X128" i="1"/>
  <c r="S133" i="1"/>
  <c r="X108" i="1"/>
  <c r="X118" i="1"/>
  <c r="X114" i="1"/>
  <c r="X127" i="1"/>
  <c r="X132" i="1"/>
  <c r="X121" i="1"/>
  <c r="X104" i="1"/>
  <c r="X106" i="1"/>
  <c r="X110" i="1"/>
  <c r="X95" i="1"/>
  <c r="X67" i="1"/>
  <c r="X59" i="1"/>
  <c r="X52" i="1"/>
  <c r="X47" i="1"/>
  <c r="X17" i="1"/>
  <c r="X33" i="1"/>
  <c r="Z23" i="1"/>
  <c r="X43" i="1"/>
  <c r="X32" i="1"/>
  <c r="X40" i="1"/>
  <c r="X45" i="1"/>
  <c r="X9" i="1"/>
  <c r="X19" i="1"/>
  <c r="X16" i="1"/>
  <c r="X15" i="1"/>
  <c r="X13" i="1"/>
  <c r="X92" i="1"/>
  <c r="X91" i="1"/>
  <c r="X75" i="1"/>
  <c r="T22" i="1"/>
  <c r="X87" i="1"/>
  <c r="X48" i="1"/>
  <c r="S22" i="1"/>
  <c r="V61" i="1"/>
  <c r="X79" i="1"/>
  <c r="X10" i="1"/>
  <c r="X70" i="1"/>
  <c r="X73" i="1"/>
  <c r="X89" i="1"/>
  <c r="X81" i="1"/>
  <c r="X14" i="1"/>
  <c r="X29" i="1"/>
  <c r="X37" i="1"/>
  <c r="X83" i="1"/>
  <c r="W11" i="1"/>
  <c r="W22" i="1" s="1"/>
  <c r="X28" i="1"/>
  <c r="X44" i="1"/>
  <c r="X58" i="1"/>
  <c r="R97" i="1"/>
  <c r="X86" i="1"/>
  <c r="V133" i="1"/>
  <c r="X115" i="1"/>
  <c r="X117" i="1"/>
  <c r="V7" i="1"/>
  <c r="V22" i="1" s="1"/>
  <c r="X31" i="1"/>
  <c r="X36" i="1"/>
  <c r="X56" i="1"/>
  <c r="X60" i="1"/>
  <c r="X69" i="1"/>
  <c r="X94" i="1"/>
  <c r="X112" i="1"/>
  <c r="X116" i="1"/>
  <c r="X119" i="1"/>
  <c r="X35" i="1"/>
  <c r="U22" i="1"/>
  <c r="X78" i="1"/>
  <c r="X12" i="1"/>
  <c r="R61" i="1"/>
  <c r="X39" i="1"/>
  <c r="X42" i="1"/>
  <c r="X50" i="1"/>
  <c r="T97" i="1"/>
  <c r="X74" i="1"/>
  <c r="X123" i="1"/>
  <c r="X125" i="1"/>
  <c r="T133" i="1"/>
  <c r="X21" i="1"/>
  <c r="W133" i="1"/>
  <c r="V97" i="1"/>
  <c r="X77" i="1"/>
  <c r="X105" i="1"/>
  <c r="X120" i="1"/>
  <c r="T61" i="1"/>
  <c r="W97" i="1"/>
  <c r="X80" i="1"/>
  <c r="X82" i="1"/>
  <c r="X85" i="1"/>
  <c r="X88" i="1"/>
  <c r="X90" i="1"/>
  <c r="X96" i="1"/>
  <c r="S97" i="1"/>
  <c r="X126" i="1"/>
  <c r="X8" i="1"/>
  <c r="S61" i="1"/>
  <c r="X129" i="1"/>
  <c r="X55" i="1"/>
  <c r="X57" i="1"/>
  <c r="R22" i="1"/>
  <c r="X18" i="1"/>
  <c r="U27" i="1"/>
  <c r="X93" i="1"/>
  <c r="R133" i="1"/>
  <c r="X113" i="1"/>
  <c r="U102" i="1"/>
  <c r="U66" i="1"/>
  <c r="W27" i="1"/>
  <c r="W61" i="1" s="1"/>
  <c r="C143" i="1" l="1"/>
  <c r="G143" i="1"/>
  <c r="H142" i="1"/>
  <c r="H140" i="1"/>
  <c r="E143" i="1"/>
  <c r="F143" i="1"/>
  <c r="H139" i="1"/>
  <c r="D143" i="1"/>
  <c r="H141" i="1"/>
  <c r="T139" i="1"/>
  <c r="R62" i="1"/>
  <c r="X11" i="1"/>
  <c r="R139" i="1"/>
  <c r="R141" i="1" s="1"/>
  <c r="V139" i="1"/>
  <c r="V141" i="1" s="1"/>
  <c r="S139" i="1"/>
  <c r="S135" i="1"/>
  <c r="W139" i="1"/>
  <c r="W141" i="1" s="1"/>
  <c r="V23" i="1"/>
  <c r="V135" i="1"/>
  <c r="V24" i="1"/>
  <c r="T135" i="1"/>
  <c r="X7" i="1"/>
  <c r="U61" i="1"/>
  <c r="X27" i="1"/>
  <c r="X61" i="1" s="1"/>
  <c r="R135" i="1"/>
  <c r="R24" i="1"/>
  <c r="R23" i="1"/>
  <c r="W24" i="1"/>
  <c r="W135" i="1"/>
  <c r="W23" i="1"/>
  <c r="X66" i="1"/>
  <c r="X97" i="1" s="1"/>
  <c r="U97" i="1"/>
  <c r="X102" i="1"/>
  <c r="X133" i="1" s="1"/>
  <c r="U133" i="1"/>
  <c r="H144" i="1" l="1"/>
  <c r="X22" i="1"/>
  <c r="X135" i="1" s="1"/>
  <c r="S137" i="1"/>
  <c r="T137" i="1"/>
  <c r="U135" i="1"/>
  <c r="R137" i="1"/>
  <c r="AF4" i="3" l="1"/>
  <c r="AF74" i="3"/>
  <c r="AF73" i="3"/>
  <c r="AF71" i="3"/>
  <c r="AF70" i="3"/>
  <c r="AF68" i="3"/>
  <c r="AF67" i="3"/>
  <c r="AF65" i="3"/>
  <c r="AF64" i="3"/>
  <c r="AF62" i="3"/>
  <c r="AF61" i="3"/>
  <c r="AF59" i="3"/>
  <c r="AF58" i="3"/>
  <c r="AF56" i="3"/>
  <c r="AF55" i="3"/>
  <c r="AF53" i="3"/>
  <c r="AF52" i="3"/>
  <c r="AF50" i="3"/>
  <c r="AF49" i="3"/>
  <c r="AF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<sst xmlns="http://schemas.openxmlformats.org/spreadsheetml/2006/main" count="842" uniqueCount="213">
  <si>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</si>
  <si>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</si>
  <si>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</si>
  <si>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</si>
  <si>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</si>
  <si>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</si>
  <si>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</si>
  <si>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</si>
  <si>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SEMANA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</si>
  <si>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</si>
  <si>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</si>
  <si>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</si>
  <si>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</si>
  <si>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</si>
  <si>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</si>
  <si>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</si>
  <si>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</si>
  <si>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</si>
  <si>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</si>
  <si>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</si>
  <si>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</si>
  <si>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</si>
  <si>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</si>
  <si>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</si>
  <si>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</si>
  <si>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</si>
  <si>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</si>
  <si>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</si>
  <si>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</si>
  <si>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</si>
  <si>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</si>
  <si>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</si>
  <si>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</si>
  <si>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</si>
  <si>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</si>
  <si>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</si>
  <si>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</si>
  <si>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</si>
  <si>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</si>
  <si>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</si>
  <si>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</si>
  <si>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</si>
  <si>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</si>
  <si>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</si>
  <si>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</si>
  <si>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</si>
  <si>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</si>
  <si>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</si>
  <si>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</si>
  <si>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</si>
  <si>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</si>
  <si>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</si>
  <si>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</si>
  <si>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</si>
  <si>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</si>
  <si>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</si>
  <si>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</si>
  <si>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</si>
  <si>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</si>
  <si>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</si>
  <si>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</si>
  <si>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</si>
  <si>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</si>
  <si>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</si>
  <si>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</si>
  <si>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</si>
  <si>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</si>
  <si>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</si>
  <si>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</si>
  <si>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</si>
  <si>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</si>
  <si>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</si>
  <si>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</si>
  <si>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</si>
  <si>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</si>
  <si>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</si>
  <si>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</si>
  <si>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</si>
  <si>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</si>
  <si>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</si>
  <si>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</si>
  <si>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</si>
  <si>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</si>
  <si>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</si>
  <si>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</si>
  <si>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</si>
  <si>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</si>
  <si>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</si>
  <si>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</si>
  <si>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</si>
  <si>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</si>
  <si>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</si>
  <si>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</si>
  <si>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</si>
  <si>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</si>
  <si>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</si>
  <si>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</si>
  <si>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</si>
  <si>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</si>
  <si>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</si>
  <si>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</si>
  <si>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</si>
  <si>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</si>
  <si>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</si>
  <si>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</si>
  <si>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</si>
  <si>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</si>
  <si>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</si>
  <si>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</si>
  <si>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</si>
  <si>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</si>
  <si>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LUNES</t>
  </si>
  <si>
    <t>MARTES</t>
  </si>
  <si>
    <t>MIÉRCOLES</t>
  </si>
  <si>
    <t>JUEVES</t>
  </si>
  <si>
    <t>VIERNES</t>
  </si>
  <si>
    <t>SÁBADO</t>
  </si>
  <si>
    <t>DOMINGO</t>
  </si>
  <si>
    <t>X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</si>
  <si>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</si>
  <si>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</si>
  <si>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</si>
  <si>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</si>
  <si>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</si>
  <si>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</si>
  <si>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</si>
  <si>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</si>
  <si>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</si>
  <si>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</si>
  <si>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</si>
  <si>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</si>
  <si>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</si>
  <si>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</si>
  <si>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</si>
  <si>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</si>
  <si>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</si>
  <si>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</si>
  <si>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</si>
  <si>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</si>
  <si>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</si>
  <si>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</si>
  <si>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</si>
  <si>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</si>
  <si>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</si>
  <si>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</si>
  <si>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</si>
  <si>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</si>
  <si>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</si>
  <si>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</si>
  <si>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</si>
  <si>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</si>
  <si>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</si>
  <si>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</si>
  <si>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</si>
  <si>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</si>
  <si>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</si>
  <si>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</si>
  <si>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</si>
  <si>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</si>
  <si>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</si>
  <si>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</si>
  <si>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</si>
  <si>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</si>
  <si>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</si>
  <si>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NEIVA CATALINA FIALLOS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</si>
  <si>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</si>
  <si>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</si>
  <si>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</si>
  <si>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</si>
  <si>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</si>
  <si>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</si>
  <si>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>MARIA MARTINA MENDOZA TELEMAZA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</si>
  <si>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</si>
  <si>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</si>
  <si>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</si>
  <si>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</si>
  <si>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</si>
  <si>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</si>
  <si>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</si>
  <si>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</si>
  <si>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</si>
  <si>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</si>
  <si>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</si>
  <si>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</si>
  <si>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</si>
  <si>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BAJA ENF.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</si>
  <si>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</si>
  <si>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</si>
  <si>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</si>
  <si>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</si>
  <si>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</si>
  <si>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</si>
  <si>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>VACACIONES</t>
  </si>
  <si>
    <t>SANTILLAN MONTESDEOCA MONICA ELIZABETH</t>
  </si>
  <si>
    <t>PANTA ORDOÑEZ EVELING ELIZABETH</t>
  </si>
  <si>
    <t>SENANA DEL 1-4 AGOSTO 24</t>
  </si>
  <si>
    <t xml:space="preserve">BAJA </t>
  </si>
  <si>
    <t>NORMAJULEYSI QUEZADA FERNANDEZ</t>
  </si>
  <si>
    <t>EL MOUSSAQUI MIMOUN</t>
  </si>
  <si>
    <t>YASSINE EL AZIZI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</si>
  <si>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</si>
  <si>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</si>
  <si>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</si>
  <si>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</si>
  <si>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</si>
  <si>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</si>
  <si>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</si>
  <si>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</si>
  <si>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</si>
  <si>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</si>
  <si>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</si>
  <si>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VERONICA SANCHEZ</t>
  </si>
  <si>
    <t>Cod Empleado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</si>
</sst>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  <numFmt numFmtId="167" formatCode="#,##0.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31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0" fillId="0" borderId="1" xfId="0" applyBorder="1"/>
    <xf numFmtId="0" fontId="12" fillId="0" borderId="1" xfId="0" applyFont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0" fillId="2" borderId="12" xfId="0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9" borderId="20" xfId="0" applyFont="1" applyFill="1" applyBorder="1" applyAlignment="1">
      <alignment horizontal="center"/>
    </xf>
    <xf numFmtId="0" fontId="17" fillId="9" borderId="21" xfId="0" applyFont="1" applyFill="1" applyBorder="1"/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0" xfId="0" applyFill="1"/>
    <xf numFmtId="0" fontId="12" fillId="2" borderId="26" xfId="0" applyFont="1" applyFill="1" applyBorder="1" applyAlignment="1">
      <alignment horizontal="center"/>
    </xf>
    <xf numFmtId="0" fontId="0" fillId="2" borderId="27" xfId="0" applyFill="1" applyBorder="1"/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0" fillId="2" borderId="29" xfId="0" applyFill="1" applyBorder="1"/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17" fillId="9" borderId="5" xfId="0" applyFont="1" applyFill="1" applyBorder="1"/>
    <xf numFmtId="0" fontId="0" fillId="9" borderId="34" xfId="0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2" borderId="38" xfId="0" applyFill="1" applyBorder="1"/>
    <xf numFmtId="0" fontId="0" fillId="2" borderId="39" xfId="0" applyFill="1" applyBorder="1" applyAlignment="1">
      <alignment horizontal="center"/>
    </xf>
    <xf numFmtId="0" fontId="0" fillId="2" borderId="40" xfId="0" applyFill="1" applyBorder="1"/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2" fillId="9" borderId="26" xfId="0" applyFont="1" applyFill="1" applyBorder="1" applyAlignment="1">
      <alignment horizontal="center"/>
    </xf>
    <xf numFmtId="0" fontId="0" fillId="2" borderId="46" xfId="0" applyFill="1" applyBorder="1"/>
    <xf numFmtId="0" fontId="0" fillId="2" borderId="13" xfId="0" applyFill="1" applyBorder="1"/>
    <xf numFmtId="0" fontId="0" fillId="9" borderId="20" xfId="0" applyFill="1" applyBorder="1" applyAlignment="1">
      <alignment horizontal="center"/>
    </xf>
    <xf numFmtId="0" fontId="0" fillId="2" borderId="47" xfId="0" applyFill="1" applyBorder="1"/>
    <xf numFmtId="0" fontId="0" fillId="2" borderId="26" xfId="0" applyFill="1" applyBorder="1"/>
    <xf numFmtId="0" fontId="12" fillId="9" borderId="21" xfId="0" applyFont="1" applyFill="1" applyBorder="1" applyAlignment="1">
      <alignment horizontal="center"/>
    </xf>
    <xf numFmtId="0" fontId="17" fillId="9" borderId="20" xfId="0" applyFont="1" applyFill="1" applyBorder="1"/>
    <xf numFmtId="0" fontId="12" fillId="2" borderId="12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2" borderId="47" xfId="0" applyFont="1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17" fillId="9" borderId="49" xfId="0" applyFont="1" applyFill="1" applyBorder="1"/>
    <xf numFmtId="0" fontId="0" fillId="2" borderId="0" xfId="0" applyFill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4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8" borderId="1" xfId="0" applyFont="1" applyFill="1" applyBorder="1"/>
    <xf numFmtId="1" fontId="5" fillId="8" borderId="1" xfId="0" applyNumberFormat="1" applyFont="1" applyFill="1" applyBorder="1"/>
    <xf numFmtId="0" fontId="5" fillId="9" borderId="1" xfId="0" applyFont="1" applyFill="1" applyBorder="1"/>
    <xf numFmtId="0" fontId="9" fillId="9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0" fillId="9" borderId="21" xfId="0" applyFill="1" applyBorder="1"/>
    <xf numFmtId="0" fontId="0" fillId="9" borderId="45" xfId="0" applyFill="1" applyBorder="1"/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16" fillId="10" borderId="18" xfId="0" applyFon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42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0" xfId="0" applyFill="1"/>
    <xf numFmtId="0" fontId="16" fillId="0" borderId="18" xfId="0" applyFont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0" fillId="10" borderId="21" xfId="0" applyFill="1" applyBorder="1"/>
    <xf numFmtId="0" fontId="0" fillId="2" borderId="5" xfId="0" applyFill="1" applyBorder="1" applyAlignment="1">
      <alignment horizontal="center"/>
    </xf>
    <xf numFmtId="0" fontId="17" fillId="2" borderId="21" xfId="0" applyFont="1" applyFill="1" applyBorder="1"/>
    <xf numFmtId="0" fontId="0" fillId="2" borderId="24" xfId="0" applyFill="1" applyBorder="1" applyAlignment="1">
      <alignment horizontal="center"/>
    </xf>
    <xf numFmtId="0" fontId="0" fillId="2" borderId="50" xfId="0" applyFill="1" applyBorder="1" applyAlignment="1">
      <alignment horizontal="center"/>
    </xf>
    <xf numFmtId="0" fontId="17" fillId="2" borderId="5" xfId="0" applyFont="1" applyFill="1" applyBorder="1"/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12" fillId="2" borderId="21" xfId="0" applyFont="1" applyFill="1" applyBorder="1" applyAlignment="1">
      <alignment horizontal="center"/>
    </xf>
    <xf numFmtId="0" fontId="17" fillId="2" borderId="20" xfId="0" applyFont="1" applyFill="1" applyBorder="1"/>
    <xf numFmtId="0" fontId="17" fillId="2" borderId="49" xfId="0" applyFont="1" applyFill="1" applyBorder="1"/>
    <xf numFmtId="0" fontId="12" fillId="2" borderId="9" xfId="0" applyFont="1" applyFill="1" applyBorder="1" applyAlignment="1">
      <alignment horizontal="center"/>
    </xf>
    <xf numFmtId="0" fontId="12" fillId="2" borderId="49" xfId="0" applyFont="1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14" fillId="2" borderId="0" xfId="0" applyFont="1" applyFill="1"/>
    <xf numFmtId="0" fontId="5" fillId="2" borderId="51" xfId="0" applyFont="1" applyFill="1" applyBorder="1" applyAlignment="1">
      <alignment horizontal="right"/>
    </xf>
    <xf numFmtId="3" fontId="5" fillId="2" borderId="51" xfId="0" applyNumberFormat="1" applyFont="1" applyFill="1" applyBorder="1"/>
    <xf numFmtId="167" fontId="5" fillId="2" borderId="0" xfId="0" applyNumberFormat="1" applyFont="1" applyFill="1"/>
    <xf numFmtId="167" fontId="5" fillId="2" borderId="51" xfId="0" applyNumberFormat="1" applyFont="1" applyFill="1" applyBorder="1"/>
    <xf numFmtId="167" fontId="5" fillId="2" borderId="0" xfId="0" applyNumberFormat="1" applyFont="1" applyFill="1" applyAlignment="1">
      <alignment horizontal="right"/>
    </xf>
    <xf numFmtId="164" fontId="5" fillId="2" borderId="0" xfId="0" applyNumberFormat="1" applyFont="1" applyFill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0" fillId="2" borderId="53" xfId="0" applyFill="1" applyBorder="1"/>
    <xf numFmtId="167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21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21" xfId="0" applyFill="1" applyBorder="1" applyAlignment="1"/>
    <xf numFmtId="0" fontId="0" fillId="9" borderId="45" xfId="0" applyFill="1" applyBorder="1" applyAlignment="1"/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18" xfId="0" applyFont="1" applyFill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10" borderId="18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right"/>
    </xf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273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2:Z50001"/>
  <sheetViews>
    <sheetView tabSelected="1" topLeftCell="A61" zoomScale="85" zoomScaleNormal="85" workbookViewId="0">
      <selection activeCell="B79" sqref="B79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6.85546875" style="2" customWidth="1"/>
    <col min="4" max="4" width="8.42578125" style="2" bestFit="1" customWidth="1"/>
    <col min="5" max="5" width="7" style="2" customWidth="1"/>
    <col min="6" max="6" width="7.42578125" style="2" customWidth="1"/>
    <col min="7" max="7" width="7.8554687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17" width="8.140625" style="6" customWidth="1"/>
    <col min="18" max="20" width="12.5703125" style="2" customWidth="1"/>
    <col min="21" max="21" width="13.85546875" style="2" bestFit="1" customWidth="1"/>
    <col min="22" max="24" width="12.5703125" style="2" customWidth="1"/>
    <col min="25" max="25" width="13.28515625" style="1" customWidth="1"/>
    <col min="26" max="26" width="14" style="1" customWidth="1"/>
    <col min="27" max="16384" width="11.28515625" style="1"/>
  </cols>
  <sheetData>
    <row r="2" spans="1:25" x14ac:dyDescent="0.25">
      <c r="M2" s="188"/>
    </row>
    <row r="3" spans="1:25" x14ac:dyDescent="0.25">
      <c r="C3" s="2">
        <f>11+9.5+11.5+10+10</f>
        <v>52</v>
      </c>
    </row>
    <row r="4" spans="1:25" ht="12" customHeight="1" x14ac:dyDescent="0.25"/>
    <row r="5" spans="1:25" ht="18.75" x14ac:dyDescent="0.25">
      <c r="A5" s="203" t="s">
        <v>21</v>
      </c>
      <c r="B5" s="204"/>
      <c r="C5" s="194" t="s">
        <v>8</v>
      </c>
      <c r="D5" s="195"/>
      <c r="E5" s="196"/>
      <c r="F5" s="194" t="s">
        <v>8</v>
      </c>
      <c r="G5" s="195"/>
      <c r="H5" s="196"/>
      <c r="I5" s="194" t="s">
        <v>8</v>
      </c>
      <c r="J5" s="195"/>
      <c r="K5" s="196"/>
      <c r="L5" s="194" t="s">
        <v>8</v>
      </c>
      <c r="M5" s="195"/>
      <c r="N5" s="196"/>
      <c r="O5" s="199" t="s">
        <v>8</v>
      </c>
      <c r="P5" s="200"/>
      <c r="Q5" s="201"/>
      <c r="R5" s="197" t="s">
        <v>13</v>
      </c>
      <c r="S5" s="197"/>
      <c r="T5" s="197"/>
      <c r="U5" s="197" t="s">
        <v>12</v>
      </c>
      <c r="V5" s="197"/>
      <c r="W5" s="197"/>
      <c r="X5" s="197"/>
    </row>
    <row r="6" spans="1:25" ht="15" customHeight="1" x14ac:dyDescent="0.25">
      <c r="A6" s="78" t="s">
        <v>0</v>
      </c>
      <c r="B6" s="4" t="s">
        <v>1</v>
      </c>
      <c r="C6" s="202" t="s">
        <v>139</v>
      </c>
      <c r="D6" s="202"/>
      <c r="E6" s="202"/>
      <c r="F6" s="202" t="s">
        <v>140</v>
      </c>
      <c r="G6" s="202"/>
      <c r="H6" s="202"/>
      <c r="I6" s="202" t="s">
        <v>141</v>
      </c>
      <c r="J6" s="202"/>
      <c r="K6" s="202"/>
      <c r="L6" s="198" t="s">
        <v>142</v>
      </c>
      <c r="M6" s="198"/>
      <c r="N6" s="198"/>
      <c r="O6" s="198" t="s">
        <v>143</v>
      </c>
      <c r="P6" s="198"/>
      <c r="Q6" s="198"/>
      <c r="R6" s="3" t="s">
        <v>11</v>
      </c>
      <c r="S6" s="3" t="s">
        <v>10</v>
      </c>
      <c r="T6" s="3" t="s">
        <v>9</v>
      </c>
      <c r="U6" s="3" t="s">
        <v>11</v>
      </c>
      <c r="V6" s="3" t="s">
        <v>10</v>
      </c>
      <c r="W6" s="3" t="s">
        <v>9</v>
      </c>
      <c r="X6" s="4" t="s">
        <v>14</v>
      </c>
    </row>
    <row r="7" spans="1:25" x14ac:dyDescent="0.25">
      <c r="A7" s="79">
        <v>11488</v>
      </c>
      <c r="B7" s="4" t="s">
        <v>15</v>
      </c>
      <c r="C7" s="81"/>
      <c r="D7" s="82"/>
      <c r="E7" s="83"/>
      <c r="F7" s="81">
        <v>27.5</v>
      </c>
      <c r="G7" s="82">
        <v>0</v>
      </c>
      <c r="H7" s="84">
        <v>0</v>
      </c>
      <c r="I7" s="81"/>
      <c r="J7" s="82"/>
      <c r="K7" s="83"/>
      <c r="L7" s="81"/>
      <c r="M7" s="82"/>
      <c r="N7" s="83"/>
      <c r="O7" s="98"/>
      <c r="P7" s="87"/>
      <c r="Q7" s="88"/>
      <c r="R7" s="101">
        <f t="shared" ref="R7:R21" si="0">C7+F7+I7+L7+O7</f>
        <v>27.5</v>
      </c>
      <c r="S7" s="82">
        <f t="shared" ref="S7:S21" si="1">D7+G7+J7+M7+P7</f>
        <v>0</v>
      </c>
      <c r="T7" s="83">
        <f t="shared" ref="T7:T21" si="2">E7+H7+K7+N7+Q7</f>
        <v>0</v>
      </c>
      <c r="U7" s="132">
        <f t="shared" ref="U7:V11" si="3">R7*8.9</f>
        <v>244.75</v>
      </c>
      <c r="V7" s="133">
        <f t="shared" si="3"/>
        <v>0</v>
      </c>
      <c r="W7" s="134">
        <f>T7*11.12</f>
        <v>0</v>
      </c>
      <c r="X7" s="5">
        <f t="shared" ref="X7:X21" si="4">SUM(U7:W7)</f>
        <v>244.75</v>
      </c>
    </row>
    <row r="8" spans="1:25" x14ac:dyDescent="0.25">
      <c r="A8" s="79">
        <v>11467</v>
      </c>
      <c r="B8" s="4" t="s">
        <v>16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81">
        <f t="shared" si="0"/>
        <v>0</v>
      </c>
      <c r="S8" s="82">
        <f t="shared" si="1"/>
        <v>0</v>
      </c>
      <c r="T8" s="83">
        <f t="shared" si="2"/>
        <v>0</v>
      </c>
      <c r="U8" s="132">
        <f t="shared" si="3"/>
        <v>0</v>
      </c>
      <c r="V8" s="133">
        <f t="shared" si="3"/>
        <v>0</v>
      </c>
      <c r="W8" s="134">
        <f>T8*11.12</f>
        <v>0</v>
      </c>
      <c r="X8" s="5">
        <f t="shared" si="4"/>
        <v>0</v>
      </c>
      <c r="Y8" s="1" t="s">
        <v>130</v>
      </c>
    </row>
    <row r="9" spans="1:25" x14ac:dyDescent="0.25">
      <c r="A9" s="79">
        <v>11482</v>
      </c>
      <c r="B9" s="4" t="s">
        <v>18</v>
      </c>
      <c r="C9" s="81"/>
      <c r="D9" s="82"/>
      <c r="E9" s="83"/>
      <c r="F9" s="81">
        <v>26.5</v>
      </c>
      <c r="G9" s="82">
        <v>0</v>
      </c>
      <c r="H9" s="84">
        <v>0</v>
      </c>
      <c r="I9" s="81"/>
      <c r="J9" s="82"/>
      <c r="K9" s="83"/>
      <c r="L9" s="81"/>
      <c r="M9" s="82"/>
      <c r="N9" s="83"/>
      <c r="O9" s="98"/>
      <c r="P9" s="100"/>
      <c r="Q9" s="99"/>
      <c r="R9" s="81">
        <f t="shared" si="0"/>
        <v>26.5</v>
      </c>
      <c r="S9" s="82">
        <f t="shared" si="1"/>
        <v>0</v>
      </c>
      <c r="T9" s="83">
        <f t="shared" si="2"/>
        <v>0</v>
      </c>
      <c r="U9" s="132">
        <f t="shared" si="3"/>
        <v>235.85000000000002</v>
      </c>
      <c r="V9" s="133">
        <f t="shared" si="3"/>
        <v>0</v>
      </c>
      <c r="W9" s="134">
        <f>T9*11.12</f>
        <v>0</v>
      </c>
      <c r="X9" s="5">
        <f t="shared" si="4"/>
        <v>235.85000000000002</v>
      </c>
    </row>
    <row r="10" spans="1:25" x14ac:dyDescent="0.25">
      <c r="A10" s="78">
        <v>11524</v>
      </c>
      <c r="B10" s="4" t="s">
        <v>125</v>
      </c>
      <c r="C10" s="81"/>
      <c r="D10" s="82"/>
      <c r="E10" s="83"/>
      <c r="F10" s="81">
        <v>32</v>
      </c>
      <c r="G10" s="82">
        <v>0</v>
      </c>
      <c r="H10" s="83">
        <v>0</v>
      </c>
      <c r="I10" s="81"/>
      <c r="J10" s="82"/>
      <c r="K10" s="83"/>
      <c r="L10" s="81"/>
      <c r="M10" s="82"/>
      <c r="N10" s="83"/>
      <c r="O10" s="98"/>
      <c r="P10" s="100"/>
      <c r="Q10" s="99"/>
      <c r="R10" s="98">
        <f t="shared" si="0"/>
        <v>32</v>
      </c>
      <c r="S10" s="82">
        <f t="shared" si="1"/>
        <v>0</v>
      </c>
      <c r="T10" s="83">
        <f t="shared" si="2"/>
        <v>0</v>
      </c>
      <c r="U10" s="132">
        <f t="shared" si="3"/>
        <v>284.8</v>
      </c>
      <c r="V10" s="133">
        <f t="shared" si="3"/>
        <v>0</v>
      </c>
      <c r="W10" s="134">
        <f>T10*11.12</f>
        <v>0</v>
      </c>
      <c r="X10" s="5">
        <f t="shared" si="4"/>
        <v>284.8</v>
      </c>
    </row>
    <row r="11" spans="1:25" x14ac:dyDescent="0.25">
      <c r="A11" s="79">
        <v>11490</v>
      </c>
      <c r="B11" s="4" t="s">
        <v>94</v>
      </c>
      <c r="C11" s="81"/>
      <c r="D11" s="82"/>
      <c r="E11" s="83"/>
      <c r="F11" s="81">
        <v>20.5</v>
      </c>
      <c r="G11" s="82">
        <v>0</v>
      </c>
      <c r="H11" s="84">
        <v>0</v>
      </c>
      <c r="I11" s="81"/>
      <c r="J11" s="82"/>
      <c r="K11" s="83"/>
      <c r="L11" s="81"/>
      <c r="M11" s="82"/>
      <c r="N11" s="83"/>
      <c r="O11" s="98"/>
      <c r="P11" s="87"/>
      <c r="Q11" s="99"/>
      <c r="R11" s="81">
        <f t="shared" si="0"/>
        <v>20.5</v>
      </c>
      <c r="S11" s="82">
        <f t="shared" si="1"/>
        <v>0</v>
      </c>
      <c r="T11" s="83">
        <f t="shared" si="2"/>
        <v>0</v>
      </c>
      <c r="U11" s="132">
        <f t="shared" si="3"/>
        <v>182.45000000000002</v>
      </c>
      <c r="V11" s="133">
        <f t="shared" si="3"/>
        <v>0</v>
      </c>
      <c r="W11" s="134">
        <f>T11*11.12</f>
        <v>0</v>
      </c>
      <c r="X11" s="5">
        <f t="shared" si="4"/>
        <v>182.45000000000002</v>
      </c>
    </row>
    <row r="12" spans="1:25" x14ac:dyDescent="0.25">
      <c r="A12" s="97">
        <v>11438</v>
      </c>
      <c r="B12" s="124" t="s">
        <v>2</v>
      </c>
      <c r="C12" s="81"/>
      <c r="D12" s="82"/>
      <c r="E12" s="83"/>
      <c r="F12" s="81"/>
      <c r="G12" s="82"/>
      <c r="H12" s="83"/>
      <c r="I12" s="81"/>
      <c r="J12" s="82"/>
      <c r="K12" s="83"/>
      <c r="L12" s="81"/>
      <c r="M12" s="82"/>
      <c r="N12" s="83"/>
      <c r="O12" s="98"/>
      <c r="P12" s="102"/>
      <c r="Q12" s="84"/>
      <c r="R12" s="81">
        <f t="shared" si="0"/>
        <v>0</v>
      </c>
      <c r="S12" s="82">
        <f t="shared" si="1"/>
        <v>0</v>
      </c>
      <c r="T12" s="83">
        <f t="shared" si="2"/>
        <v>0</v>
      </c>
      <c r="U12" s="132">
        <f>R12*9.56</f>
        <v>0</v>
      </c>
      <c r="V12" s="133">
        <f>S12*9.56</f>
        <v>0</v>
      </c>
      <c r="W12" s="134">
        <f>T12*11.95</f>
        <v>0</v>
      </c>
      <c r="X12" s="5">
        <f t="shared" si="4"/>
        <v>0</v>
      </c>
    </row>
    <row r="13" spans="1:25" x14ac:dyDescent="0.25">
      <c r="A13" s="79">
        <v>11375</v>
      </c>
      <c r="B13" s="4" t="s">
        <v>99</v>
      </c>
      <c r="C13" s="81"/>
      <c r="D13" s="82"/>
      <c r="E13" s="83"/>
      <c r="F13" s="81">
        <v>32</v>
      </c>
      <c r="G13" s="82">
        <v>0</v>
      </c>
      <c r="H13" s="84">
        <v>0</v>
      </c>
      <c r="I13" s="81"/>
      <c r="J13" s="82"/>
      <c r="K13" s="83"/>
      <c r="L13" s="81"/>
      <c r="M13" s="82"/>
      <c r="N13" s="83"/>
      <c r="O13" s="98"/>
      <c r="P13" s="87"/>
      <c r="Q13" s="88"/>
      <c r="R13" s="81">
        <f t="shared" si="0"/>
        <v>32</v>
      </c>
      <c r="S13" s="82">
        <f t="shared" si="1"/>
        <v>0</v>
      </c>
      <c r="T13" s="83">
        <f t="shared" si="2"/>
        <v>0</v>
      </c>
      <c r="U13" s="132">
        <f t="shared" ref="U13:V15" si="5">R13*8.9</f>
        <v>284.8</v>
      </c>
      <c r="V13" s="133">
        <f t="shared" si="5"/>
        <v>0</v>
      </c>
      <c r="W13" s="134">
        <f>T13*11.12</f>
        <v>0</v>
      </c>
      <c r="X13" s="5">
        <f t="shared" si="4"/>
        <v>284.8</v>
      </c>
    </row>
    <row r="14" spans="1:25" x14ac:dyDescent="0.25">
      <c r="A14" s="79">
        <v>11505</v>
      </c>
      <c r="B14" s="4" t="s">
        <v>100</v>
      </c>
      <c r="C14" s="81"/>
      <c r="D14" s="82"/>
      <c r="E14" s="83"/>
      <c r="F14" s="81">
        <v>35.5</v>
      </c>
      <c r="G14" s="82">
        <v>0</v>
      </c>
      <c r="H14" s="84">
        <v>0</v>
      </c>
      <c r="I14" s="81"/>
      <c r="J14" s="82"/>
      <c r="K14" s="83"/>
      <c r="L14" s="81"/>
      <c r="M14" s="82"/>
      <c r="N14" s="83"/>
      <c r="O14" s="98"/>
      <c r="P14" s="87"/>
      <c r="Q14" s="84"/>
      <c r="R14" s="81">
        <f t="shared" si="0"/>
        <v>35.5</v>
      </c>
      <c r="S14" s="82">
        <f t="shared" si="1"/>
        <v>0</v>
      </c>
      <c r="T14" s="83">
        <f t="shared" si="2"/>
        <v>0</v>
      </c>
      <c r="U14" s="132">
        <f t="shared" si="5"/>
        <v>315.95</v>
      </c>
      <c r="V14" s="133">
        <f t="shared" si="5"/>
        <v>0</v>
      </c>
      <c r="W14" s="134">
        <f>T14*11.12</f>
        <v>0</v>
      </c>
      <c r="X14" s="5">
        <f t="shared" si="4"/>
        <v>315.95</v>
      </c>
    </row>
    <row r="15" spans="1:25" x14ac:dyDescent="0.25">
      <c r="A15" s="78">
        <v>11525</v>
      </c>
      <c r="B15" s="4" t="s">
        <v>127</v>
      </c>
      <c r="C15" s="81"/>
      <c r="D15" s="82"/>
      <c r="E15" s="83"/>
      <c r="F15" s="81">
        <v>35.5</v>
      </c>
      <c r="G15" s="82">
        <v>0</v>
      </c>
      <c r="H15" s="83">
        <v>6</v>
      </c>
      <c r="I15" s="81"/>
      <c r="J15" s="82"/>
      <c r="K15" s="83"/>
      <c r="L15" s="81"/>
      <c r="M15" s="82"/>
      <c r="N15" s="83"/>
      <c r="O15" s="98"/>
      <c r="P15" s="100"/>
      <c r="Q15" s="99"/>
      <c r="R15" s="98">
        <f t="shared" si="0"/>
        <v>35.5</v>
      </c>
      <c r="S15" s="82">
        <f t="shared" si="1"/>
        <v>0</v>
      </c>
      <c r="T15" s="83">
        <f t="shared" si="2"/>
        <v>6</v>
      </c>
      <c r="U15" s="132">
        <f t="shared" si="5"/>
        <v>315.95</v>
      </c>
      <c r="V15" s="133">
        <f t="shared" si="5"/>
        <v>0</v>
      </c>
      <c r="W15" s="134">
        <f>T15*11.12</f>
        <v>66.72</v>
      </c>
      <c r="X15" s="5">
        <f t="shared" si="4"/>
        <v>382.66999999999996</v>
      </c>
    </row>
    <row r="16" spans="1:25" x14ac:dyDescent="0.25">
      <c r="A16" s="97">
        <v>2096</v>
      </c>
      <c r="B16" s="124" t="s">
        <v>7</v>
      </c>
      <c r="C16" s="81"/>
      <c r="D16" s="82"/>
      <c r="E16" s="83"/>
      <c r="F16" s="81">
        <v>40</v>
      </c>
      <c r="G16" s="82">
        <v>6.5</v>
      </c>
      <c r="H16" s="84">
        <v>6</v>
      </c>
      <c r="I16" s="81"/>
      <c r="J16" s="82"/>
      <c r="K16" s="83"/>
      <c r="L16" s="81"/>
      <c r="M16" s="82"/>
      <c r="N16" s="83"/>
      <c r="O16" s="98"/>
      <c r="P16" s="100"/>
      <c r="Q16" s="99"/>
      <c r="R16" s="81">
        <f t="shared" si="0"/>
        <v>40</v>
      </c>
      <c r="S16" s="82">
        <f t="shared" si="1"/>
        <v>6.5</v>
      </c>
      <c r="T16" s="83">
        <f t="shared" si="2"/>
        <v>6</v>
      </c>
      <c r="U16" s="132">
        <f>R16*9.56</f>
        <v>382.40000000000003</v>
      </c>
      <c r="V16" s="133">
        <f>S16*9.56</f>
        <v>62.14</v>
      </c>
      <c r="W16" s="134">
        <f>T16*11.95</f>
        <v>71.699999999999989</v>
      </c>
      <c r="X16" s="5">
        <f t="shared" si="4"/>
        <v>516.24</v>
      </c>
    </row>
    <row r="17" spans="1:26" x14ac:dyDescent="0.25">
      <c r="A17" s="80">
        <v>11459</v>
      </c>
      <c r="B17" s="104" t="s">
        <v>48</v>
      </c>
      <c r="C17" s="107"/>
      <c r="D17" s="107"/>
      <c r="E17" s="107"/>
      <c r="F17" s="107">
        <v>30.5</v>
      </c>
      <c r="G17" s="107">
        <v>0</v>
      </c>
      <c r="H17" s="107">
        <v>0</v>
      </c>
      <c r="I17" s="107"/>
      <c r="J17" s="107"/>
      <c r="K17" s="107"/>
      <c r="L17" s="107"/>
      <c r="M17" s="107"/>
      <c r="N17" s="107"/>
      <c r="O17" s="109"/>
      <c r="P17" s="109"/>
      <c r="Q17" s="108"/>
      <c r="R17" s="81">
        <f t="shared" si="0"/>
        <v>30.5</v>
      </c>
      <c r="S17" s="82">
        <f t="shared" si="1"/>
        <v>0</v>
      </c>
      <c r="T17" s="83">
        <f t="shared" si="2"/>
        <v>0</v>
      </c>
      <c r="U17" s="132">
        <f>R17*8.9</f>
        <v>271.45</v>
      </c>
      <c r="V17" s="133">
        <f>S17*8.9</f>
        <v>0</v>
      </c>
      <c r="W17" s="134">
        <f>T17*11.12</f>
        <v>0</v>
      </c>
      <c r="X17" s="5">
        <f>SUM(U17:W17)</f>
        <v>271.45</v>
      </c>
      <c r="Y17" s="14" t="s">
        <v>149</v>
      </c>
    </row>
    <row r="18" spans="1:26" x14ac:dyDescent="0.25">
      <c r="A18" s="126">
        <v>11461</v>
      </c>
      <c r="B18" s="125" t="s">
        <v>50</v>
      </c>
      <c r="C18" s="107"/>
      <c r="D18" s="107"/>
      <c r="E18" s="107"/>
      <c r="F18" s="107">
        <v>33.5</v>
      </c>
      <c r="G18" s="107">
        <v>0</v>
      </c>
      <c r="H18" s="107">
        <v>0</v>
      </c>
      <c r="I18" s="107"/>
      <c r="J18" s="107"/>
      <c r="K18" s="107"/>
      <c r="L18" s="107"/>
      <c r="M18" s="107"/>
      <c r="N18" s="107"/>
      <c r="O18" s="107"/>
      <c r="P18" s="107"/>
      <c r="Q18" s="107"/>
      <c r="R18" s="81">
        <f t="shared" si="0"/>
        <v>33.5</v>
      </c>
      <c r="S18" s="82">
        <f t="shared" si="1"/>
        <v>0</v>
      </c>
      <c r="T18" s="83">
        <f t="shared" si="2"/>
        <v>0</v>
      </c>
      <c r="U18" s="132">
        <f>R18*8.9</f>
        <v>298.15000000000003</v>
      </c>
      <c r="V18" s="133">
        <f>S18*8.9</f>
        <v>0</v>
      </c>
      <c r="W18" s="134">
        <f>T18*11.12</f>
        <v>0</v>
      </c>
      <c r="X18" s="5">
        <f>SUM(U18:W18)</f>
        <v>298.15000000000003</v>
      </c>
      <c r="Y18" s="14" t="s">
        <v>144</v>
      </c>
    </row>
    <row r="19" spans="1:26" x14ac:dyDescent="0.25">
      <c r="A19" s="78">
        <v>11523</v>
      </c>
      <c r="B19" s="4" t="s">
        <v>126</v>
      </c>
      <c r="C19" s="81"/>
      <c r="D19" s="82"/>
      <c r="E19" s="83"/>
      <c r="F19" s="81">
        <v>35.5</v>
      </c>
      <c r="G19" s="82">
        <v>0</v>
      </c>
      <c r="H19" s="83">
        <v>0</v>
      </c>
      <c r="I19" s="81"/>
      <c r="J19" s="82"/>
      <c r="K19" s="83"/>
      <c r="L19" s="81"/>
      <c r="M19" s="82"/>
      <c r="N19" s="83"/>
      <c r="O19" s="98"/>
      <c r="P19" s="100"/>
      <c r="Q19" s="99"/>
      <c r="R19" s="98">
        <f t="shared" si="0"/>
        <v>35.5</v>
      </c>
      <c r="S19" s="82">
        <f t="shared" si="1"/>
        <v>0</v>
      </c>
      <c r="T19" s="83">
        <f t="shared" si="2"/>
        <v>0</v>
      </c>
      <c r="U19" s="132">
        <f t="shared" ref="U19:V21" si="6">R19*8.9</f>
        <v>315.95</v>
      </c>
      <c r="V19" s="133">
        <f t="shared" si="6"/>
        <v>0</v>
      </c>
      <c r="W19" s="134">
        <f>T19*11.12</f>
        <v>0</v>
      </c>
      <c r="X19" s="5">
        <f t="shared" si="4"/>
        <v>315.95</v>
      </c>
    </row>
    <row r="20" spans="1:26" x14ac:dyDescent="0.25">
      <c r="A20" s="79">
        <v>11483</v>
      </c>
      <c r="B20" s="4" t="s">
        <v>19</v>
      </c>
      <c r="C20" s="81"/>
      <c r="D20" s="82"/>
      <c r="E20" s="83"/>
      <c r="F20" s="81">
        <v>28.5</v>
      </c>
      <c r="G20" s="82">
        <v>0</v>
      </c>
      <c r="H20" s="83">
        <v>0</v>
      </c>
      <c r="I20" s="81"/>
      <c r="J20" s="82"/>
      <c r="K20" s="83"/>
      <c r="L20" s="81"/>
      <c r="M20" s="82"/>
      <c r="N20" s="83"/>
      <c r="O20" s="98"/>
      <c r="P20" s="100"/>
      <c r="Q20" s="88"/>
      <c r="R20" s="81">
        <f t="shared" si="0"/>
        <v>28.5</v>
      </c>
      <c r="S20" s="82">
        <f t="shared" si="1"/>
        <v>0</v>
      </c>
      <c r="T20" s="83">
        <f t="shared" si="2"/>
        <v>0</v>
      </c>
      <c r="U20" s="132">
        <f t="shared" si="6"/>
        <v>253.65</v>
      </c>
      <c r="V20" s="133">
        <f t="shared" si="6"/>
        <v>0</v>
      </c>
      <c r="W20" s="134">
        <f>T20*11.12</f>
        <v>0</v>
      </c>
      <c r="X20" s="5">
        <f t="shared" si="4"/>
        <v>253.65</v>
      </c>
      <c r="Y20" s="1" t="s">
        <v>131</v>
      </c>
    </row>
    <row r="21" spans="1:26" x14ac:dyDescent="0.25">
      <c r="A21" s="79">
        <v>11487</v>
      </c>
      <c r="B21" s="4" t="s">
        <v>20</v>
      </c>
      <c r="C21" s="81"/>
      <c r="D21" s="82"/>
      <c r="E21" s="83"/>
      <c r="F21" s="81">
        <v>22</v>
      </c>
      <c r="G21" s="82">
        <v>0</v>
      </c>
      <c r="H21" s="84">
        <v>0</v>
      </c>
      <c r="I21" s="81"/>
      <c r="J21" s="82"/>
      <c r="K21" s="83"/>
      <c r="L21" s="81"/>
      <c r="M21" s="82"/>
      <c r="N21" s="83"/>
      <c r="O21" s="98"/>
      <c r="P21" s="87"/>
      <c r="Q21" s="99"/>
      <c r="R21" s="81">
        <f t="shared" si="0"/>
        <v>22</v>
      </c>
      <c r="S21" s="82">
        <f t="shared" si="1"/>
        <v>0</v>
      </c>
      <c r="T21" s="83">
        <f t="shared" si="2"/>
        <v>0</v>
      </c>
      <c r="U21" s="132">
        <f t="shared" si="6"/>
        <v>195.8</v>
      </c>
      <c r="V21" s="133">
        <f t="shared" si="6"/>
        <v>0</v>
      </c>
      <c r="W21" s="134">
        <f>T21*11.12</f>
        <v>0</v>
      </c>
      <c r="X21" s="5">
        <f t="shared" si="4"/>
        <v>195.8</v>
      </c>
    </row>
    <row r="22" spans="1:26" x14ac:dyDescent="0.25">
      <c r="C22" s="4">
        <f>SUM(C7:C21)</f>
        <v>0</v>
      </c>
      <c r="D22" s="4">
        <f t="shared" ref="D22:X22" si="7">SUM(D7:D21)</f>
        <v>0</v>
      </c>
      <c r="E22" s="4">
        <f t="shared" si="7"/>
        <v>0</v>
      </c>
      <c r="F22" s="4">
        <f t="shared" si="7"/>
        <v>399.5</v>
      </c>
      <c r="G22" s="4">
        <f t="shared" si="7"/>
        <v>6.5</v>
      </c>
      <c r="H22" s="4">
        <f t="shared" si="7"/>
        <v>12</v>
      </c>
      <c r="I22" s="4">
        <f>SUM(I7:I21)</f>
        <v>0</v>
      </c>
      <c r="J22" s="4">
        <f t="shared" si="7"/>
        <v>0</v>
      </c>
      <c r="K22" s="4">
        <f t="shared" si="7"/>
        <v>0</v>
      </c>
      <c r="L22" s="4">
        <f t="shared" si="7"/>
        <v>0</v>
      </c>
      <c r="M22" s="4">
        <f t="shared" si="7"/>
        <v>0</v>
      </c>
      <c r="N22" s="4">
        <f>SUM(N7:N21)</f>
        <v>0</v>
      </c>
      <c r="O22" s="4">
        <f t="shared" si="7"/>
        <v>0</v>
      </c>
      <c r="P22" s="4">
        <f t="shared" si="7"/>
        <v>0</v>
      </c>
      <c r="Q22" s="4">
        <f t="shared" si="7"/>
        <v>0</v>
      </c>
      <c r="R22" s="112">
        <f t="shared" si="7"/>
        <v>399.5</v>
      </c>
      <c r="S22" s="112">
        <f t="shared" si="7"/>
        <v>6.5</v>
      </c>
      <c r="T22" s="112">
        <f t="shared" si="7"/>
        <v>12</v>
      </c>
      <c r="U22" s="113">
        <f t="shared" si="7"/>
        <v>3581.9500000000003</v>
      </c>
      <c r="V22" s="113">
        <f t="shared" si="7"/>
        <v>62.14</v>
      </c>
      <c r="W22" s="113">
        <f t="shared" si="7"/>
        <v>138.41999999999999</v>
      </c>
      <c r="X22" s="113">
        <f t="shared" si="7"/>
        <v>3782.51</v>
      </c>
    </row>
    <row r="23" spans="1:26" x14ac:dyDescent="0.25">
      <c r="R23" s="85">
        <f>+R22-R11-R12</f>
        <v>379</v>
      </c>
      <c r="V23" s="85">
        <f>+V22-V11-V12</f>
        <v>62.14</v>
      </c>
      <c r="W23" s="85">
        <f t="shared" ref="W23" si="8">+W22-W11-W12</f>
        <v>138.41999999999999</v>
      </c>
      <c r="Y23" s="15"/>
      <c r="Z23" s="15">
        <f>W12+W16+W43+W72+W71</f>
        <v>71.699999999999989</v>
      </c>
    </row>
    <row r="24" spans="1:26" x14ac:dyDescent="0.25">
      <c r="R24" s="115">
        <f>R22-R12-R16+R17</f>
        <v>390</v>
      </c>
      <c r="S24" s="115"/>
      <c r="T24" s="115"/>
      <c r="U24" s="115"/>
      <c r="V24" s="115">
        <f>V22-V12-V16+V17</f>
        <v>0</v>
      </c>
      <c r="W24" s="115">
        <f>W22-W12-W16+W17</f>
        <v>66.72</v>
      </c>
    </row>
    <row r="25" spans="1:26" ht="18.75" x14ac:dyDescent="0.25">
      <c r="A25" s="203" t="s">
        <v>53</v>
      </c>
      <c r="B25" s="204"/>
      <c r="C25" s="197" t="s">
        <v>8</v>
      </c>
      <c r="D25" s="197"/>
      <c r="E25" s="197"/>
      <c r="F25" s="197" t="s">
        <v>8</v>
      </c>
      <c r="G25" s="197"/>
      <c r="H25" s="197"/>
      <c r="I25" s="197" t="s">
        <v>8</v>
      </c>
      <c r="J25" s="197"/>
      <c r="K25" s="197"/>
      <c r="L25" s="197" t="s">
        <v>8</v>
      </c>
      <c r="M25" s="197"/>
      <c r="N25" s="197"/>
      <c r="O25" s="198" t="s">
        <v>8</v>
      </c>
      <c r="P25" s="198"/>
      <c r="Q25" s="198"/>
      <c r="R25" s="197" t="s">
        <v>13</v>
      </c>
      <c r="S25" s="197"/>
      <c r="T25" s="197"/>
      <c r="U25" s="197" t="s">
        <v>12</v>
      </c>
      <c r="V25" s="197"/>
      <c r="W25" s="197"/>
      <c r="X25" s="197"/>
    </row>
    <row r="26" spans="1:26" ht="15" customHeight="1" x14ac:dyDescent="0.25">
      <c r="A26" s="78" t="s">
        <v>0</v>
      </c>
      <c r="B26" s="4" t="s">
        <v>1</v>
      </c>
      <c r="C26" s="202" t="s">
        <v>139</v>
      </c>
      <c r="D26" s="202"/>
      <c r="E26" s="202"/>
      <c r="F26" s="202" t="s">
        <v>140</v>
      </c>
      <c r="G26" s="202"/>
      <c r="H26" s="202"/>
      <c r="I26" s="202" t="s">
        <v>141</v>
      </c>
      <c r="J26" s="202"/>
      <c r="K26" s="202"/>
      <c r="L26" s="198" t="s">
        <v>142</v>
      </c>
      <c r="M26" s="198"/>
      <c r="N26" s="198"/>
      <c r="O26" s="198" t="s">
        <v>143</v>
      </c>
      <c r="P26" s="198"/>
      <c r="Q26" s="198"/>
      <c r="R26" s="3" t="s">
        <v>11</v>
      </c>
      <c r="S26" s="3" t="s">
        <v>10</v>
      </c>
      <c r="T26" s="3" t="s">
        <v>9</v>
      </c>
      <c r="U26" s="3" t="s">
        <v>11</v>
      </c>
      <c r="V26" s="3" t="s">
        <v>10</v>
      </c>
      <c r="W26" s="3" t="s">
        <v>9</v>
      </c>
      <c r="X26" s="4" t="s">
        <v>14</v>
      </c>
    </row>
    <row r="27" spans="1:26" x14ac:dyDescent="0.25">
      <c r="A27" s="80">
        <v>11411</v>
      </c>
      <c r="B27" s="125" t="s">
        <v>22</v>
      </c>
      <c r="C27" s="81"/>
      <c r="D27" s="82"/>
      <c r="E27" s="83"/>
      <c r="F27" s="81"/>
      <c r="G27" s="82"/>
      <c r="H27" s="83"/>
      <c r="I27" s="81"/>
      <c r="J27" s="82"/>
      <c r="K27" s="83"/>
      <c r="L27" s="81"/>
      <c r="M27" s="82"/>
      <c r="N27" s="83"/>
      <c r="O27" s="86"/>
      <c r="P27" s="87"/>
      <c r="Q27" s="88"/>
      <c r="R27" s="81">
        <f t="shared" ref="R27:R60" si="9">C27+F27+I27+L27+O27</f>
        <v>0</v>
      </c>
      <c r="S27" s="82">
        <f t="shared" ref="S27:S60" si="10">D27+G27+J27+M27+P27</f>
        <v>0</v>
      </c>
      <c r="T27" s="83">
        <f t="shared" ref="T27:T60" si="11">E27+H27+K27+N27+Q27</f>
        <v>0</v>
      </c>
      <c r="U27" s="132">
        <f t="shared" ref="U27:V60" si="12">R27*8.9</f>
        <v>0</v>
      </c>
      <c r="V27" s="133">
        <f t="shared" si="12"/>
        <v>0</v>
      </c>
      <c r="W27" s="134">
        <f t="shared" ref="W27:W60" si="13">T27*11.12</f>
        <v>0</v>
      </c>
      <c r="X27" s="5">
        <f t="shared" ref="X27:X60" si="14">SUM(U27:W27)</f>
        <v>0</v>
      </c>
    </row>
    <row r="28" spans="1:26" x14ac:dyDescent="0.25">
      <c r="A28" s="80">
        <v>11414</v>
      </c>
      <c r="B28" s="125" t="s">
        <v>23</v>
      </c>
      <c r="C28" s="81"/>
      <c r="D28" s="82"/>
      <c r="E28" s="83"/>
      <c r="F28" s="81"/>
      <c r="G28" s="82"/>
      <c r="H28" s="83"/>
      <c r="I28" s="81"/>
      <c r="J28" s="82"/>
      <c r="K28" s="83"/>
      <c r="L28" s="81"/>
      <c r="M28" s="82"/>
      <c r="N28" s="83"/>
      <c r="O28" s="86"/>
      <c r="P28" s="87"/>
      <c r="Q28" s="88"/>
      <c r="R28" s="81">
        <f t="shared" si="9"/>
        <v>0</v>
      </c>
      <c r="S28" s="82">
        <f t="shared" si="10"/>
        <v>0</v>
      </c>
      <c r="T28" s="83">
        <f t="shared" si="11"/>
        <v>0</v>
      </c>
      <c r="U28" s="132">
        <f t="shared" si="12"/>
        <v>0</v>
      </c>
      <c r="V28" s="133">
        <f t="shared" si="12"/>
        <v>0</v>
      </c>
      <c r="W28" s="134">
        <f>T28*11.12</f>
        <v>0</v>
      </c>
      <c r="X28" s="5">
        <f t="shared" si="14"/>
        <v>0</v>
      </c>
    </row>
    <row r="29" spans="1:26" x14ac:dyDescent="0.25">
      <c r="A29" s="80">
        <v>11453</v>
      </c>
      <c r="B29" s="125" t="s">
        <v>24</v>
      </c>
      <c r="C29" s="81"/>
      <c r="D29" s="82"/>
      <c r="E29" s="83"/>
      <c r="F29" s="81"/>
      <c r="G29" s="82"/>
      <c r="H29" s="83"/>
      <c r="I29" s="81"/>
      <c r="J29" s="82"/>
      <c r="K29" s="83"/>
      <c r="L29" s="81"/>
      <c r="M29" s="82"/>
      <c r="N29" s="83"/>
      <c r="O29" s="86"/>
      <c r="P29" s="87"/>
      <c r="Q29" s="88"/>
      <c r="R29" s="81">
        <f t="shared" si="9"/>
        <v>0</v>
      </c>
      <c r="S29" s="82">
        <f t="shared" si="10"/>
        <v>0</v>
      </c>
      <c r="T29" s="83">
        <f t="shared" si="11"/>
        <v>0</v>
      </c>
      <c r="U29" s="132">
        <f t="shared" si="12"/>
        <v>0</v>
      </c>
      <c r="V29" s="133">
        <f t="shared" si="12"/>
        <v>0</v>
      </c>
      <c r="W29" s="134">
        <f t="shared" si="13"/>
        <v>0</v>
      </c>
      <c r="X29" s="5">
        <f t="shared" si="14"/>
        <v>0</v>
      </c>
    </row>
    <row r="30" spans="1:26" x14ac:dyDescent="0.25">
      <c r="A30" s="80">
        <v>11451</v>
      </c>
      <c r="B30" s="104" t="s">
        <v>25</v>
      </c>
      <c r="C30" s="81"/>
      <c r="D30" s="82"/>
      <c r="E30" s="83"/>
      <c r="F30" s="107"/>
      <c r="G30" s="107"/>
      <c r="H30" s="107"/>
      <c r="I30" s="107"/>
      <c r="J30" s="107"/>
      <c r="K30" s="107"/>
      <c r="L30" s="107"/>
      <c r="M30" s="107"/>
      <c r="N30" s="107"/>
      <c r="O30" s="109"/>
      <c r="P30" s="108"/>
      <c r="Q30" s="108"/>
      <c r="R30" s="81">
        <f t="shared" si="9"/>
        <v>0</v>
      </c>
      <c r="S30" s="82">
        <f t="shared" si="10"/>
        <v>0</v>
      </c>
      <c r="T30" s="83">
        <f t="shared" si="11"/>
        <v>0</v>
      </c>
      <c r="U30" s="132">
        <f t="shared" si="12"/>
        <v>0</v>
      </c>
      <c r="V30" s="133">
        <f t="shared" si="12"/>
        <v>0</v>
      </c>
      <c r="W30" s="134">
        <f t="shared" si="13"/>
        <v>0</v>
      </c>
      <c r="X30" s="5">
        <f t="shared" si="14"/>
        <v>0</v>
      </c>
    </row>
    <row r="31" spans="1:26" x14ac:dyDescent="0.25">
      <c r="A31" s="80">
        <v>11415</v>
      </c>
      <c r="B31" s="125" t="s">
        <v>26</v>
      </c>
      <c r="C31" s="81"/>
      <c r="D31" s="82"/>
      <c r="E31" s="83"/>
      <c r="F31" s="81"/>
      <c r="G31" s="82"/>
      <c r="H31" s="83"/>
      <c r="I31" s="81"/>
      <c r="J31" s="82"/>
      <c r="K31" s="83"/>
      <c r="L31" s="81"/>
      <c r="M31" s="82"/>
      <c r="N31" s="83"/>
      <c r="O31" s="86"/>
      <c r="P31" s="87"/>
      <c r="Q31" s="88"/>
      <c r="R31" s="81">
        <f t="shared" si="9"/>
        <v>0</v>
      </c>
      <c r="S31" s="82">
        <f t="shared" si="10"/>
        <v>0</v>
      </c>
      <c r="T31" s="83">
        <f t="shared" si="11"/>
        <v>0</v>
      </c>
      <c r="U31" s="132">
        <f t="shared" si="12"/>
        <v>0</v>
      </c>
      <c r="V31" s="133">
        <f t="shared" si="12"/>
        <v>0</v>
      </c>
      <c r="W31" s="134">
        <f t="shared" si="13"/>
        <v>0</v>
      </c>
      <c r="X31" s="5">
        <f t="shared" si="14"/>
        <v>0</v>
      </c>
    </row>
    <row r="32" spans="1:26" x14ac:dyDescent="0.25">
      <c r="A32" s="80">
        <v>11413</v>
      </c>
      <c r="B32" s="125" t="s">
        <v>27</v>
      </c>
      <c r="C32" s="81"/>
      <c r="D32" s="82"/>
      <c r="E32" s="83"/>
      <c r="F32" s="81"/>
      <c r="G32" s="82"/>
      <c r="H32" s="83"/>
      <c r="I32" s="81"/>
      <c r="J32" s="82"/>
      <c r="K32" s="83"/>
      <c r="L32" s="81"/>
      <c r="M32" s="82"/>
      <c r="N32" s="83"/>
      <c r="O32" s="86"/>
      <c r="P32" s="87"/>
      <c r="Q32" s="88"/>
      <c r="R32" s="81">
        <f t="shared" si="9"/>
        <v>0</v>
      </c>
      <c r="S32" s="82">
        <f t="shared" si="10"/>
        <v>0</v>
      </c>
      <c r="T32" s="83">
        <f t="shared" si="11"/>
        <v>0</v>
      </c>
      <c r="U32" s="132">
        <f t="shared" si="12"/>
        <v>0</v>
      </c>
      <c r="V32" s="133">
        <f t="shared" si="12"/>
        <v>0</v>
      </c>
      <c r="W32" s="134">
        <f t="shared" si="13"/>
        <v>0</v>
      </c>
      <c r="X32" s="5">
        <f t="shared" si="14"/>
        <v>0</v>
      </c>
    </row>
    <row r="33" spans="1:25" x14ac:dyDescent="0.25">
      <c r="A33" s="80">
        <v>11503</v>
      </c>
      <c r="B33" s="104" t="s">
        <v>17</v>
      </c>
      <c r="C33" s="128"/>
      <c r="D33" s="128"/>
      <c r="E33" s="128"/>
      <c r="F33" s="128"/>
      <c r="G33" s="128"/>
      <c r="H33" s="128"/>
      <c r="I33" s="81"/>
      <c r="J33" s="82"/>
      <c r="K33" s="83"/>
      <c r="L33" s="81"/>
      <c r="M33" s="82"/>
      <c r="N33" s="83"/>
      <c r="O33" s="86"/>
      <c r="P33" s="87"/>
      <c r="Q33" s="88"/>
      <c r="R33" s="81">
        <f t="shared" si="9"/>
        <v>0</v>
      </c>
      <c r="S33" s="82">
        <f t="shared" si="10"/>
        <v>0</v>
      </c>
      <c r="T33" s="83">
        <f t="shared" si="11"/>
        <v>0</v>
      </c>
      <c r="U33" s="132">
        <f>R33*8.9</f>
        <v>0</v>
      </c>
      <c r="V33" s="133">
        <f>S33*8.9</f>
        <v>0</v>
      </c>
      <c r="W33" s="134">
        <f>T33*11.12</f>
        <v>0</v>
      </c>
      <c r="X33" s="5">
        <f>SUM(U33:W33)</f>
        <v>0</v>
      </c>
    </row>
    <row r="34" spans="1:25" x14ac:dyDescent="0.25">
      <c r="A34" s="95">
        <v>11450</v>
      </c>
      <c r="B34" s="105" t="s">
        <v>28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9"/>
      <c r="P34" s="108"/>
      <c r="Q34" s="108"/>
      <c r="R34" s="81">
        <f t="shared" si="9"/>
        <v>0</v>
      </c>
      <c r="S34" s="82">
        <f t="shared" si="10"/>
        <v>0</v>
      </c>
      <c r="T34" s="83">
        <f t="shared" si="11"/>
        <v>0</v>
      </c>
      <c r="U34" s="132">
        <f>R34*9.56</f>
        <v>0</v>
      </c>
      <c r="V34" s="133">
        <f>S34*9.56</f>
        <v>0</v>
      </c>
      <c r="W34" s="134">
        <f>T34*11.95</f>
        <v>0</v>
      </c>
      <c r="X34" s="5">
        <f t="shared" si="14"/>
        <v>0</v>
      </c>
    </row>
    <row r="35" spans="1:25" x14ac:dyDescent="0.25">
      <c r="A35" s="80">
        <v>11473</v>
      </c>
      <c r="B35" s="125" t="s">
        <v>29</v>
      </c>
      <c r="C35" s="81"/>
      <c r="D35" s="82"/>
      <c r="E35" s="83"/>
      <c r="F35" s="81"/>
      <c r="G35" s="82"/>
      <c r="H35" s="83"/>
      <c r="I35" s="81"/>
      <c r="J35" s="82"/>
      <c r="K35" s="83"/>
      <c r="L35" s="81"/>
      <c r="M35" s="82"/>
      <c r="N35" s="83"/>
      <c r="O35" s="86"/>
      <c r="P35" s="87"/>
      <c r="Q35" s="88"/>
      <c r="R35" s="81">
        <f t="shared" si="9"/>
        <v>0</v>
      </c>
      <c r="S35" s="82">
        <f t="shared" si="10"/>
        <v>0</v>
      </c>
      <c r="T35" s="83">
        <f t="shared" si="11"/>
        <v>0</v>
      </c>
      <c r="U35" s="132">
        <f t="shared" si="12"/>
        <v>0</v>
      </c>
      <c r="V35" s="133">
        <f t="shared" si="12"/>
        <v>0</v>
      </c>
      <c r="W35" s="134">
        <f t="shared" si="13"/>
        <v>0</v>
      </c>
      <c r="X35" s="5">
        <f t="shared" si="14"/>
        <v>0</v>
      </c>
    </row>
    <row r="36" spans="1:25" x14ac:dyDescent="0.25">
      <c r="A36" s="80">
        <v>11454</v>
      </c>
      <c r="B36" s="125" t="s">
        <v>30</v>
      </c>
      <c r="C36" s="81"/>
      <c r="D36" s="82"/>
      <c r="E36" s="83"/>
      <c r="F36" s="81"/>
      <c r="G36" s="82"/>
      <c r="H36" s="83"/>
      <c r="I36" s="81"/>
      <c r="J36" s="82"/>
      <c r="K36" s="83"/>
      <c r="L36" s="81"/>
      <c r="M36" s="82"/>
      <c r="N36" s="83"/>
      <c r="O36" s="86"/>
      <c r="P36" s="87"/>
      <c r="Q36" s="88"/>
      <c r="R36" s="81">
        <f t="shared" si="9"/>
        <v>0</v>
      </c>
      <c r="S36" s="82">
        <f t="shared" si="10"/>
        <v>0</v>
      </c>
      <c r="T36" s="83">
        <f t="shared" si="11"/>
        <v>0</v>
      </c>
      <c r="U36" s="132">
        <f t="shared" si="12"/>
        <v>0</v>
      </c>
      <c r="V36" s="133">
        <f t="shared" si="12"/>
        <v>0</v>
      </c>
      <c r="W36" s="134">
        <f t="shared" si="13"/>
        <v>0</v>
      </c>
      <c r="X36" s="5">
        <f t="shared" si="14"/>
        <v>0</v>
      </c>
    </row>
    <row r="37" spans="1:25" x14ac:dyDescent="0.25">
      <c r="A37" s="80">
        <v>11479</v>
      </c>
      <c r="B37" s="104" t="s">
        <v>31</v>
      </c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08"/>
      <c r="Q37" s="108"/>
      <c r="R37" s="81">
        <f t="shared" si="9"/>
        <v>0</v>
      </c>
      <c r="S37" s="82">
        <f t="shared" si="10"/>
        <v>0</v>
      </c>
      <c r="T37" s="83">
        <f t="shared" si="11"/>
        <v>0</v>
      </c>
      <c r="U37" s="132">
        <f t="shared" si="12"/>
        <v>0</v>
      </c>
      <c r="V37" s="133">
        <f t="shared" si="12"/>
        <v>0</v>
      </c>
      <c r="W37" s="134">
        <f t="shared" si="13"/>
        <v>0</v>
      </c>
      <c r="X37" s="5">
        <f t="shared" si="14"/>
        <v>0</v>
      </c>
    </row>
    <row r="38" spans="1:25" x14ac:dyDescent="0.25">
      <c r="A38" s="80">
        <v>11489</v>
      </c>
      <c r="B38" s="104" t="s">
        <v>32</v>
      </c>
      <c r="C38" s="81"/>
      <c r="D38" s="82"/>
      <c r="E38" s="83"/>
      <c r="F38" s="81"/>
      <c r="G38" s="82"/>
      <c r="H38" s="83"/>
      <c r="I38" s="81"/>
      <c r="J38" s="82"/>
      <c r="K38" s="83"/>
      <c r="L38" s="81"/>
      <c r="M38" s="82"/>
      <c r="N38" s="83"/>
      <c r="O38" s="86"/>
      <c r="P38" s="87"/>
      <c r="Q38" s="88"/>
      <c r="R38" s="81">
        <f t="shared" si="9"/>
        <v>0</v>
      </c>
      <c r="S38" s="82">
        <f t="shared" si="10"/>
        <v>0</v>
      </c>
      <c r="T38" s="83">
        <f t="shared" si="11"/>
        <v>0</v>
      </c>
      <c r="U38" s="132">
        <f t="shared" si="12"/>
        <v>0</v>
      </c>
      <c r="V38" s="133">
        <f t="shared" si="12"/>
        <v>0</v>
      </c>
      <c r="W38" s="134">
        <f t="shared" si="13"/>
        <v>0</v>
      </c>
      <c r="X38" s="5">
        <f t="shared" si="14"/>
        <v>0</v>
      </c>
    </row>
    <row r="39" spans="1:25" x14ac:dyDescent="0.25">
      <c r="A39" s="80">
        <v>11423</v>
      </c>
      <c r="B39" s="125" t="s">
        <v>33</v>
      </c>
      <c r="C39" s="81"/>
      <c r="D39" s="82"/>
      <c r="E39" s="83"/>
      <c r="F39" s="81"/>
      <c r="G39" s="82"/>
      <c r="H39" s="83"/>
      <c r="I39" s="81"/>
      <c r="J39" s="82"/>
      <c r="K39" s="83"/>
      <c r="L39" s="81"/>
      <c r="M39" s="82"/>
      <c r="N39" s="83"/>
      <c r="O39" s="86"/>
      <c r="P39" s="87"/>
      <c r="Q39" s="88"/>
      <c r="R39" s="81">
        <f t="shared" si="9"/>
        <v>0</v>
      </c>
      <c r="S39" s="82">
        <f t="shared" si="10"/>
        <v>0</v>
      </c>
      <c r="T39" s="83">
        <f t="shared" si="11"/>
        <v>0</v>
      </c>
      <c r="U39" s="132">
        <f t="shared" si="12"/>
        <v>0</v>
      </c>
      <c r="V39" s="133">
        <f t="shared" si="12"/>
        <v>0</v>
      </c>
      <c r="W39" s="134">
        <f t="shared" si="13"/>
        <v>0</v>
      </c>
      <c r="X39" s="5">
        <f t="shared" si="14"/>
        <v>0</v>
      </c>
    </row>
    <row r="40" spans="1:25" x14ac:dyDescent="0.25">
      <c r="A40" s="80">
        <v>11464</v>
      </c>
      <c r="B40" s="104" t="s">
        <v>97</v>
      </c>
      <c r="C40" s="81"/>
      <c r="D40" s="82"/>
      <c r="E40" s="83"/>
      <c r="F40" s="107"/>
      <c r="G40" s="107"/>
      <c r="H40" s="107"/>
      <c r="I40" s="107"/>
      <c r="J40" s="107"/>
      <c r="K40" s="107"/>
      <c r="L40" s="107"/>
      <c r="M40" s="107"/>
      <c r="N40" s="107"/>
      <c r="O40" s="109"/>
      <c r="P40" s="108"/>
      <c r="Q40" s="108"/>
      <c r="R40" s="81">
        <f t="shared" si="9"/>
        <v>0</v>
      </c>
      <c r="S40" s="82">
        <f t="shared" si="10"/>
        <v>0</v>
      </c>
      <c r="T40" s="83">
        <f t="shared" si="11"/>
        <v>0</v>
      </c>
      <c r="U40" s="132">
        <f t="shared" si="12"/>
        <v>0</v>
      </c>
      <c r="V40" s="133">
        <f t="shared" si="12"/>
        <v>0</v>
      </c>
      <c r="W40" s="134">
        <f t="shared" si="13"/>
        <v>0</v>
      </c>
      <c r="X40" s="5">
        <f t="shared" si="14"/>
        <v>0</v>
      </c>
    </row>
    <row r="41" spans="1:25" x14ac:dyDescent="0.25">
      <c r="A41" s="80">
        <v>11492</v>
      </c>
      <c r="B41" s="104" t="s">
        <v>95</v>
      </c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08"/>
      <c r="Q41" s="108"/>
      <c r="R41" s="81">
        <f t="shared" si="9"/>
        <v>0</v>
      </c>
      <c r="S41" s="82">
        <f t="shared" si="10"/>
        <v>0</v>
      </c>
      <c r="T41" s="83">
        <f t="shared" si="11"/>
        <v>0</v>
      </c>
      <c r="U41" s="132">
        <f t="shared" si="12"/>
        <v>0</v>
      </c>
      <c r="V41" s="133">
        <f t="shared" si="12"/>
        <v>0</v>
      </c>
      <c r="W41" s="134">
        <f t="shared" si="13"/>
        <v>0</v>
      </c>
      <c r="X41" s="5">
        <f t="shared" si="14"/>
        <v>0</v>
      </c>
    </row>
    <row r="42" spans="1:25" x14ac:dyDescent="0.25">
      <c r="A42" s="80">
        <v>11465</v>
      </c>
      <c r="B42" s="104" t="s">
        <v>34</v>
      </c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9"/>
      <c r="P42" s="109"/>
      <c r="Q42" s="109"/>
      <c r="R42" s="81">
        <f t="shared" si="9"/>
        <v>0</v>
      </c>
      <c r="S42" s="82">
        <f t="shared" si="10"/>
        <v>0</v>
      </c>
      <c r="T42" s="83">
        <f t="shared" si="11"/>
        <v>0</v>
      </c>
      <c r="U42" s="132">
        <f t="shared" si="12"/>
        <v>0</v>
      </c>
      <c r="V42" s="133">
        <f t="shared" si="12"/>
        <v>0</v>
      </c>
      <c r="W42" s="134">
        <f t="shared" si="13"/>
        <v>0</v>
      </c>
      <c r="X42" s="5">
        <f t="shared" si="14"/>
        <v>0</v>
      </c>
      <c r="Y42" s="14" t="s">
        <v>145</v>
      </c>
    </row>
    <row r="43" spans="1:25" x14ac:dyDescent="0.25">
      <c r="A43" s="95">
        <v>11292</v>
      </c>
      <c r="B43" s="127" t="s">
        <v>4</v>
      </c>
      <c r="C43" s="81"/>
      <c r="D43" s="82"/>
      <c r="E43" s="83"/>
      <c r="F43" s="81"/>
      <c r="G43" s="82"/>
      <c r="H43" s="83"/>
      <c r="I43" s="81"/>
      <c r="J43" s="82"/>
      <c r="K43" s="83"/>
      <c r="L43" s="81"/>
      <c r="M43" s="82"/>
      <c r="N43" s="83"/>
      <c r="O43" s="98"/>
      <c r="P43" s="100"/>
      <c r="Q43" s="88"/>
      <c r="R43" s="81">
        <f t="shared" si="9"/>
        <v>0</v>
      </c>
      <c r="S43" s="82">
        <f t="shared" si="10"/>
        <v>0</v>
      </c>
      <c r="T43" s="83">
        <f t="shared" si="11"/>
        <v>0</v>
      </c>
      <c r="U43" s="132">
        <f>R43*9.56</f>
        <v>0</v>
      </c>
      <c r="V43" s="133">
        <f>S43*9.56</f>
        <v>0</v>
      </c>
      <c r="W43" s="134">
        <f>T43*11.95</f>
        <v>0</v>
      </c>
      <c r="X43" s="5">
        <f>SUM(U43:W43)</f>
        <v>0</v>
      </c>
      <c r="Y43" s="17" t="s">
        <v>129</v>
      </c>
    </row>
    <row r="44" spans="1:25" x14ac:dyDescent="0.25">
      <c r="A44" s="80">
        <v>11474</v>
      </c>
      <c r="B44" s="104" t="s">
        <v>35</v>
      </c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8"/>
      <c r="P44" s="108"/>
      <c r="Q44" s="108"/>
      <c r="R44" s="81">
        <f t="shared" si="9"/>
        <v>0</v>
      </c>
      <c r="S44" s="82">
        <f t="shared" si="10"/>
        <v>0</v>
      </c>
      <c r="T44" s="83">
        <f t="shared" si="11"/>
        <v>0</v>
      </c>
      <c r="U44" s="132">
        <f t="shared" si="12"/>
        <v>0</v>
      </c>
      <c r="V44" s="133">
        <f t="shared" si="12"/>
        <v>0</v>
      </c>
      <c r="W44" s="134">
        <f t="shared" si="13"/>
        <v>0</v>
      </c>
      <c r="X44" s="5">
        <f t="shared" si="14"/>
        <v>0</v>
      </c>
    </row>
    <row r="45" spans="1:25" x14ac:dyDescent="0.25">
      <c r="A45" s="80">
        <v>11462</v>
      </c>
      <c r="B45" s="104" t="s">
        <v>36</v>
      </c>
      <c r="C45" s="81"/>
      <c r="D45" s="82"/>
      <c r="E45" s="83"/>
      <c r="F45" s="81"/>
      <c r="G45" s="82"/>
      <c r="H45" s="83"/>
      <c r="I45" s="81"/>
      <c r="J45" s="82"/>
      <c r="K45" s="83"/>
      <c r="L45" s="81"/>
      <c r="M45" s="82"/>
      <c r="N45" s="83"/>
      <c r="O45" s="86"/>
      <c r="P45" s="87"/>
      <c r="Q45" s="88"/>
      <c r="R45" s="81">
        <f t="shared" si="9"/>
        <v>0</v>
      </c>
      <c r="S45" s="82">
        <f t="shared" si="10"/>
        <v>0</v>
      </c>
      <c r="T45" s="83">
        <f t="shared" si="11"/>
        <v>0</v>
      </c>
      <c r="U45" s="132">
        <f t="shared" si="12"/>
        <v>0</v>
      </c>
      <c r="V45" s="133">
        <f t="shared" si="12"/>
        <v>0</v>
      </c>
      <c r="W45" s="134">
        <f t="shared" si="13"/>
        <v>0</v>
      </c>
      <c r="X45" s="5">
        <f t="shared" si="14"/>
        <v>0</v>
      </c>
    </row>
    <row r="46" spans="1:25" x14ac:dyDescent="0.25">
      <c r="A46" s="80">
        <v>11441</v>
      </c>
      <c r="B46" s="104" t="s">
        <v>37</v>
      </c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8"/>
      <c r="P46" s="108"/>
      <c r="Q46" s="108"/>
      <c r="R46" s="81">
        <f t="shared" si="9"/>
        <v>0</v>
      </c>
      <c r="S46" s="82">
        <f t="shared" si="10"/>
        <v>0</v>
      </c>
      <c r="T46" s="83">
        <f t="shared" si="11"/>
        <v>0</v>
      </c>
      <c r="U46" s="132">
        <f t="shared" si="12"/>
        <v>0</v>
      </c>
      <c r="V46" s="133">
        <f t="shared" si="12"/>
        <v>0</v>
      </c>
      <c r="W46" s="134">
        <f t="shared" si="13"/>
        <v>0</v>
      </c>
      <c r="X46" s="5">
        <f t="shared" si="14"/>
        <v>0</v>
      </c>
    </row>
    <row r="47" spans="1:25" x14ac:dyDescent="0.25">
      <c r="A47" s="95">
        <v>11376</v>
      </c>
      <c r="B47" s="105" t="s">
        <v>38</v>
      </c>
      <c r="C47" s="81"/>
      <c r="D47" s="82"/>
      <c r="E47" s="83"/>
      <c r="F47" s="81"/>
      <c r="G47" s="82"/>
      <c r="H47" s="83"/>
      <c r="I47" s="81"/>
      <c r="J47" s="82"/>
      <c r="K47" s="83"/>
      <c r="L47" s="81"/>
      <c r="M47" s="82"/>
      <c r="N47" s="83"/>
      <c r="O47" s="98"/>
      <c r="P47" s="100"/>
      <c r="Q47" s="99"/>
      <c r="R47" s="81">
        <f t="shared" si="9"/>
        <v>0</v>
      </c>
      <c r="S47" s="82">
        <f t="shared" si="10"/>
        <v>0</v>
      </c>
      <c r="T47" s="83">
        <f t="shared" si="11"/>
        <v>0</v>
      </c>
      <c r="U47" s="132">
        <f>R47*9.56</f>
        <v>0</v>
      </c>
      <c r="V47" s="133">
        <f>S47*9.56</f>
        <v>0</v>
      </c>
      <c r="W47" s="134">
        <f>T47*11.95</f>
        <v>0</v>
      </c>
      <c r="X47" s="5">
        <f t="shared" si="14"/>
        <v>0</v>
      </c>
    </row>
    <row r="48" spans="1:25" x14ac:dyDescent="0.25">
      <c r="A48" s="80">
        <v>11420</v>
      </c>
      <c r="B48" s="125" t="s">
        <v>39</v>
      </c>
      <c r="C48" s="81"/>
      <c r="D48" s="82"/>
      <c r="E48" s="83"/>
      <c r="F48" s="81"/>
      <c r="G48" s="82"/>
      <c r="H48" s="83"/>
      <c r="I48" s="81"/>
      <c r="J48" s="82"/>
      <c r="K48" s="83"/>
      <c r="L48" s="81"/>
      <c r="M48" s="82"/>
      <c r="N48" s="83"/>
      <c r="O48" s="86"/>
      <c r="P48" s="87"/>
      <c r="Q48" s="88"/>
      <c r="R48" s="81">
        <f t="shared" si="9"/>
        <v>0</v>
      </c>
      <c r="S48" s="82">
        <f t="shared" si="10"/>
        <v>0</v>
      </c>
      <c r="T48" s="83">
        <f t="shared" si="11"/>
        <v>0</v>
      </c>
      <c r="U48" s="132">
        <f t="shared" si="12"/>
        <v>0</v>
      </c>
      <c r="V48" s="133">
        <f t="shared" si="12"/>
        <v>0</v>
      </c>
      <c r="W48" s="134">
        <f t="shared" si="13"/>
        <v>0</v>
      </c>
      <c r="X48" s="5">
        <f t="shared" si="14"/>
        <v>0</v>
      </c>
    </row>
    <row r="49" spans="1:26" x14ac:dyDescent="0.25">
      <c r="A49" s="80">
        <v>11442</v>
      </c>
      <c r="B49" s="104" t="s">
        <v>40</v>
      </c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8"/>
      <c r="P49" s="108"/>
      <c r="Q49" s="108"/>
      <c r="R49" s="81">
        <f t="shared" si="9"/>
        <v>0</v>
      </c>
      <c r="S49" s="82">
        <f t="shared" si="10"/>
        <v>0</v>
      </c>
      <c r="T49" s="83">
        <f t="shared" si="11"/>
        <v>0</v>
      </c>
      <c r="U49" s="132">
        <f t="shared" si="12"/>
        <v>0</v>
      </c>
      <c r="V49" s="133">
        <f t="shared" si="12"/>
        <v>0</v>
      </c>
      <c r="W49" s="134">
        <f t="shared" si="13"/>
        <v>0</v>
      </c>
      <c r="X49" s="5">
        <f t="shared" si="14"/>
        <v>0</v>
      </c>
    </row>
    <row r="50" spans="1:26" x14ac:dyDescent="0.25">
      <c r="A50" s="96">
        <v>11439</v>
      </c>
      <c r="B50" s="106" t="s">
        <v>41</v>
      </c>
      <c r="C50" s="81"/>
      <c r="D50" s="82"/>
      <c r="E50" s="83"/>
      <c r="F50" s="81"/>
      <c r="G50" s="82"/>
      <c r="H50" s="83"/>
      <c r="I50" s="81"/>
      <c r="J50" s="82"/>
      <c r="K50" s="83"/>
      <c r="L50" s="81"/>
      <c r="M50" s="82"/>
      <c r="N50" s="83"/>
      <c r="O50" s="86"/>
      <c r="P50" s="87"/>
      <c r="Q50" s="88"/>
      <c r="R50" s="81">
        <f t="shared" si="9"/>
        <v>0</v>
      </c>
      <c r="S50" s="82">
        <f t="shared" si="10"/>
        <v>0</v>
      </c>
      <c r="T50" s="83">
        <f t="shared" si="11"/>
        <v>0</v>
      </c>
      <c r="U50" s="132">
        <f t="shared" si="12"/>
        <v>0</v>
      </c>
      <c r="V50" s="133">
        <f t="shared" si="12"/>
        <v>0</v>
      </c>
      <c r="W50" s="134">
        <f t="shared" si="13"/>
        <v>0</v>
      </c>
      <c r="X50" s="5">
        <f t="shared" si="14"/>
        <v>0</v>
      </c>
    </row>
    <row r="51" spans="1:26" x14ac:dyDescent="0.25">
      <c r="A51" s="80">
        <v>11471</v>
      </c>
      <c r="B51" s="104" t="s">
        <v>42</v>
      </c>
      <c r="C51" s="81"/>
      <c r="D51" s="82"/>
      <c r="E51" s="83"/>
      <c r="F51" s="107"/>
      <c r="G51" s="107"/>
      <c r="H51" s="107"/>
      <c r="I51" s="107"/>
      <c r="J51" s="107"/>
      <c r="K51" s="107"/>
      <c r="L51" s="107"/>
      <c r="M51" s="107"/>
      <c r="N51" s="107"/>
      <c r="O51" s="110"/>
      <c r="P51" s="108"/>
      <c r="Q51" s="109"/>
      <c r="R51" s="81">
        <f t="shared" si="9"/>
        <v>0</v>
      </c>
      <c r="S51" s="82">
        <f t="shared" si="10"/>
        <v>0</v>
      </c>
      <c r="T51" s="83">
        <f t="shared" si="11"/>
        <v>0</v>
      </c>
      <c r="U51" s="132">
        <f t="shared" si="12"/>
        <v>0</v>
      </c>
      <c r="V51" s="133">
        <f t="shared" si="12"/>
        <v>0</v>
      </c>
      <c r="W51" s="134">
        <f t="shared" si="13"/>
        <v>0</v>
      </c>
      <c r="X51" s="5">
        <f t="shared" si="14"/>
        <v>0</v>
      </c>
    </row>
    <row r="52" spans="1:26" x14ac:dyDescent="0.25">
      <c r="A52" s="80">
        <v>11472</v>
      </c>
      <c r="B52" s="104" t="s">
        <v>43</v>
      </c>
      <c r="C52" s="81"/>
      <c r="D52" s="82"/>
      <c r="E52" s="83"/>
      <c r="F52" s="107"/>
      <c r="G52" s="107"/>
      <c r="H52" s="107"/>
      <c r="I52" s="107"/>
      <c r="J52" s="107"/>
      <c r="K52" s="107"/>
      <c r="L52" s="107"/>
      <c r="M52" s="107"/>
      <c r="N52" s="107"/>
      <c r="O52" s="109"/>
      <c r="P52" s="109"/>
      <c r="Q52" s="109"/>
      <c r="R52" s="81">
        <f t="shared" si="9"/>
        <v>0</v>
      </c>
      <c r="S52" s="82">
        <f t="shared" si="10"/>
        <v>0</v>
      </c>
      <c r="T52" s="83">
        <f t="shared" si="11"/>
        <v>0</v>
      </c>
      <c r="U52" s="132">
        <f t="shared" si="12"/>
        <v>0</v>
      </c>
      <c r="V52" s="133">
        <f t="shared" si="12"/>
        <v>0</v>
      </c>
      <c r="W52" s="134">
        <f t="shared" si="13"/>
        <v>0</v>
      </c>
      <c r="X52" s="5">
        <f t="shared" si="14"/>
        <v>0</v>
      </c>
    </row>
    <row r="53" spans="1:26" x14ac:dyDescent="0.25">
      <c r="A53" s="80">
        <v>11460</v>
      </c>
      <c r="B53" s="104" t="s">
        <v>44</v>
      </c>
      <c r="C53" s="81"/>
      <c r="D53" s="82"/>
      <c r="E53" s="83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8"/>
      <c r="Q53" s="108"/>
      <c r="R53" s="81">
        <f t="shared" si="9"/>
        <v>0</v>
      </c>
      <c r="S53" s="82">
        <f t="shared" si="10"/>
        <v>0</v>
      </c>
      <c r="T53" s="83">
        <f t="shared" si="11"/>
        <v>0</v>
      </c>
      <c r="U53" s="132">
        <f t="shared" si="12"/>
        <v>0</v>
      </c>
      <c r="V53" s="133">
        <f t="shared" si="12"/>
        <v>0</v>
      </c>
      <c r="W53" s="134">
        <f t="shared" si="13"/>
        <v>0</v>
      </c>
      <c r="X53" s="5">
        <f t="shared" si="14"/>
        <v>0</v>
      </c>
    </row>
    <row r="54" spans="1:26" x14ac:dyDescent="0.25">
      <c r="A54" s="80">
        <v>11419</v>
      </c>
      <c r="B54" s="125" t="s">
        <v>45</v>
      </c>
      <c r="C54" s="81"/>
      <c r="D54" s="82"/>
      <c r="E54" s="83"/>
      <c r="F54" s="81"/>
      <c r="G54" s="82"/>
      <c r="H54" s="83"/>
      <c r="I54" s="81"/>
      <c r="J54" s="82"/>
      <c r="K54" s="83"/>
      <c r="L54" s="81"/>
      <c r="M54" s="82"/>
      <c r="N54" s="83"/>
      <c r="O54" s="86"/>
      <c r="P54" s="87"/>
      <c r="Q54" s="88"/>
      <c r="R54" s="81">
        <f t="shared" si="9"/>
        <v>0</v>
      </c>
      <c r="S54" s="82">
        <f t="shared" si="10"/>
        <v>0</v>
      </c>
      <c r="T54" s="83">
        <f t="shared" si="11"/>
        <v>0</v>
      </c>
      <c r="U54" s="132">
        <f t="shared" si="12"/>
        <v>0</v>
      </c>
      <c r="V54" s="133">
        <f t="shared" si="12"/>
        <v>0</v>
      </c>
      <c r="W54" s="134">
        <f t="shared" si="13"/>
        <v>0</v>
      </c>
      <c r="X54" s="5">
        <f t="shared" si="14"/>
        <v>0</v>
      </c>
    </row>
    <row r="55" spans="1:26" x14ac:dyDescent="0.25">
      <c r="A55" s="80">
        <v>11416</v>
      </c>
      <c r="B55" s="125" t="s">
        <v>46</v>
      </c>
      <c r="C55" s="81"/>
      <c r="D55" s="82"/>
      <c r="E55" s="83"/>
      <c r="F55" s="81"/>
      <c r="G55" s="82"/>
      <c r="H55" s="83"/>
      <c r="I55" s="81"/>
      <c r="J55" s="82"/>
      <c r="K55" s="83"/>
      <c r="L55" s="81"/>
      <c r="M55" s="82"/>
      <c r="N55" s="83"/>
      <c r="O55" s="86"/>
      <c r="P55" s="87"/>
      <c r="Q55" s="88"/>
      <c r="R55" s="81">
        <f t="shared" si="9"/>
        <v>0</v>
      </c>
      <c r="S55" s="82">
        <f t="shared" si="10"/>
        <v>0</v>
      </c>
      <c r="T55" s="83">
        <f t="shared" si="11"/>
        <v>0</v>
      </c>
      <c r="U55" s="132">
        <f t="shared" si="12"/>
        <v>0</v>
      </c>
      <c r="V55" s="133">
        <f t="shared" si="12"/>
        <v>0</v>
      </c>
      <c r="W55" s="134">
        <f t="shared" si="13"/>
        <v>0</v>
      </c>
      <c r="X55" s="5">
        <f t="shared" si="14"/>
        <v>0</v>
      </c>
    </row>
    <row r="56" spans="1:26" x14ac:dyDescent="0.25">
      <c r="A56" s="80">
        <v>11452</v>
      </c>
      <c r="B56" s="104" t="s">
        <v>47</v>
      </c>
      <c r="C56" s="81"/>
      <c r="D56" s="82"/>
      <c r="E56" s="83"/>
      <c r="F56" s="107"/>
      <c r="G56" s="107"/>
      <c r="H56" s="107"/>
      <c r="I56" s="107"/>
      <c r="J56" s="107"/>
      <c r="K56" s="107"/>
      <c r="L56" s="107"/>
      <c r="M56" s="107"/>
      <c r="N56" s="107"/>
      <c r="O56" s="109"/>
      <c r="P56" s="108"/>
      <c r="Q56" s="108"/>
      <c r="R56" s="81">
        <f t="shared" si="9"/>
        <v>0</v>
      </c>
      <c r="S56" s="82">
        <f t="shared" si="10"/>
        <v>0</v>
      </c>
      <c r="T56" s="83">
        <f t="shared" si="11"/>
        <v>0</v>
      </c>
      <c r="U56" s="132">
        <f t="shared" si="12"/>
        <v>0</v>
      </c>
      <c r="V56" s="133">
        <f t="shared" si="12"/>
        <v>0</v>
      </c>
      <c r="W56" s="134">
        <f t="shared" si="13"/>
        <v>0</v>
      </c>
      <c r="X56" s="5">
        <f t="shared" si="14"/>
        <v>0</v>
      </c>
    </row>
    <row r="57" spans="1:26" x14ac:dyDescent="0.25">
      <c r="A57" s="80">
        <v>11470</v>
      </c>
      <c r="B57" s="104" t="s">
        <v>49</v>
      </c>
      <c r="C57" s="81"/>
      <c r="D57" s="82"/>
      <c r="E57" s="83"/>
      <c r="F57" s="107"/>
      <c r="G57" s="107"/>
      <c r="H57" s="107"/>
      <c r="I57" s="107"/>
      <c r="J57" s="107"/>
      <c r="K57" s="107"/>
      <c r="L57" s="107"/>
      <c r="M57" s="107"/>
      <c r="N57" s="107"/>
      <c r="O57" s="109"/>
      <c r="P57" s="108"/>
      <c r="Q57" s="108"/>
      <c r="R57" s="81">
        <f t="shared" si="9"/>
        <v>0</v>
      </c>
      <c r="S57" s="82">
        <f t="shared" si="10"/>
        <v>0</v>
      </c>
      <c r="T57" s="83">
        <f t="shared" si="11"/>
        <v>0</v>
      </c>
      <c r="U57" s="132">
        <f t="shared" si="12"/>
        <v>0</v>
      </c>
      <c r="V57" s="133">
        <f t="shared" si="12"/>
        <v>0</v>
      </c>
      <c r="W57" s="134">
        <f t="shared" si="13"/>
        <v>0</v>
      </c>
      <c r="X57" s="5">
        <f t="shared" si="14"/>
        <v>0</v>
      </c>
    </row>
    <row r="58" spans="1:26" x14ac:dyDescent="0.25">
      <c r="A58" s="80">
        <v>11491</v>
      </c>
      <c r="B58" s="104" t="s">
        <v>96</v>
      </c>
      <c r="C58" s="81"/>
      <c r="D58" s="82"/>
      <c r="E58" s="83"/>
      <c r="F58" s="107"/>
      <c r="G58" s="107"/>
      <c r="H58" s="107"/>
      <c r="I58" s="107"/>
      <c r="J58" s="107"/>
      <c r="K58" s="107"/>
      <c r="L58" s="107"/>
      <c r="M58" s="107"/>
      <c r="N58" s="107"/>
      <c r="O58" s="109"/>
      <c r="P58" s="109"/>
      <c r="Q58" s="109"/>
      <c r="R58" s="81">
        <f t="shared" si="9"/>
        <v>0</v>
      </c>
      <c r="S58" s="82">
        <f t="shared" si="10"/>
        <v>0</v>
      </c>
      <c r="T58" s="83">
        <f t="shared" si="11"/>
        <v>0</v>
      </c>
      <c r="U58" s="132">
        <f>R58*8.9</f>
        <v>0</v>
      </c>
      <c r="V58" s="133">
        <f>S58*8.9</f>
        <v>0</v>
      </c>
      <c r="W58" s="134">
        <f>T58*11.12</f>
        <v>0</v>
      </c>
      <c r="X58" s="5">
        <f>SUM(U58:W58)</f>
        <v>0</v>
      </c>
      <c r="Z58" s="1">
        <f>5+4+6+4+5+4+5+6.5+1+9+7+2+6+1+2+9</f>
        <v>76.5</v>
      </c>
    </row>
    <row r="59" spans="1:26" x14ac:dyDescent="0.25">
      <c r="A59" s="80">
        <v>11412</v>
      </c>
      <c r="B59" s="104" t="s">
        <v>51</v>
      </c>
      <c r="C59" s="81"/>
      <c r="D59" s="82"/>
      <c r="E59" s="83"/>
      <c r="F59" s="81"/>
      <c r="G59" s="82"/>
      <c r="H59" s="83"/>
      <c r="I59" s="81"/>
      <c r="J59" s="82"/>
      <c r="K59" s="83"/>
      <c r="L59" s="81"/>
      <c r="M59" s="82"/>
      <c r="N59" s="83"/>
      <c r="O59" s="86"/>
      <c r="P59" s="87"/>
      <c r="Q59" s="88"/>
      <c r="R59" s="81">
        <f t="shared" si="9"/>
        <v>0</v>
      </c>
      <c r="S59" s="82">
        <f t="shared" si="10"/>
        <v>0</v>
      </c>
      <c r="T59" s="83">
        <f t="shared" si="11"/>
        <v>0</v>
      </c>
      <c r="U59" s="132">
        <f t="shared" si="12"/>
        <v>0</v>
      </c>
      <c r="V59" s="133">
        <f t="shared" si="12"/>
        <v>0</v>
      </c>
      <c r="W59" s="134">
        <f t="shared" si="13"/>
        <v>0</v>
      </c>
      <c r="X59" s="5">
        <f t="shared" si="14"/>
        <v>0</v>
      </c>
    </row>
    <row r="60" spans="1:26" x14ac:dyDescent="0.25">
      <c r="A60" s="80">
        <v>11418</v>
      </c>
      <c r="B60" s="104" t="s">
        <v>52</v>
      </c>
      <c r="C60" s="81"/>
      <c r="D60" s="82"/>
      <c r="E60" s="83"/>
      <c r="F60" s="81"/>
      <c r="G60" s="82"/>
      <c r="H60" s="83"/>
      <c r="I60" s="81"/>
      <c r="J60" s="82"/>
      <c r="K60" s="83"/>
      <c r="L60" s="81"/>
      <c r="M60" s="82"/>
      <c r="N60" s="83"/>
      <c r="O60" s="86"/>
      <c r="P60" s="87"/>
      <c r="Q60" s="88"/>
      <c r="R60" s="81">
        <f t="shared" si="9"/>
        <v>0</v>
      </c>
      <c r="S60" s="82">
        <f t="shared" si="10"/>
        <v>0</v>
      </c>
      <c r="T60" s="83">
        <f t="shared" si="11"/>
        <v>0</v>
      </c>
      <c r="U60" s="132">
        <f t="shared" si="12"/>
        <v>0</v>
      </c>
      <c r="V60" s="133">
        <f t="shared" si="12"/>
        <v>0</v>
      </c>
      <c r="W60" s="134">
        <f t="shared" si="13"/>
        <v>0</v>
      </c>
      <c r="X60" s="5">
        <f t="shared" si="14"/>
        <v>0</v>
      </c>
    </row>
    <row r="61" spans="1:26" x14ac:dyDescent="0.25">
      <c r="C61" s="4">
        <f t="shared" ref="C61:X61" si="15">SUM(C27:C60)</f>
        <v>0</v>
      </c>
      <c r="D61" s="4">
        <f t="shared" si="15"/>
        <v>0</v>
      </c>
      <c r="E61" s="4">
        <f t="shared" si="15"/>
        <v>0</v>
      </c>
      <c r="F61" s="4">
        <f t="shared" si="15"/>
        <v>0</v>
      </c>
      <c r="G61" s="4">
        <f t="shared" si="15"/>
        <v>0</v>
      </c>
      <c r="H61" s="4">
        <f t="shared" si="15"/>
        <v>0</v>
      </c>
      <c r="I61" s="4">
        <f t="shared" si="15"/>
        <v>0</v>
      </c>
      <c r="J61" s="4">
        <f t="shared" si="15"/>
        <v>0</v>
      </c>
      <c r="K61" s="4">
        <f t="shared" si="15"/>
        <v>0</v>
      </c>
      <c r="L61" s="4">
        <f t="shared" si="15"/>
        <v>0</v>
      </c>
      <c r="M61" s="4">
        <f t="shared" si="15"/>
        <v>0</v>
      </c>
      <c r="N61" s="4">
        <f t="shared" si="15"/>
        <v>0</v>
      </c>
      <c r="O61" s="89">
        <f t="shared" si="15"/>
        <v>0</v>
      </c>
      <c r="P61" s="89">
        <f t="shared" si="15"/>
        <v>0</v>
      </c>
      <c r="Q61" s="89">
        <f t="shared" si="15"/>
        <v>0</v>
      </c>
      <c r="R61" s="4">
        <f t="shared" si="15"/>
        <v>0</v>
      </c>
      <c r="S61" s="4">
        <f t="shared" si="15"/>
        <v>0</v>
      </c>
      <c r="T61" s="4">
        <f t="shared" si="15"/>
        <v>0</v>
      </c>
      <c r="U61" s="135">
        <f t="shared" si="15"/>
        <v>0</v>
      </c>
      <c r="V61" s="135">
        <f t="shared" si="15"/>
        <v>0</v>
      </c>
      <c r="W61" s="135">
        <f t="shared" si="15"/>
        <v>0</v>
      </c>
      <c r="X61" s="5">
        <f t="shared" si="15"/>
        <v>0</v>
      </c>
    </row>
    <row r="62" spans="1:26" x14ac:dyDescent="0.25">
      <c r="L62" s="2">
        <f>94+83.5+88+88+88-L22-L61-M22-M61</f>
        <v>441.5</v>
      </c>
      <c r="N62" s="2">
        <f>76.5-N22-N61</f>
        <v>76.5</v>
      </c>
      <c r="R62" s="2">
        <f>+R61-R28-R29-R31-R32-R36-R43-R48-R50-R59</f>
        <v>0</v>
      </c>
    </row>
    <row r="64" spans="1:26" ht="18.75" x14ac:dyDescent="0.25">
      <c r="A64" s="203" t="s">
        <v>82</v>
      </c>
      <c r="B64" s="204"/>
      <c r="C64" s="197" t="s">
        <v>8</v>
      </c>
      <c r="D64" s="197"/>
      <c r="E64" s="197"/>
      <c r="F64" s="197" t="s">
        <v>8</v>
      </c>
      <c r="G64" s="197"/>
      <c r="H64" s="197"/>
      <c r="I64" s="197" t="s">
        <v>8</v>
      </c>
      <c r="J64" s="197"/>
      <c r="K64" s="197"/>
      <c r="L64" s="197" t="s">
        <v>8</v>
      </c>
      <c r="M64" s="197"/>
      <c r="N64" s="197"/>
      <c r="O64" s="198" t="s">
        <v>8</v>
      </c>
      <c r="P64" s="198"/>
      <c r="Q64" s="198"/>
      <c r="R64" s="197" t="s">
        <v>13</v>
      </c>
      <c r="S64" s="197"/>
      <c r="T64" s="197"/>
      <c r="U64" s="197" t="s">
        <v>12</v>
      </c>
      <c r="V64" s="197"/>
      <c r="W64" s="197"/>
      <c r="X64" s="197"/>
    </row>
    <row r="65" spans="1:25" ht="15" customHeight="1" x14ac:dyDescent="0.25">
      <c r="A65" s="78" t="s">
        <v>0</v>
      </c>
      <c r="B65" s="4" t="s">
        <v>1</v>
      </c>
      <c r="C65" s="202" t="s">
        <v>139</v>
      </c>
      <c r="D65" s="202"/>
      <c r="E65" s="202"/>
      <c r="F65" s="202" t="s">
        <v>140</v>
      </c>
      <c r="G65" s="202"/>
      <c r="H65" s="202"/>
      <c r="I65" s="197" t="s">
        <v>141</v>
      </c>
      <c r="J65" s="197"/>
      <c r="K65" s="197"/>
      <c r="L65" s="198" t="s">
        <v>142</v>
      </c>
      <c r="M65" s="198"/>
      <c r="N65" s="198"/>
      <c r="O65" s="198" t="s">
        <v>143</v>
      </c>
      <c r="P65" s="198"/>
      <c r="Q65" s="198"/>
      <c r="R65" s="3" t="s">
        <v>11</v>
      </c>
      <c r="S65" s="3" t="s">
        <v>10</v>
      </c>
      <c r="T65" s="3" t="s">
        <v>9</v>
      </c>
      <c r="U65" s="3" t="s">
        <v>11</v>
      </c>
      <c r="V65" s="3" t="s">
        <v>10</v>
      </c>
      <c r="W65" s="3" t="s">
        <v>9</v>
      </c>
      <c r="X65" s="4" t="s">
        <v>14</v>
      </c>
    </row>
    <row r="66" spans="1:25" x14ac:dyDescent="0.25">
      <c r="A66" s="78">
        <v>11494</v>
      </c>
      <c r="B66" s="130" t="s">
        <v>85</v>
      </c>
      <c r="C66" s="81">
        <v>5</v>
      </c>
      <c r="D66" s="82">
        <v>2</v>
      </c>
      <c r="E66" s="83">
        <v>0</v>
      </c>
      <c r="F66" s="81">
        <v>35</v>
      </c>
      <c r="G66" s="82">
        <v>0</v>
      </c>
      <c r="H66" s="83">
        <v>0</v>
      </c>
      <c r="I66" s="81"/>
      <c r="J66" s="82"/>
      <c r="K66" s="83"/>
      <c r="L66" s="81"/>
      <c r="M66" s="82"/>
      <c r="N66" s="83"/>
      <c r="O66" s="98"/>
      <c r="P66" s="100"/>
      <c r="Q66" s="99"/>
      <c r="R66" s="81">
        <f t="shared" ref="R66:R96" si="16">C66+F66+I66+L66+O66</f>
        <v>40</v>
      </c>
      <c r="S66" s="82">
        <f t="shared" ref="S66:S96" si="17">D66+G66+J66+M66+P66</f>
        <v>2</v>
      </c>
      <c r="T66" s="83">
        <f t="shared" ref="T66:T96" si="18">E66+H66+K66+N66+Q66</f>
        <v>0</v>
      </c>
      <c r="U66" s="132">
        <f>R66*8.9</f>
        <v>356</v>
      </c>
      <c r="V66" s="133">
        <f>S66*8.9</f>
        <v>17.8</v>
      </c>
      <c r="W66" s="134">
        <f>T66*11.12</f>
        <v>0</v>
      </c>
      <c r="X66" s="5">
        <f t="shared" ref="X66:X96" si="19">SUM(U66:W66)</f>
        <v>373.8</v>
      </c>
    </row>
    <row r="67" spans="1:25" x14ac:dyDescent="0.25">
      <c r="A67" s="78">
        <v>11449</v>
      </c>
      <c r="B67" s="7" t="s">
        <v>59</v>
      </c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8"/>
      <c r="Q67" s="108"/>
      <c r="R67" s="81">
        <f t="shared" si="16"/>
        <v>0</v>
      </c>
      <c r="S67" s="82">
        <f t="shared" si="17"/>
        <v>0</v>
      </c>
      <c r="T67" s="83">
        <f t="shared" si="18"/>
        <v>0</v>
      </c>
      <c r="U67" s="132">
        <f>R67*8.9</f>
        <v>0</v>
      </c>
      <c r="V67" s="133">
        <f>S67*8.9</f>
        <v>0</v>
      </c>
      <c r="W67" s="134">
        <f>T67*11.12</f>
        <v>0</v>
      </c>
      <c r="X67" s="5">
        <f t="shared" si="19"/>
        <v>0</v>
      </c>
    </row>
    <row r="68" spans="1:25" x14ac:dyDescent="0.25">
      <c r="A68" s="94">
        <v>11290</v>
      </c>
      <c r="B68" s="103" t="s">
        <v>3</v>
      </c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8"/>
      <c r="Q68" s="108"/>
      <c r="R68" s="81">
        <f t="shared" si="16"/>
        <v>0</v>
      </c>
      <c r="S68" s="82">
        <f t="shared" si="17"/>
        <v>0</v>
      </c>
      <c r="T68" s="83">
        <f t="shared" si="18"/>
        <v>0</v>
      </c>
      <c r="U68" s="132">
        <f>R68*9.56</f>
        <v>0</v>
      </c>
      <c r="V68" s="133">
        <f>S68*9.56</f>
        <v>0</v>
      </c>
      <c r="W68" s="134">
        <f>T68*11.95</f>
        <v>0</v>
      </c>
      <c r="X68" s="5">
        <f t="shared" si="19"/>
        <v>0</v>
      </c>
    </row>
    <row r="69" spans="1:25" x14ac:dyDescent="0.25">
      <c r="A69" s="78">
        <v>11401</v>
      </c>
      <c r="B69" s="130" t="s">
        <v>109</v>
      </c>
      <c r="C69" s="81">
        <v>10</v>
      </c>
      <c r="D69" s="82">
        <v>4</v>
      </c>
      <c r="E69" s="83">
        <v>0</v>
      </c>
      <c r="F69" s="81">
        <v>35</v>
      </c>
      <c r="G69" s="82">
        <v>0</v>
      </c>
      <c r="H69" s="83">
        <v>5</v>
      </c>
      <c r="I69" s="81"/>
      <c r="J69" s="82"/>
      <c r="K69" s="83"/>
      <c r="L69" s="81"/>
      <c r="M69" s="82"/>
      <c r="N69" s="83"/>
      <c r="O69" s="98"/>
      <c r="P69" s="100"/>
      <c r="Q69" s="99"/>
      <c r="R69" s="98">
        <f t="shared" si="16"/>
        <v>45</v>
      </c>
      <c r="S69" s="82">
        <f t="shared" si="17"/>
        <v>4</v>
      </c>
      <c r="T69" s="83">
        <f t="shared" si="18"/>
        <v>5</v>
      </c>
      <c r="U69" s="132">
        <f>R69*8.9</f>
        <v>400.5</v>
      </c>
      <c r="V69" s="133">
        <f>S69*8.9</f>
        <v>35.6</v>
      </c>
      <c r="W69" s="134">
        <f>T69*11.12</f>
        <v>55.599999999999994</v>
      </c>
      <c r="X69" s="5">
        <f t="shared" si="19"/>
        <v>491.70000000000005</v>
      </c>
    </row>
    <row r="70" spans="1:25" x14ac:dyDescent="0.25">
      <c r="A70" s="78">
        <v>11499</v>
      </c>
      <c r="B70" s="130" t="s">
        <v>90</v>
      </c>
      <c r="C70" s="81">
        <v>10</v>
      </c>
      <c r="D70" s="82">
        <v>4</v>
      </c>
      <c r="E70" s="83">
        <v>0</v>
      </c>
      <c r="F70" s="81">
        <v>35</v>
      </c>
      <c r="G70" s="82">
        <v>0</v>
      </c>
      <c r="H70" s="83">
        <v>5</v>
      </c>
      <c r="I70" s="81"/>
      <c r="J70" s="82"/>
      <c r="K70" s="83"/>
      <c r="L70" s="81"/>
      <c r="M70" s="82"/>
      <c r="N70" s="83"/>
      <c r="O70" s="98"/>
      <c r="P70" s="100"/>
      <c r="Q70" s="99"/>
      <c r="R70" s="81">
        <f t="shared" si="16"/>
        <v>45</v>
      </c>
      <c r="S70" s="82">
        <f t="shared" si="17"/>
        <v>4</v>
      </c>
      <c r="T70" s="83">
        <f t="shared" si="18"/>
        <v>5</v>
      </c>
      <c r="U70" s="132">
        <f>R70*8.9</f>
        <v>400.5</v>
      </c>
      <c r="V70" s="133">
        <f>S70*8.9</f>
        <v>35.6</v>
      </c>
      <c r="W70" s="134">
        <f>T70*11.12</f>
        <v>55.599999999999994</v>
      </c>
      <c r="X70" s="5">
        <f t="shared" si="19"/>
        <v>491.70000000000005</v>
      </c>
    </row>
    <row r="71" spans="1:25" x14ac:dyDescent="0.25">
      <c r="A71" s="94">
        <v>11363</v>
      </c>
      <c r="B71" s="103" t="s">
        <v>5</v>
      </c>
      <c r="C71" s="81"/>
      <c r="D71" s="82"/>
      <c r="E71" s="83"/>
      <c r="F71" s="81"/>
      <c r="G71" s="82"/>
      <c r="H71" s="83"/>
      <c r="I71" s="81"/>
      <c r="J71" s="82"/>
      <c r="K71" s="83"/>
      <c r="L71" s="81"/>
      <c r="M71" s="82"/>
      <c r="N71" s="83"/>
      <c r="O71" s="81"/>
      <c r="P71" s="87"/>
      <c r="Q71" s="88"/>
      <c r="R71" s="81">
        <f t="shared" si="16"/>
        <v>0</v>
      </c>
      <c r="S71" s="82">
        <f t="shared" si="17"/>
        <v>0</v>
      </c>
      <c r="T71" s="83">
        <f t="shared" si="18"/>
        <v>0</v>
      </c>
      <c r="U71" s="132">
        <f>R71*9.56</f>
        <v>0</v>
      </c>
      <c r="V71" s="133">
        <f>S71*9.56</f>
        <v>0</v>
      </c>
      <c r="W71" s="134">
        <f>T71*11.95</f>
        <v>0</v>
      </c>
      <c r="X71" s="5">
        <f t="shared" si="19"/>
        <v>0</v>
      </c>
    </row>
    <row r="72" spans="1:25" x14ac:dyDescent="0.25">
      <c r="A72" s="94">
        <v>11291</v>
      </c>
      <c r="B72" s="103" t="s">
        <v>6</v>
      </c>
      <c r="C72" s="81">
        <v>0</v>
      </c>
      <c r="D72" s="82">
        <v>0</v>
      </c>
      <c r="E72" s="83">
        <v>0</v>
      </c>
      <c r="F72" s="81">
        <v>25</v>
      </c>
      <c r="G72" s="82">
        <v>0</v>
      </c>
      <c r="H72" s="83">
        <v>0</v>
      </c>
      <c r="I72" s="81"/>
      <c r="J72" s="82"/>
      <c r="K72" s="83"/>
      <c r="L72" s="81"/>
      <c r="M72" s="82"/>
      <c r="N72" s="83"/>
      <c r="O72" s="81"/>
      <c r="P72" s="87"/>
      <c r="Q72" s="88"/>
      <c r="R72" s="81">
        <f t="shared" si="16"/>
        <v>25</v>
      </c>
      <c r="S72" s="82">
        <f t="shared" si="17"/>
        <v>0</v>
      </c>
      <c r="T72" s="83">
        <f t="shared" si="18"/>
        <v>0</v>
      </c>
      <c r="U72" s="132">
        <f>R72*9.56</f>
        <v>239</v>
      </c>
      <c r="V72" s="133">
        <f>S72*9.56</f>
        <v>0</v>
      </c>
      <c r="W72" s="134">
        <f>T72*11.95</f>
        <v>0</v>
      </c>
      <c r="X72" s="5">
        <f t="shared" si="19"/>
        <v>239</v>
      </c>
      <c r="Y72" s="14" t="s">
        <v>128</v>
      </c>
    </row>
    <row r="73" spans="1:25" x14ac:dyDescent="0.25">
      <c r="A73" s="78">
        <v>11502</v>
      </c>
      <c r="B73" s="130" t="s">
        <v>92</v>
      </c>
      <c r="C73" s="81">
        <v>10</v>
      </c>
      <c r="D73" s="82">
        <v>2</v>
      </c>
      <c r="E73" s="83">
        <v>0</v>
      </c>
      <c r="F73" s="81">
        <v>35</v>
      </c>
      <c r="G73" s="82">
        <v>0</v>
      </c>
      <c r="H73" s="83">
        <v>5</v>
      </c>
      <c r="I73" s="81"/>
      <c r="J73" s="82"/>
      <c r="K73" s="83"/>
      <c r="L73" s="81"/>
      <c r="M73" s="82"/>
      <c r="N73" s="83"/>
      <c r="O73" s="98"/>
      <c r="P73" s="100"/>
      <c r="Q73" s="99"/>
      <c r="R73" s="81">
        <f t="shared" si="16"/>
        <v>45</v>
      </c>
      <c r="S73" s="82">
        <f t="shared" si="17"/>
        <v>2</v>
      </c>
      <c r="T73" s="83">
        <f t="shared" si="18"/>
        <v>5</v>
      </c>
      <c r="U73" s="132">
        <f t="shared" ref="U73:V87" si="20">R73*8.9</f>
        <v>400.5</v>
      </c>
      <c r="V73" s="133">
        <f t="shared" si="20"/>
        <v>17.8</v>
      </c>
      <c r="W73" s="134">
        <f t="shared" ref="W73:W87" si="21">T73*11.12</f>
        <v>55.599999999999994</v>
      </c>
      <c r="X73" s="5">
        <f t="shared" si="19"/>
        <v>473.9</v>
      </c>
    </row>
    <row r="74" spans="1:25" x14ac:dyDescent="0.25">
      <c r="A74" s="78">
        <v>11408</v>
      </c>
      <c r="B74" s="130" t="s">
        <v>65</v>
      </c>
      <c r="C74" s="81">
        <v>10</v>
      </c>
      <c r="D74" s="82">
        <v>4</v>
      </c>
      <c r="E74" s="83">
        <v>0</v>
      </c>
      <c r="F74" s="81">
        <v>35</v>
      </c>
      <c r="G74" s="82">
        <v>0</v>
      </c>
      <c r="H74" s="83">
        <v>5</v>
      </c>
      <c r="I74" s="81"/>
      <c r="J74" s="82"/>
      <c r="K74" s="83"/>
      <c r="L74" s="81"/>
      <c r="M74" s="82"/>
      <c r="N74" s="83"/>
      <c r="O74" s="98"/>
      <c r="P74" s="87"/>
      <c r="Q74" s="88"/>
      <c r="R74" s="81">
        <f t="shared" si="16"/>
        <v>45</v>
      </c>
      <c r="S74" s="82">
        <f t="shared" si="17"/>
        <v>4</v>
      </c>
      <c r="T74" s="83">
        <f t="shared" si="18"/>
        <v>5</v>
      </c>
      <c r="U74" s="132">
        <f t="shared" si="20"/>
        <v>400.5</v>
      </c>
      <c r="V74" s="133">
        <f t="shared" si="20"/>
        <v>35.6</v>
      </c>
      <c r="W74" s="134">
        <f t="shared" si="21"/>
        <v>55.599999999999994</v>
      </c>
      <c r="X74" s="5">
        <f t="shared" si="19"/>
        <v>491.70000000000005</v>
      </c>
    </row>
    <row r="75" spans="1:25" x14ac:dyDescent="0.25">
      <c r="A75" s="78">
        <v>11428</v>
      </c>
      <c r="B75" s="130" t="s">
        <v>66</v>
      </c>
      <c r="C75" s="81">
        <v>10</v>
      </c>
      <c r="D75" s="82">
        <v>4</v>
      </c>
      <c r="E75" s="83">
        <v>0</v>
      </c>
      <c r="F75" s="81">
        <v>35</v>
      </c>
      <c r="G75" s="82">
        <v>0</v>
      </c>
      <c r="H75" s="83">
        <v>5</v>
      </c>
      <c r="I75" s="81"/>
      <c r="J75" s="82"/>
      <c r="K75" s="83"/>
      <c r="L75" s="81"/>
      <c r="M75" s="82"/>
      <c r="N75" s="83"/>
      <c r="O75" s="98"/>
      <c r="P75" s="87"/>
      <c r="Q75" s="88"/>
      <c r="R75" s="81">
        <f t="shared" si="16"/>
        <v>45</v>
      </c>
      <c r="S75" s="82">
        <f t="shared" si="17"/>
        <v>4</v>
      </c>
      <c r="T75" s="83">
        <f t="shared" si="18"/>
        <v>5</v>
      </c>
      <c r="U75" s="132">
        <f t="shared" si="20"/>
        <v>400.5</v>
      </c>
      <c r="V75" s="133">
        <f t="shared" si="20"/>
        <v>35.6</v>
      </c>
      <c r="W75" s="134">
        <f t="shared" si="21"/>
        <v>55.599999999999994</v>
      </c>
      <c r="X75" s="5">
        <f t="shared" si="19"/>
        <v>491.70000000000005</v>
      </c>
    </row>
    <row r="76" spans="1:25" x14ac:dyDescent="0.25">
      <c r="A76" s="78">
        <v>11529</v>
      </c>
      <c r="B76" s="111" t="s">
        <v>133</v>
      </c>
      <c r="C76" s="81"/>
      <c r="D76" s="82"/>
      <c r="E76" s="83"/>
      <c r="F76" s="81"/>
      <c r="G76" s="82"/>
      <c r="H76" s="83"/>
      <c r="I76" s="81"/>
      <c r="J76" s="82"/>
      <c r="K76" s="83"/>
      <c r="L76" s="81"/>
      <c r="M76" s="82"/>
      <c r="N76" s="83"/>
      <c r="O76" s="98"/>
      <c r="P76" s="100"/>
      <c r="Q76" s="99"/>
      <c r="R76" s="98">
        <f t="shared" si="16"/>
        <v>0</v>
      </c>
      <c r="S76" s="82">
        <f t="shared" si="17"/>
        <v>0</v>
      </c>
      <c r="T76" s="83">
        <f t="shared" si="18"/>
        <v>0</v>
      </c>
      <c r="U76" s="132">
        <f t="shared" si="20"/>
        <v>0</v>
      </c>
      <c r="V76" s="133">
        <f t="shared" si="20"/>
        <v>0</v>
      </c>
      <c r="W76" s="134">
        <f t="shared" si="21"/>
        <v>0</v>
      </c>
      <c r="X76" s="5">
        <f t="shared" si="19"/>
        <v>0</v>
      </c>
    </row>
    <row r="77" spans="1:25" x14ac:dyDescent="0.25">
      <c r="A77" s="78">
        <v>11480</v>
      </c>
      <c r="B77" s="7" t="s">
        <v>67</v>
      </c>
      <c r="C77" s="81"/>
      <c r="D77" s="82"/>
      <c r="E77" s="83"/>
      <c r="F77" s="81"/>
      <c r="G77" s="82"/>
      <c r="H77" s="83"/>
      <c r="I77" s="81"/>
      <c r="J77" s="82"/>
      <c r="K77" s="83"/>
      <c r="L77" s="81"/>
      <c r="M77" s="82"/>
      <c r="N77" s="83"/>
      <c r="O77" s="86"/>
      <c r="P77" s="87"/>
      <c r="Q77" s="88"/>
      <c r="R77" s="81">
        <f t="shared" si="16"/>
        <v>0</v>
      </c>
      <c r="S77" s="82">
        <f t="shared" si="17"/>
        <v>0</v>
      </c>
      <c r="T77" s="83">
        <f t="shared" si="18"/>
        <v>0</v>
      </c>
      <c r="U77" s="132">
        <f t="shared" si="20"/>
        <v>0</v>
      </c>
      <c r="V77" s="133">
        <f t="shared" si="20"/>
        <v>0</v>
      </c>
      <c r="W77" s="134">
        <f t="shared" si="21"/>
        <v>0</v>
      </c>
      <c r="X77" s="5">
        <f t="shared" si="19"/>
        <v>0</v>
      </c>
    </row>
    <row r="78" spans="1:25" x14ac:dyDescent="0.25">
      <c r="A78" s="78">
        <v>11517</v>
      </c>
      <c r="B78" s="130" t="s">
        <v>106</v>
      </c>
      <c r="C78" s="81">
        <v>10</v>
      </c>
      <c r="D78" s="82">
        <v>64</v>
      </c>
      <c r="E78" s="83">
        <v>0</v>
      </c>
      <c r="F78" s="81">
        <v>28</v>
      </c>
      <c r="G78" s="82">
        <v>0</v>
      </c>
      <c r="H78" s="83">
        <v>7</v>
      </c>
      <c r="I78" s="81"/>
      <c r="J78" s="82"/>
      <c r="K78" s="83"/>
      <c r="L78" s="81"/>
      <c r="M78" s="82"/>
      <c r="N78" s="83"/>
      <c r="O78" s="98"/>
      <c r="P78" s="100"/>
      <c r="Q78" s="99"/>
      <c r="R78" s="98">
        <f t="shared" si="16"/>
        <v>38</v>
      </c>
      <c r="S78" s="82">
        <f t="shared" si="17"/>
        <v>64</v>
      </c>
      <c r="T78" s="83">
        <f t="shared" si="18"/>
        <v>7</v>
      </c>
      <c r="U78" s="132">
        <f t="shared" si="20"/>
        <v>338.2</v>
      </c>
      <c r="V78" s="133">
        <f t="shared" si="20"/>
        <v>569.6</v>
      </c>
      <c r="W78" s="134">
        <f t="shared" si="21"/>
        <v>77.839999999999989</v>
      </c>
      <c r="X78" s="5">
        <f t="shared" si="19"/>
        <v>985.64</v>
      </c>
    </row>
    <row r="79" spans="1:25" x14ac:dyDescent="0.25">
      <c r="A79" s="78">
        <v>11514</v>
      </c>
      <c r="B79" s="130" t="s">
        <v>108</v>
      </c>
      <c r="C79" s="128">
        <v>0</v>
      </c>
      <c r="D79" s="128">
        <v>0</v>
      </c>
      <c r="E79" s="128">
        <v>0</v>
      </c>
      <c r="F79" s="81">
        <v>28</v>
      </c>
      <c r="G79" s="82">
        <v>0</v>
      </c>
      <c r="H79" s="83">
        <v>5</v>
      </c>
      <c r="I79" s="81"/>
      <c r="J79" s="82"/>
      <c r="K79" s="83"/>
      <c r="L79" s="81"/>
      <c r="M79" s="82"/>
      <c r="N79" s="83"/>
      <c r="O79" s="98"/>
      <c r="P79" s="100"/>
      <c r="Q79" s="99"/>
      <c r="R79" s="98">
        <f t="shared" si="16"/>
        <v>28</v>
      </c>
      <c r="S79" s="82">
        <f t="shared" si="17"/>
        <v>0</v>
      </c>
      <c r="T79" s="83">
        <f t="shared" si="18"/>
        <v>5</v>
      </c>
      <c r="U79" s="132">
        <f t="shared" si="20"/>
        <v>249.20000000000002</v>
      </c>
      <c r="V79" s="133">
        <f t="shared" si="20"/>
        <v>0</v>
      </c>
      <c r="W79" s="134">
        <f t="shared" si="21"/>
        <v>55.599999999999994</v>
      </c>
      <c r="X79" s="5">
        <f t="shared" si="19"/>
        <v>304.8</v>
      </c>
    </row>
    <row r="80" spans="1:25" x14ac:dyDescent="0.25">
      <c r="A80" s="78">
        <v>11500</v>
      </c>
      <c r="B80" s="130" t="s">
        <v>91</v>
      </c>
      <c r="C80" s="81">
        <v>10</v>
      </c>
      <c r="D80" s="82">
        <v>4</v>
      </c>
      <c r="E80" s="83">
        <v>0</v>
      </c>
      <c r="F80" s="81">
        <v>35</v>
      </c>
      <c r="G80" s="82">
        <v>0</v>
      </c>
      <c r="H80" s="83">
        <v>5</v>
      </c>
      <c r="I80" s="81"/>
      <c r="J80" s="82"/>
      <c r="K80" s="83"/>
      <c r="L80" s="81"/>
      <c r="M80" s="82"/>
      <c r="N80" s="83"/>
      <c r="O80" s="98"/>
      <c r="P80" s="87"/>
      <c r="Q80" s="88"/>
      <c r="R80" s="81">
        <f t="shared" si="16"/>
        <v>45</v>
      </c>
      <c r="S80" s="82">
        <f t="shared" si="17"/>
        <v>4</v>
      </c>
      <c r="T80" s="83">
        <f t="shared" si="18"/>
        <v>5</v>
      </c>
      <c r="U80" s="132">
        <f t="shared" si="20"/>
        <v>400.5</v>
      </c>
      <c r="V80" s="133">
        <f t="shared" si="20"/>
        <v>35.6</v>
      </c>
      <c r="W80" s="134">
        <f t="shared" si="21"/>
        <v>55.599999999999994</v>
      </c>
      <c r="X80" s="5">
        <f t="shared" si="19"/>
        <v>491.70000000000005</v>
      </c>
    </row>
    <row r="81" spans="1:25" x14ac:dyDescent="0.25">
      <c r="A81" s="78">
        <v>11501</v>
      </c>
      <c r="B81" s="130" t="s">
        <v>86</v>
      </c>
      <c r="C81" s="81">
        <v>10</v>
      </c>
      <c r="D81" s="82">
        <v>4</v>
      </c>
      <c r="E81" s="83">
        <v>0</v>
      </c>
      <c r="F81" s="81">
        <v>35</v>
      </c>
      <c r="G81" s="82">
        <v>0</v>
      </c>
      <c r="H81" s="83">
        <v>0</v>
      </c>
      <c r="I81" s="81"/>
      <c r="J81" s="82"/>
      <c r="K81" s="83"/>
      <c r="L81" s="81"/>
      <c r="M81" s="82"/>
      <c r="N81" s="83"/>
      <c r="O81" s="98"/>
      <c r="P81" s="100"/>
      <c r="Q81" s="99"/>
      <c r="R81" s="81">
        <f t="shared" si="16"/>
        <v>45</v>
      </c>
      <c r="S81" s="82">
        <f t="shared" si="17"/>
        <v>4</v>
      </c>
      <c r="T81" s="83">
        <f t="shared" si="18"/>
        <v>0</v>
      </c>
      <c r="U81" s="132">
        <f t="shared" si="20"/>
        <v>400.5</v>
      </c>
      <c r="V81" s="133">
        <f t="shared" si="20"/>
        <v>35.6</v>
      </c>
      <c r="W81" s="134">
        <f t="shared" si="21"/>
        <v>0</v>
      </c>
      <c r="X81" s="5">
        <f t="shared" si="19"/>
        <v>436.1</v>
      </c>
    </row>
    <row r="82" spans="1:25" x14ac:dyDescent="0.25">
      <c r="A82" s="78">
        <v>11495</v>
      </c>
      <c r="B82" s="130" t="s">
        <v>93</v>
      </c>
      <c r="C82" s="81">
        <v>10</v>
      </c>
      <c r="D82" s="82">
        <v>4</v>
      </c>
      <c r="E82" s="83">
        <v>0</v>
      </c>
      <c r="F82" s="81">
        <v>28</v>
      </c>
      <c r="G82" s="82">
        <v>0</v>
      </c>
      <c r="H82" s="83">
        <v>5</v>
      </c>
      <c r="I82" s="81"/>
      <c r="J82" s="82"/>
      <c r="K82" s="83"/>
      <c r="L82" s="81"/>
      <c r="M82" s="82"/>
      <c r="N82" s="83"/>
      <c r="O82" s="98"/>
      <c r="P82" s="100"/>
      <c r="Q82" s="99"/>
      <c r="R82" s="81">
        <f t="shared" si="16"/>
        <v>38</v>
      </c>
      <c r="S82" s="82">
        <f t="shared" si="17"/>
        <v>4</v>
      </c>
      <c r="T82" s="83">
        <f t="shared" si="18"/>
        <v>5</v>
      </c>
      <c r="U82" s="132">
        <f t="shared" si="20"/>
        <v>338.2</v>
      </c>
      <c r="V82" s="133">
        <f t="shared" si="20"/>
        <v>35.6</v>
      </c>
      <c r="W82" s="134">
        <f t="shared" si="21"/>
        <v>55.599999999999994</v>
      </c>
      <c r="X82" s="5">
        <f t="shared" si="19"/>
        <v>429.4</v>
      </c>
    </row>
    <row r="83" spans="1:25" x14ac:dyDescent="0.25">
      <c r="A83" s="78">
        <v>11496</v>
      </c>
      <c r="B83" s="130" t="s">
        <v>87</v>
      </c>
      <c r="C83" s="81">
        <v>10</v>
      </c>
      <c r="D83" s="82">
        <v>4</v>
      </c>
      <c r="E83" s="83">
        <v>0</v>
      </c>
      <c r="F83" s="81">
        <v>28</v>
      </c>
      <c r="G83" s="82">
        <v>0</v>
      </c>
      <c r="H83" s="83">
        <v>0</v>
      </c>
      <c r="I83" s="81"/>
      <c r="J83" s="82"/>
      <c r="K83" s="83"/>
      <c r="L83" s="81"/>
      <c r="M83" s="82"/>
      <c r="N83" s="83"/>
      <c r="O83" s="98"/>
      <c r="P83" s="100"/>
      <c r="Q83" s="99"/>
      <c r="R83" s="81">
        <f t="shared" si="16"/>
        <v>38</v>
      </c>
      <c r="S83" s="82">
        <f t="shared" si="17"/>
        <v>4</v>
      </c>
      <c r="T83" s="83">
        <f t="shared" si="18"/>
        <v>0</v>
      </c>
      <c r="U83" s="132">
        <f t="shared" si="20"/>
        <v>338.2</v>
      </c>
      <c r="V83" s="133">
        <f t="shared" si="20"/>
        <v>35.6</v>
      </c>
      <c r="W83" s="134">
        <f t="shared" si="21"/>
        <v>0</v>
      </c>
      <c r="X83" s="5">
        <f t="shared" si="19"/>
        <v>373.8</v>
      </c>
    </row>
    <row r="84" spans="1:25" x14ac:dyDescent="0.25">
      <c r="A84" s="78">
        <v>11530</v>
      </c>
      <c r="B84" s="111" t="s">
        <v>134</v>
      </c>
      <c r="C84" s="81"/>
      <c r="D84" s="82"/>
      <c r="E84" s="83"/>
      <c r="F84" s="81"/>
      <c r="G84" s="82"/>
      <c r="H84" s="83"/>
      <c r="I84" s="81"/>
      <c r="J84" s="82"/>
      <c r="K84" s="83"/>
      <c r="L84" s="81"/>
      <c r="M84" s="82"/>
      <c r="N84" s="83"/>
      <c r="O84" s="98"/>
      <c r="P84" s="100"/>
      <c r="Q84" s="99"/>
      <c r="R84" s="98">
        <f t="shared" si="16"/>
        <v>0</v>
      </c>
      <c r="S84" s="82">
        <f t="shared" si="17"/>
        <v>0</v>
      </c>
      <c r="T84" s="83">
        <f t="shared" si="18"/>
        <v>0</v>
      </c>
      <c r="U84" s="132">
        <f t="shared" si="20"/>
        <v>0</v>
      </c>
      <c r="V84" s="133">
        <f t="shared" si="20"/>
        <v>0</v>
      </c>
      <c r="W84" s="134">
        <f t="shared" si="21"/>
        <v>0</v>
      </c>
      <c r="X84" s="5">
        <f t="shared" si="19"/>
        <v>0</v>
      </c>
    </row>
    <row r="85" spans="1:25" x14ac:dyDescent="0.25">
      <c r="A85" s="78">
        <v>11493</v>
      </c>
      <c r="B85" s="130" t="s">
        <v>84</v>
      </c>
      <c r="C85" s="81">
        <v>10</v>
      </c>
      <c r="D85" s="82">
        <v>4</v>
      </c>
      <c r="E85" s="83">
        <v>0</v>
      </c>
      <c r="F85" s="81">
        <v>21</v>
      </c>
      <c r="G85" s="82">
        <v>0</v>
      </c>
      <c r="H85" s="83">
        <v>0</v>
      </c>
      <c r="I85" s="128"/>
      <c r="J85" s="128"/>
      <c r="K85" s="128"/>
      <c r="L85" s="128"/>
      <c r="M85" s="82"/>
      <c r="N85" s="83"/>
      <c r="O85" s="98"/>
      <c r="P85" s="87"/>
      <c r="Q85" s="88"/>
      <c r="R85" s="81">
        <f t="shared" si="16"/>
        <v>31</v>
      </c>
      <c r="S85" s="82">
        <f t="shared" si="17"/>
        <v>4</v>
      </c>
      <c r="T85" s="83">
        <f t="shared" si="18"/>
        <v>0</v>
      </c>
      <c r="U85" s="132">
        <f t="shared" si="20"/>
        <v>275.90000000000003</v>
      </c>
      <c r="V85" s="133">
        <f t="shared" si="20"/>
        <v>35.6</v>
      </c>
      <c r="W85" s="134">
        <f t="shared" si="21"/>
        <v>0</v>
      </c>
      <c r="X85" s="5">
        <f t="shared" si="19"/>
        <v>311.50000000000006</v>
      </c>
      <c r="Y85" s="14" t="s">
        <v>150</v>
      </c>
    </row>
    <row r="86" spans="1:25" x14ac:dyDescent="0.25">
      <c r="A86" s="78">
        <v>11406</v>
      </c>
      <c r="B86" s="130" t="s">
        <v>74</v>
      </c>
      <c r="C86" s="81">
        <v>10</v>
      </c>
      <c r="D86" s="82">
        <v>4</v>
      </c>
      <c r="E86" s="83">
        <v>0</v>
      </c>
      <c r="F86" s="81">
        <v>35</v>
      </c>
      <c r="G86" s="82">
        <v>0</v>
      </c>
      <c r="H86" s="83">
        <v>5</v>
      </c>
      <c r="I86" s="81"/>
      <c r="J86" s="82"/>
      <c r="K86" s="83"/>
      <c r="L86" s="81"/>
      <c r="M86" s="82"/>
      <c r="N86" s="83"/>
      <c r="O86" s="98"/>
      <c r="P86" s="87"/>
      <c r="Q86" s="88"/>
      <c r="R86" s="81">
        <f t="shared" si="16"/>
        <v>45</v>
      </c>
      <c r="S86" s="82">
        <f t="shared" si="17"/>
        <v>4</v>
      </c>
      <c r="T86" s="83">
        <f t="shared" si="18"/>
        <v>5</v>
      </c>
      <c r="U86" s="132">
        <f t="shared" si="20"/>
        <v>400.5</v>
      </c>
      <c r="V86" s="133">
        <f t="shared" si="20"/>
        <v>35.6</v>
      </c>
      <c r="W86" s="134">
        <f t="shared" si="21"/>
        <v>55.599999999999994</v>
      </c>
      <c r="X86" s="5">
        <f t="shared" si="19"/>
        <v>491.70000000000005</v>
      </c>
    </row>
    <row r="87" spans="1:25" x14ac:dyDescent="0.25">
      <c r="A87" s="78">
        <v>11497</v>
      </c>
      <c r="B87" s="130" t="s">
        <v>88</v>
      </c>
      <c r="C87" s="81">
        <v>10</v>
      </c>
      <c r="D87" s="82">
        <v>4</v>
      </c>
      <c r="E87" s="83">
        <v>0</v>
      </c>
      <c r="F87" s="81">
        <v>28</v>
      </c>
      <c r="G87" s="82">
        <v>0</v>
      </c>
      <c r="H87" s="83">
        <v>5</v>
      </c>
      <c r="I87" s="81"/>
      <c r="J87" s="82"/>
      <c r="K87" s="83"/>
      <c r="L87" s="81"/>
      <c r="M87" s="82"/>
      <c r="N87" s="83"/>
      <c r="O87" s="98"/>
      <c r="P87" s="100"/>
      <c r="Q87" s="99"/>
      <c r="R87" s="81">
        <f t="shared" si="16"/>
        <v>38</v>
      </c>
      <c r="S87" s="82">
        <f t="shared" si="17"/>
        <v>4</v>
      </c>
      <c r="T87" s="83">
        <f t="shared" si="18"/>
        <v>5</v>
      </c>
      <c r="U87" s="132">
        <f t="shared" si="20"/>
        <v>338.2</v>
      </c>
      <c r="V87" s="133">
        <f t="shared" si="20"/>
        <v>35.6</v>
      </c>
      <c r="W87" s="134">
        <f t="shared" si="21"/>
        <v>55.599999999999994</v>
      </c>
      <c r="X87" s="5">
        <f t="shared" si="19"/>
        <v>429.4</v>
      </c>
    </row>
    <row r="88" spans="1:25" x14ac:dyDescent="0.25">
      <c r="A88" s="94">
        <v>11469</v>
      </c>
      <c r="B88" s="131" t="s">
        <v>75</v>
      </c>
      <c r="C88" s="81">
        <v>19</v>
      </c>
      <c r="D88" s="82">
        <v>0</v>
      </c>
      <c r="E88" s="83">
        <v>20</v>
      </c>
      <c r="F88" s="81">
        <v>40</v>
      </c>
      <c r="G88" s="82">
        <v>10</v>
      </c>
      <c r="H88" s="83">
        <v>20</v>
      </c>
      <c r="I88" s="81"/>
      <c r="J88" s="82"/>
      <c r="K88" s="83"/>
      <c r="L88" s="81"/>
      <c r="M88" s="82"/>
      <c r="N88" s="83"/>
      <c r="O88" s="98"/>
      <c r="P88" s="100"/>
      <c r="Q88" s="99"/>
      <c r="R88" s="81">
        <f t="shared" si="16"/>
        <v>59</v>
      </c>
      <c r="S88" s="82">
        <f t="shared" si="17"/>
        <v>10</v>
      </c>
      <c r="T88" s="83">
        <f t="shared" si="18"/>
        <v>40</v>
      </c>
      <c r="U88" s="132">
        <f>R88*9.56</f>
        <v>564.04000000000008</v>
      </c>
      <c r="V88" s="133">
        <f>S88*9.56</f>
        <v>95.600000000000009</v>
      </c>
      <c r="W88" s="134">
        <f>T88*11.95</f>
        <v>478</v>
      </c>
      <c r="X88" s="5">
        <f t="shared" si="19"/>
        <v>1137.6400000000001</v>
      </c>
    </row>
    <row r="89" spans="1:25" x14ac:dyDescent="0.25">
      <c r="A89" s="78">
        <v>11498</v>
      </c>
      <c r="B89" s="130" t="s">
        <v>89</v>
      </c>
      <c r="C89" s="81">
        <v>10</v>
      </c>
      <c r="D89" s="82">
        <v>5</v>
      </c>
      <c r="E89" s="83">
        <v>0</v>
      </c>
      <c r="F89" s="81">
        <v>37</v>
      </c>
      <c r="G89" s="82">
        <v>0</v>
      </c>
      <c r="H89" s="83">
        <v>5</v>
      </c>
      <c r="I89" s="81"/>
      <c r="J89" s="82"/>
      <c r="K89" s="83"/>
      <c r="L89" s="81"/>
      <c r="M89" s="82"/>
      <c r="N89" s="83"/>
      <c r="O89" s="98"/>
      <c r="P89" s="100"/>
      <c r="Q89" s="99"/>
      <c r="R89" s="81">
        <f t="shared" si="16"/>
        <v>47</v>
      </c>
      <c r="S89" s="82">
        <f t="shared" si="17"/>
        <v>5</v>
      </c>
      <c r="T89" s="83">
        <f t="shared" si="18"/>
        <v>5</v>
      </c>
      <c r="U89" s="132">
        <f>R89*8.9</f>
        <v>418.3</v>
      </c>
      <c r="V89" s="133">
        <f>S89*8.9</f>
        <v>44.5</v>
      </c>
      <c r="W89" s="134">
        <f>T89*11.12</f>
        <v>55.599999999999994</v>
      </c>
      <c r="X89" s="5">
        <f t="shared" si="19"/>
        <v>518.4</v>
      </c>
    </row>
    <row r="90" spans="1:25" x14ac:dyDescent="0.25">
      <c r="A90" s="94">
        <v>11504</v>
      </c>
      <c r="B90" s="131" t="s">
        <v>79</v>
      </c>
      <c r="C90" s="81">
        <v>18</v>
      </c>
      <c r="D90" s="82">
        <v>0</v>
      </c>
      <c r="E90" s="83">
        <v>5</v>
      </c>
      <c r="F90" s="81">
        <v>40</v>
      </c>
      <c r="G90" s="82">
        <v>5</v>
      </c>
      <c r="H90" s="83">
        <v>6</v>
      </c>
      <c r="I90" s="81"/>
      <c r="J90" s="82"/>
      <c r="K90" s="83"/>
      <c r="L90" s="81"/>
      <c r="M90" s="82"/>
      <c r="N90" s="83"/>
      <c r="O90" s="98"/>
      <c r="P90" s="100"/>
      <c r="Q90" s="99"/>
      <c r="R90" s="81">
        <f t="shared" si="16"/>
        <v>58</v>
      </c>
      <c r="S90" s="82">
        <f t="shared" si="17"/>
        <v>5</v>
      </c>
      <c r="T90" s="83">
        <f t="shared" si="18"/>
        <v>11</v>
      </c>
      <c r="U90" s="132">
        <f>R90*9.56</f>
        <v>554.48</v>
      </c>
      <c r="V90" s="133">
        <f>S90*9.56</f>
        <v>47.800000000000004</v>
      </c>
      <c r="W90" s="134">
        <f>T90*11.95</f>
        <v>131.44999999999999</v>
      </c>
      <c r="X90" s="5">
        <f t="shared" si="19"/>
        <v>733.73</v>
      </c>
    </row>
    <row r="91" spans="1:25" x14ac:dyDescent="0.25">
      <c r="A91" s="78">
        <v>11528</v>
      </c>
      <c r="B91" s="130" t="s">
        <v>135</v>
      </c>
      <c r="C91" s="81">
        <v>10</v>
      </c>
      <c r="D91" s="82">
        <v>4</v>
      </c>
      <c r="E91" s="83">
        <v>0</v>
      </c>
      <c r="F91" s="81">
        <v>35</v>
      </c>
      <c r="G91" s="82">
        <v>0</v>
      </c>
      <c r="H91" s="83">
        <v>5</v>
      </c>
      <c r="I91" s="81"/>
      <c r="J91" s="82"/>
      <c r="K91" s="83"/>
      <c r="L91" s="81"/>
      <c r="M91" s="82"/>
      <c r="N91" s="83"/>
      <c r="O91" s="98"/>
      <c r="P91" s="100"/>
      <c r="Q91" s="99"/>
      <c r="R91" s="98">
        <f t="shared" si="16"/>
        <v>45</v>
      </c>
      <c r="S91" s="82">
        <f t="shared" si="17"/>
        <v>4</v>
      </c>
      <c r="T91" s="83">
        <f t="shared" si="18"/>
        <v>5</v>
      </c>
      <c r="U91" s="132">
        <f t="shared" ref="U91:V96" si="22">R91*8.9</f>
        <v>400.5</v>
      </c>
      <c r="V91" s="133">
        <f t="shared" si="22"/>
        <v>35.6</v>
      </c>
      <c r="W91" s="134">
        <f t="shared" ref="W91:W96" si="23">T91*11.12</f>
        <v>55.599999999999994</v>
      </c>
      <c r="X91" s="5">
        <f t="shared" si="19"/>
        <v>491.70000000000005</v>
      </c>
    </row>
    <row r="92" spans="1:25" x14ac:dyDescent="0.25">
      <c r="A92" s="78">
        <v>11531</v>
      </c>
      <c r="B92" s="130" t="s">
        <v>138</v>
      </c>
      <c r="C92" s="81">
        <v>10</v>
      </c>
      <c r="D92" s="82">
        <v>4</v>
      </c>
      <c r="E92" s="83">
        <v>0</v>
      </c>
      <c r="F92" s="81">
        <v>35</v>
      </c>
      <c r="G92" s="82">
        <v>0</v>
      </c>
      <c r="H92" s="83">
        <v>5</v>
      </c>
      <c r="I92" s="81"/>
      <c r="J92" s="82"/>
      <c r="K92" s="83"/>
      <c r="L92" s="81"/>
      <c r="M92" s="82"/>
      <c r="N92" s="83"/>
      <c r="O92" s="98"/>
      <c r="P92" s="100"/>
      <c r="Q92" s="99"/>
      <c r="R92" s="98">
        <f t="shared" si="16"/>
        <v>45</v>
      </c>
      <c r="S92" s="82">
        <f t="shared" si="17"/>
        <v>4</v>
      </c>
      <c r="T92" s="83">
        <f t="shared" si="18"/>
        <v>5</v>
      </c>
      <c r="U92" s="132">
        <f t="shared" si="22"/>
        <v>400.5</v>
      </c>
      <c r="V92" s="133">
        <f t="shared" si="22"/>
        <v>35.6</v>
      </c>
      <c r="W92" s="134">
        <f t="shared" si="23"/>
        <v>55.599999999999994</v>
      </c>
      <c r="X92" s="5">
        <f t="shared" si="19"/>
        <v>491.70000000000005</v>
      </c>
      <c r="Y92" s="1" t="s">
        <v>137</v>
      </c>
    </row>
    <row r="93" spans="1:25" x14ac:dyDescent="0.25">
      <c r="A93" s="78">
        <v>11526</v>
      </c>
      <c r="B93" s="130" t="s">
        <v>123</v>
      </c>
      <c r="C93" s="81">
        <v>10</v>
      </c>
      <c r="D93" s="82">
        <v>4</v>
      </c>
      <c r="E93" s="83">
        <v>0</v>
      </c>
      <c r="F93" s="81">
        <v>35</v>
      </c>
      <c r="G93" s="82">
        <v>0</v>
      </c>
      <c r="H93" s="83">
        <v>5</v>
      </c>
      <c r="I93" s="81"/>
      <c r="J93" s="82"/>
      <c r="K93" s="83"/>
      <c r="L93" s="81"/>
      <c r="M93" s="82"/>
      <c r="N93" s="83"/>
      <c r="O93" s="98"/>
      <c r="P93" s="100"/>
      <c r="Q93" s="99"/>
      <c r="R93" s="98">
        <f t="shared" si="16"/>
        <v>45</v>
      </c>
      <c r="S93" s="82">
        <f t="shared" si="17"/>
        <v>4</v>
      </c>
      <c r="T93" s="83">
        <f t="shared" si="18"/>
        <v>5</v>
      </c>
      <c r="U93" s="132">
        <f t="shared" si="22"/>
        <v>400.5</v>
      </c>
      <c r="V93" s="133">
        <f t="shared" si="22"/>
        <v>35.6</v>
      </c>
      <c r="W93" s="134">
        <f t="shared" si="23"/>
        <v>55.599999999999994</v>
      </c>
      <c r="X93" s="5">
        <f t="shared" si="19"/>
        <v>491.70000000000005</v>
      </c>
      <c r="Y93" s="1" t="s">
        <v>136</v>
      </c>
    </row>
    <row r="94" spans="1:25" x14ac:dyDescent="0.25">
      <c r="A94" s="78">
        <v>11527</v>
      </c>
      <c r="B94" s="130" t="s">
        <v>124</v>
      </c>
      <c r="C94" s="128">
        <v>10</v>
      </c>
      <c r="D94" s="128">
        <v>4</v>
      </c>
      <c r="E94" s="128">
        <v>0</v>
      </c>
      <c r="F94" s="128">
        <v>35</v>
      </c>
      <c r="G94" s="128">
        <v>0</v>
      </c>
      <c r="H94" s="128">
        <v>0</v>
      </c>
      <c r="I94" s="128"/>
      <c r="J94" s="128"/>
      <c r="K94" s="128"/>
      <c r="L94" s="128"/>
      <c r="M94" s="128"/>
      <c r="N94" s="128"/>
      <c r="O94" s="129"/>
      <c r="P94" s="129"/>
      <c r="Q94" s="129"/>
      <c r="R94" s="98">
        <f t="shared" si="16"/>
        <v>45</v>
      </c>
      <c r="S94" s="82">
        <f t="shared" si="17"/>
        <v>4</v>
      </c>
      <c r="T94" s="83">
        <f t="shared" si="18"/>
        <v>0</v>
      </c>
      <c r="U94" s="132">
        <f t="shared" si="22"/>
        <v>400.5</v>
      </c>
      <c r="V94" s="133">
        <f t="shared" si="22"/>
        <v>35.6</v>
      </c>
      <c r="W94" s="134">
        <f t="shared" si="23"/>
        <v>0</v>
      </c>
      <c r="X94" s="5">
        <f t="shared" si="19"/>
        <v>436.1</v>
      </c>
      <c r="Y94" s="14" t="s">
        <v>146</v>
      </c>
    </row>
    <row r="95" spans="1:25" s="14" customFormat="1" x14ac:dyDescent="0.25">
      <c r="A95" s="94">
        <v>11521</v>
      </c>
      <c r="B95" s="103" t="s">
        <v>122</v>
      </c>
      <c r="C95" s="116"/>
      <c r="D95" s="118"/>
      <c r="E95" s="119"/>
      <c r="F95" s="116"/>
      <c r="G95" s="118"/>
      <c r="H95" s="119"/>
      <c r="I95" s="116"/>
      <c r="J95" s="118"/>
      <c r="K95" s="119"/>
      <c r="L95" s="117"/>
      <c r="M95" s="117"/>
      <c r="N95" s="117"/>
      <c r="O95" s="117"/>
      <c r="P95" s="117"/>
      <c r="Q95" s="117"/>
      <c r="R95" s="123">
        <f t="shared" si="16"/>
        <v>0</v>
      </c>
      <c r="S95" s="118">
        <f t="shared" si="17"/>
        <v>0</v>
      </c>
      <c r="T95" s="119">
        <f t="shared" si="18"/>
        <v>0</v>
      </c>
      <c r="U95" s="136">
        <f t="shared" si="22"/>
        <v>0</v>
      </c>
      <c r="V95" s="137">
        <f t="shared" si="22"/>
        <v>0</v>
      </c>
      <c r="W95" s="138">
        <f t="shared" si="23"/>
        <v>0</v>
      </c>
      <c r="X95" s="16">
        <f t="shared" si="19"/>
        <v>0</v>
      </c>
      <c r="Y95" s="14" t="s">
        <v>132</v>
      </c>
    </row>
    <row r="96" spans="1:25" x14ac:dyDescent="0.25">
      <c r="A96" s="78">
        <v>11407</v>
      </c>
      <c r="B96" s="130" t="s">
        <v>81</v>
      </c>
      <c r="C96" s="81">
        <v>10</v>
      </c>
      <c r="D96" s="82">
        <v>4</v>
      </c>
      <c r="E96" s="83">
        <v>0</v>
      </c>
      <c r="F96" s="81">
        <v>28</v>
      </c>
      <c r="G96" s="82">
        <v>0</v>
      </c>
      <c r="H96" s="83">
        <v>5</v>
      </c>
      <c r="I96" s="81"/>
      <c r="J96" s="82"/>
      <c r="K96" s="83"/>
      <c r="L96" s="81"/>
      <c r="M96" s="82"/>
      <c r="N96" s="83"/>
      <c r="O96" s="98"/>
      <c r="P96" s="87"/>
      <c r="Q96" s="88"/>
      <c r="R96" s="81">
        <f t="shared" si="16"/>
        <v>38</v>
      </c>
      <c r="S96" s="82">
        <f t="shared" si="17"/>
        <v>4</v>
      </c>
      <c r="T96" s="83">
        <f t="shared" si="18"/>
        <v>5</v>
      </c>
      <c r="U96" s="132">
        <f t="shared" si="22"/>
        <v>338.2</v>
      </c>
      <c r="V96" s="133">
        <f t="shared" si="22"/>
        <v>35.6</v>
      </c>
      <c r="W96" s="134">
        <f t="shared" si="23"/>
        <v>55.599999999999994</v>
      </c>
      <c r="X96" s="5">
        <f t="shared" si="19"/>
        <v>429.4</v>
      </c>
    </row>
    <row r="97" spans="1:25" x14ac:dyDescent="0.25">
      <c r="C97" s="4">
        <f t="shared" ref="C97:H97" si="24">SUM(C66:C96)</f>
        <v>232</v>
      </c>
      <c r="D97" s="4">
        <f t="shared" si="24"/>
        <v>137</v>
      </c>
      <c r="E97" s="4">
        <f t="shared" si="24"/>
        <v>25</v>
      </c>
      <c r="F97" s="4">
        <f t="shared" si="24"/>
        <v>786</v>
      </c>
      <c r="G97" s="4">
        <f t="shared" si="24"/>
        <v>15</v>
      </c>
      <c r="H97" s="4">
        <f t="shared" si="24"/>
        <v>108</v>
      </c>
      <c r="I97" s="4">
        <f t="shared" ref="I97:X97" si="25">SUM(I66:I96)</f>
        <v>0</v>
      </c>
      <c r="J97" s="4">
        <f t="shared" si="25"/>
        <v>0</v>
      </c>
      <c r="K97" s="4">
        <f t="shared" si="25"/>
        <v>0</v>
      </c>
      <c r="L97" s="4">
        <f t="shared" si="25"/>
        <v>0</v>
      </c>
      <c r="M97" s="4">
        <f t="shared" si="25"/>
        <v>0</v>
      </c>
      <c r="N97" s="4">
        <f t="shared" si="25"/>
        <v>0</v>
      </c>
      <c r="O97" s="4">
        <f t="shared" si="25"/>
        <v>0</v>
      </c>
      <c r="P97" s="4">
        <f t="shared" si="25"/>
        <v>0</v>
      </c>
      <c r="Q97" s="4">
        <f t="shared" si="25"/>
        <v>0</v>
      </c>
      <c r="R97" s="4">
        <f t="shared" si="25"/>
        <v>1018</v>
      </c>
      <c r="S97" s="4">
        <f t="shared" si="25"/>
        <v>152</v>
      </c>
      <c r="T97" s="4">
        <f t="shared" si="25"/>
        <v>133</v>
      </c>
      <c r="U97" s="5">
        <f t="shared" si="25"/>
        <v>9153.92</v>
      </c>
      <c r="V97" s="5">
        <f t="shared" si="25"/>
        <v>1362.6999999999996</v>
      </c>
      <c r="W97" s="5">
        <f t="shared" si="25"/>
        <v>1521.2899999999997</v>
      </c>
      <c r="X97" s="5">
        <f t="shared" si="25"/>
        <v>12037.91</v>
      </c>
    </row>
    <row r="100" spans="1:25" ht="18.75" x14ac:dyDescent="0.25">
      <c r="A100" s="203" t="s">
        <v>83</v>
      </c>
      <c r="B100" s="204"/>
      <c r="C100" s="197" t="s">
        <v>8</v>
      </c>
      <c r="D100" s="197"/>
      <c r="E100" s="197"/>
      <c r="F100" s="197" t="s">
        <v>8</v>
      </c>
      <c r="G100" s="197"/>
      <c r="H100" s="197"/>
      <c r="I100" s="197" t="s">
        <v>8</v>
      </c>
      <c r="J100" s="197"/>
      <c r="K100" s="197"/>
      <c r="L100" s="197" t="s">
        <v>8</v>
      </c>
      <c r="M100" s="197"/>
      <c r="N100" s="197"/>
      <c r="O100" s="198" t="s">
        <v>8</v>
      </c>
      <c r="P100" s="198"/>
      <c r="Q100" s="198"/>
      <c r="R100" s="197" t="s">
        <v>13</v>
      </c>
      <c r="S100" s="197"/>
      <c r="T100" s="197"/>
      <c r="U100" s="197" t="s">
        <v>12</v>
      </c>
      <c r="V100" s="197"/>
      <c r="W100" s="197"/>
      <c r="X100" s="197"/>
    </row>
    <row r="101" spans="1:25" ht="15" customHeight="1" x14ac:dyDescent="0.25">
      <c r="A101" s="78" t="s">
        <v>0</v>
      </c>
      <c r="B101" s="4" t="s">
        <v>1</v>
      </c>
      <c r="C101" s="202" t="s">
        <v>139</v>
      </c>
      <c r="D101" s="202"/>
      <c r="E101" s="202"/>
      <c r="F101" s="202" t="s">
        <v>140</v>
      </c>
      <c r="G101" s="202"/>
      <c r="H101" s="202"/>
      <c r="I101" s="197" t="s">
        <v>141</v>
      </c>
      <c r="J101" s="197"/>
      <c r="K101" s="197"/>
      <c r="L101" s="198" t="s">
        <v>142</v>
      </c>
      <c r="M101" s="198"/>
      <c r="N101" s="198"/>
      <c r="O101" s="198" t="s">
        <v>143</v>
      </c>
      <c r="P101" s="198"/>
      <c r="Q101" s="198"/>
      <c r="R101" s="3" t="s">
        <v>11</v>
      </c>
      <c r="S101" s="3" t="s">
        <v>10</v>
      </c>
      <c r="T101" s="3" t="s">
        <v>9</v>
      </c>
      <c r="U101" s="3" t="s">
        <v>11</v>
      </c>
      <c r="V101" s="3" t="s">
        <v>10</v>
      </c>
      <c r="W101" s="3" t="s">
        <v>9</v>
      </c>
      <c r="X101" s="4" t="s">
        <v>14</v>
      </c>
    </row>
    <row r="102" spans="1:25" x14ac:dyDescent="0.25">
      <c r="A102" s="78">
        <v>11515</v>
      </c>
      <c r="B102" s="130" t="s">
        <v>110</v>
      </c>
      <c r="C102" s="81">
        <v>10</v>
      </c>
      <c r="D102" s="82">
        <v>64</v>
      </c>
      <c r="E102" s="83">
        <v>0</v>
      </c>
      <c r="F102" s="81"/>
      <c r="G102" s="82"/>
      <c r="H102" s="83"/>
      <c r="I102" s="81"/>
      <c r="J102" s="82"/>
      <c r="K102" s="83"/>
      <c r="L102" s="81"/>
      <c r="M102" s="82"/>
      <c r="N102" s="83"/>
      <c r="O102" s="98"/>
      <c r="P102" s="100"/>
      <c r="Q102" s="99"/>
      <c r="R102" s="81">
        <f t="shared" ref="R102:T132" si="26">C102+F102+I102+L102+O102</f>
        <v>10</v>
      </c>
      <c r="S102" s="82">
        <f t="shared" si="26"/>
        <v>64</v>
      </c>
      <c r="T102" s="83">
        <f t="shared" si="26"/>
        <v>0</v>
      </c>
      <c r="U102" s="132">
        <f t="shared" ref="U102:V132" si="27">R102*8.9</f>
        <v>89</v>
      </c>
      <c r="V102" s="133">
        <f t="shared" si="27"/>
        <v>569.6</v>
      </c>
      <c r="W102" s="134">
        <f t="shared" ref="W102:W132" si="28">T102*11.12</f>
        <v>0</v>
      </c>
      <c r="X102" s="5">
        <f t="shared" ref="X102:X132" si="29">SUM(U102:W102)</f>
        <v>658.6</v>
      </c>
    </row>
    <row r="103" spans="1:25" x14ac:dyDescent="0.25">
      <c r="A103" s="78">
        <v>11430</v>
      </c>
      <c r="B103" s="7" t="s">
        <v>54</v>
      </c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8"/>
      <c r="Q103" s="108"/>
      <c r="R103" s="81">
        <f t="shared" si="26"/>
        <v>0</v>
      </c>
      <c r="S103" s="82">
        <f t="shared" si="26"/>
        <v>0</v>
      </c>
      <c r="T103" s="83">
        <f t="shared" si="26"/>
        <v>0</v>
      </c>
      <c r="U103" s="132">
        <f t="shared" si="27"/>
        <v>0</v>
      </c>
      <c r="V103" s="133">
        <f t="shared" si="27"/>
        <v>0</v>
      </c>
      <c r="W103" s="134">
        <f t="shared" si="28"/>
        <v>0</v>
      </c>
      <c r="X103" s="5">
        <f t="shared" si="29"/>
        <v>0</v>
      </c>
    </row>
    <row r="104" spans="1:25" x14ac:dyDescent="0.25">
      <c r="A104" s="78">
        <v>11431</v>
      </c>
      <c r="B104" s="7" t="s">
        <v>55</v>
      </c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8"/>
      <c r="Q104" s="108"/>
      <c r="R104" s="81">
        <f t="shared" si="26"/>
        <v>0</v>
      </c>
      <c r="S104" s="82">
        <f t="shared" si="26"/>
        <v>0</v>
      </c>
      <c r="T104" s="83">
        <f t="shared" si="26"/>
        <v>0</v>
      </c>
      <c r="U104" s="132">
        <f t="shared" si="27"/>
        <v>0</v>
      </c>
      <c r="V104" s="133">
        <f t="shared" si="27"/>
        <v>0</v>
      </c>
      <c r="W104" s="134">
        <f t="shared" si="28"/>
        <v>0</v>
      </c>
      <c r="X104" s="5">
        <f t="shared" si="29"/>
        <v>0</v>
      </c>
    </row>
    <row r="105" spans="1:25" x14ac:dyDescent="0.25">
      <c r="A105" s="78">
        <v>11448</v>
      </c>
      <c r="B105" s="7" t="s">
        <v>56</v>
      </c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8"/>
      <c r="Q105" s="108"/>
      <c r="R105" s="81">
        <f t="shared" si="26"/>
        <v>0</v>
      </c>
      <c r="S105" s="82">
        <f t="shared" si="26"/>
        <v>0</v>
      </c>
      <c r="T105" s="83">
        <f t="shared" si="26"/>
        <v>0</v>
      </c>
      <c r="U105" s="132">
        <f t="shared" si="27"/>
        <v>0</v>
      </c>
      <c r="V105" s="133">
        <f t="shared" si="27"/>
        <v>0</v>
      </c>
      <c r="W105" s="134">
        <f t="shared" si="28"/>
        <v>0</v>
      </c>
      <c r="X105" s="5">
        <f t="shared" si="29"/>
        <v>0</v>
      </c>
    </row>
    <row r="106" spans="1:25" s="14" customFormat="1" x14ac:dyDescent="0.25">
      <c r="A106" s="94">
        <v>11516</v>
      </c>
      <c r="B106" s="103" t="s">
        <v>105</v>
      </c>
      <c r="C106" s="116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6">
        <f t="shared" si="26"/>
        <v>0</v>
      </c>
      <c r="S106" s="118">
        <f t="shared" si="26"/>
        <v>0</v>
      </c>
      <c r="T106" s="119">
        <f t="shared" si="26"/>
        <v>0</v>
      </c>
      <c r="U106" s="136">
        <f t="shared" si="27"/>
        <v>0</v>
      </c>
      <c r="V106" s="137">
        <f t="shared" si="27"/>
        <v>0</v>
      </c>
      <c r="W106" s="138">
        <f t="shared" si="28"/>
        <v>0</v>
      </c>
      <c r="X106" s="16">
        <f t="shared" si="29"/>
        <v>0</v>
      </c>
    </row>
    <row r="107" spans="1:25" x14ac:dyDescent="0.25">
      <c r="A107" s="78">
        <v>11475</v>
      </c>
      <c r="B107" s="7" t="s">
        <v>57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9"/>
      <c r="P107" s="129"/>
      <c r="Q107" s="129"/>
      <c r="R107" s="81">
        <f t="shared" si="26"/>
        <v>0</v>
      </c>
      <c r="S107" s="82">
        <f t="shared" si="26"/>
        <v>0</v>
      </c>
      <c r="T107" s="83">
        <f t="shared" si="26"/>
        <v>0</v>
      </c>
      <c r="U107" s="132">
        <f t="shared" si="27"/>
        <v>0</v>
      </c>
      <c r="V107" s="133">
        <f t="shared" si="27"/>
        <v>0</v>
      </c>
      <c r="W107" s="134">
        <f t="shared" si="28"/>
        <v>0</v>
      </c>
      <c r="X107" s="5">
        <f t="shared" si="29"/>
        <v>0</v>
      </c>
      <c r="Y107" s="14" t="s">
        <v>147</v>
      </c>
    </row>
    <row r="108" spans="1:25" x14ac:dyDescent="0.25">
      <c r="A108" s="78">
        <v>11433</v>
      </c>
      <c r="B108" s="7" t="s">
        <v>58</v>
      </c>
      <c r="C108" s="81"/>
      <c r="D108" s="82"/>
      <c r="E108" s="83"/>
      <c r="F108" s="81"/>
      <c r="G108" s="82"/>
      <c r="H108" s="83"/>
      <c r="I108" s="81"/>
      <c r="J108" s="82"/>
      <c r="K108" s="83"/>
      <c r="L108" s="81"/>
      <c r="M108" s="82"/>
      <c r="N108" s="83"/>
      <c r="O108" s="98"/>
      <c r="P108" s="100"/>
      <c r="Q108" s="99"/>
      <c r="R108" s="81">
        <f t="shared" si="26"/>
        <v>0</v>
      </c>
      <c r="S108" s="82">
        <f t="shared" si="26"/>
        <v>0</v>
      </c>
      <c r="T108" s="83">
        <f t="shared" si="26"/>
        <v>0</v>
      </c>
      <c r="U108" s="132">
        <f t="shared" si="27"/>
        <v>0</v>
      </c>
      <c r="V108" s="133">
        <f t="shared" si="27"/>
        <v>0</v>
      </c>
      <c r="W108" s="134">
        <f t="shared" si="28"/>
        <v>0</v>
      </c>
      <c r="X108" s="5">
        <f t="shared" si="29"/>
        <v>0</v>
      </c>
    </row>
    <row r="109" spans="1:25" x14ac:dyDescent="0.25">
      <c r="A109" s="78">
        <v>11511</v>
      </c>
      <c r="B109" s="130" t="s">
        <v>104</v>
      </c>
      <c r="C109" s="81">
        <v>10</v>
      </c>
      <c r="D109" s="82">
        <v>61</v>
      </c>
      <c r="E109" s="83">
        <v>0</v>
      </c>
      <c r="F109" s="81"/>
      <c r="G109" s="82"/>
      <c r="H109" s="83"/>
      <c r="I109" s="81"/>
      <c r="J109" s="82"/>
      <c r="K109" s="83"/>
      <c r="L109" s="81"/>
      <c r="M109" s="82"/>
      <c r="N109" s="83"/>
      <c r="O109" s="98"/>
      <c r="P109" s="100"/>
      <c r="Q109" s="99"/>
      <c r="R109" s="81">
        <f t="shared" si="26"/>
        <v>10</v>
      </c>
      <c r="S109" s="82">
        <f t="shared" si="26"/>
        <v>61</v>
      </c>
      <c r="T109" s="83">
        <f t="shared" si="26"/>
        <v>0</v>
      </c>
      <c r="U109" s="132">
        <f t="shared" si="27"/>
        <v>89</v>
      </c>
      <c r="V109" s="133">
        <f t="shared" si="27"/>
        <v>542.9</v>
      </c>
      <c r="W109" s="134">
        <f t="shared" si="28"/>
        <v>0</v>
      </c>
      <c r="X109" s="5">
        <f t="shared" si="29"/>
        <v>631.9</v>
      </c>
    </row>
    <row r="110" spans="1:25" x14ac:dyDescent="0.25">
      <c r="A110" s="78">
        <v>11485</v>
      </c>
      <c r="B110" s="130" t="s">
        <v>60</v>
      </c>
      <c r="C110" s="81">
        <v>10</v>
      </c>
      <c r="D110" s="82">
        <v>4</v>
      </c>
      <c r="E110" s="83">
        <v>0</v>
      </c>
      <c r="F110" s="81"/>
      <c r="G110" s="82"/>
      <c r="H110" s="83"/>
      <c r="I110" s="81"/>
      <c r="J110" s="82"/>
      <c r="K110" s="83"/>
      <c r="L110" s="81"/>
      <c r="M110" s="82"/>
      <c r="N110" s="83"/>
      <c r="O110" s="98"/>
      <c r="P110" s="100"/>
      <c r="Q110" s="99"/>
      <c r="R110" s="81">
        <f t="shared" si="26"/>
        <v>10</v>
      </c>
      <c r="S110" s="82">
        <f t="shared" si="26"/>
        <v>4</v>
      </c>
      <c r="T110" s="83">
        <f t="shared" si="26"/>
        <v>0</v>
      </c>
      <c r="U110" s="132">
        <f t="shared" si="27"/>
        <v>89</v>
      </c>
      <c r="V110" s="133">
        <f t="shared" si="27"/>
        <v>35.6</v>
      </c>
      <c r="W110" s="134">
        <f t="shared" si="28"/>
        <v>0</v>
      </c>
      <c r="X110" s="5">
        <f t="shared" si="29"/>
        <v>124.6</v>
      </c>
    </row>
    <row r="111" spans="1:25" x14ac:dyDescent="0.25">
      <c r="A111" s="78">
        <v>11458</v>
      </c>
      <c r="B111" s="103" t="s">
        <v>61</v>
      </c>
      <c r="C111" s="117">
        <v>24</v>
      </c>
      <c r="D111" s="117">
        <v>4</v>
      </c>
      <c r="E111" s="117">
        <v>0</v>
      </c>
      <c r="F111" s="117"/>
      <c r="G111" s="107"/>
      <c r="H111" s="107"/>
      <c r="I111" s="107"/>
      <c r="J111" s="107"/>
      <c r="K111" s="107"/>
      <c r="L111" s="107"/>
      <c r="M111" s="107"/>
      <c r="N111" s="107"/>
      <c r="O111" s="109"/>
      <c r="P111" s="109"/>
      <c r="Q111" s="109"/>
      <c r="R111" s="81">
        <f t="shared" si="26"/>
        <v>24</v>
      </c>
      <c r="S111" s="82">
        <f t="shared" si="26"/>
        <v>4</v>
      </c>
      <c r="T111" s="83">
        <f t="shared" si="26"/>
        <v>0</v>
      </c>
      <c r="U111" s="132">
        <f t="shared" si="27"/>
        <v>213.60000000000002</v>
      </c>
      <c r="V111" s="133">
        <f t="shared" si="27"/>
        <v>35.6</v>
      </c>
      <c r="W111" s="134">
        <f t="shared" si="28"/>
        <v>0</v>
      </c>
      <c r="X111" s="5">
        <f t="shared" si="29"/>
        <v>249.20000000000002</v>
      </c>
      <c r="Y111" s="14" t="s">
        <v>148</v>
      </c>
    </row>
    <row r="112" spans="1:25" x14ac:dyDescent="0.25">
      <c r="A112" s="78">
        <v>11457</v>
      </c>
      <c r="B112" s="103" t="s">
        <v>62</v>
      </c>
      <c r="C112" s="117">
        <v>10</v>
      </c>
      <c r="D112" s="117">
        <v>4</v>
      </c>
      <c r="E112" s="117">
        <v>0</v>
      </c>
      <c r="F112" s="117"/>
      <c r="G112" s="107"/>
      <c r="H112" s="107"/>
      <c r="I112" s="107"/>
      <c r="J112" s="107"/>
      <c r="K112" s="107"/>
      <c r="L112" s="107"/>
      <c r="M112" s="107"/>
      <c r="N112" s="107"/>
      <c r="O112" s="109"/>
      <c r="P112" s="109"/>
      <c r="Q112" s="109"/>
      <c r="R112" s="81">
        <f t="shared" si="26"/>
        <v>10</v>
      </c>
      <c r="S112" s="82">
        <f t="shared" si="26"/>
        <v>4</v>
      </c>
      <c r="T112" s="83">
        <f t="shared" si="26"/>
        <v>0</v>
      </c>
      <c r="U112" s="132">
        <f t="shared" si="27"/>
        <v>89</v>
      </c>
      <c r="V112" s="133">
        <f t="shared" si="27"/>
        <v>35.6</v>
      </c>
      <c r="W112" s="134">
        <f t="shared" si="28"/>
        <v>0</v>
      </c>
      <c r="X112" s="5">
        <f t="shared" si="29"/>
        <v>124.6</v>
      </c>
      <c r="Y112" s="14" t="s">
        <v>148</v>
      </c>
    </row>
    <row r="113" spans="1:24" x14ac:dyDescent="0.25">
      <c r="A113" s="78">
        <v>11509</v>
      </c>
      <c r="B113" s="130" t="s">
        <v>103</v>
      </c>
      <c r="C113" s="81">
        <v>10</v>
      </c>
      <c r="D113" s="82">
        <v>4</v>
      </c>
      <c r="E113" s="83">
        <v>0</v>
      </c>
      <c r="F113" s="81"/>
      <c r="G113" s="82"/>
      <c r="H113" s="83"/>
      <c r="I113" s="81"/>
      <c r="J113" s="82"/>
      <c r="K113" s="83"/>
      <c r="L113" s="81"/>
      <c r="M113" s="82"/>
      <c r="N113" s="83"/>
      <c r="O113" s="98"/>
      <c r="P113" s="100"/>
      <c r="Q113" s="99"/>
      <c r="R113" s="81">
        <f t="shared" si="26"/>
        <v>10</v>
      </c>
      <c r="S113" s="82">
        <f t="shared" si="26"/>
        <v>4</v>
      </c>
      <c r="T113" s="83">
        <f t="shared" si="26"/>
        <v>0</v>
      </c>
      <c r="U113" s="132">
        <f t="shared" si="27"/>
        <v>89</v>
      </c>
      <c r="V113" s="133">
        <f t="shared" si="27"/>
        <v>35.6</v>
      </c>
      <c r="W113" s="134">
        <f t="shared" si="28"/>
        <v>0</v>
      </c>
      <c r="X113" s="5">
        <f t="shared" si="29"/>
        <v>124.6</v>
      </c>
    </row>
    <row r="114" spans="1:24" x14ac:dyDescent="0.25">
      <c r="A114" s="78">
        <v>11518</v>
      </c>
      <c r="B114" s="130" t="s">
        <v>107</v>
      </c>
      <c r="C114" s="81">
        <v>10</v>
      </c>
      <c r="D114" s="82">
        <v>64</v>
      </c>
      <c r="E114" s="83">
        <v>0</v>
      </c>
      <c r="F114" s="81"/>
      <c r="G114" s="82"/>
      <c r="H114" s="83"/>
      <c r="I114" s="81"/>
      <c r="J114" s="82"/>
      <c r="K114" s="83"/>
      <c r="L114" s="81"/>
      <c r="M114" s="82"/>
      <c r="N114" s="83"/>
      <c r="O114" s="98"/>
      <c r="P114" s="100"/>
      <c r="Q114" s="99"/>
      <c r="R114" s="81">
        <f t="shared" si="26"/>
        <v>10</v>
      </c>
      <c r="S114" s="82">
        <f t="shared" si="26"/>
        <v>64</v>
      </c>
      <c r="T114" s="83">
        <f t="shared" si="26"/>
        <v>0</v>
      </c>
      <c r="U114" s="132">
        <f t="shared" si="27"/>
        <v>89</v>
      </c>
      <c r="V114" s="133">
        <f t="shared" si="27"/>
        <v>569.6</v>
      </c>
      <c r="W114" s="134">
        <f t="shared" si="28"/>
        <v>0</v>
      </c>
      <c r="X114" s="5">
        <f t="shared" si="29"/>
        <v>658.6</v>
      </c>
    </row>
    <row r="115" spans="1:24" x14ac:dyDescent="0.25">
      <c r="A115" s="78">
        <v>11421</v>
      </c>
      <c r="B115" s="7" t="s">
        <v>63</v>
      </c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8"/>
      <c r="Q115" s="108"/>
      <c r="R115" s="81">
        <f t="shared" si="26"/>
        <v>0</v>
      </c>
      <c r="S115" s="82">
        <f t="shared" si="26"/>
        <v>0</v>
      </c>
      <c r="T115" s="83">
        <f t="shared" si="26"/>
        <v>0</v>
      </c>
      <c r="U115" s="132">
        <f t="shared" si="27"/>
        <v>0</v>
      </c>
      <c r="V115" s="133">
        <f t="shared" si="27"/>
        <v>0</v>
      </c>
      <c r="W115" s="134">
        <f t="shared" si="28"/>
        <v>0</v>
      </c>
      <c r="X115" s="5">
        <f t="shared" si="29"/>
        <v>0</v>
      </c>
    </row>
    <row r="116" spans="1:24" x14ac:dyDescent="0.25">
      <c r="A116" s="78">
        <v>11484</v>
      </c>
      <c r="B116" s="130" t="s">
        <v>64</v>
      </c>
      <c r="C116" s="81">
        <v>10</v>
      </c>
      <c r="D116" s="82">
        <v>4</v>
      </c>
      <c r="E116" s="83">
        <v>0</v>
      </c>
      <c r="F116" s="81"/>
      <c r="G116" s="82"/>
      <c r="H116" s="83"/>
      <c r="I116" s="81"/>
      <c r="J116" s="82"/>
      <c r="K116" s="83"/>
      <c r="L116" s="81"/>
      <c r="M116" s="82"/>
      <c r="N116" s="83"/>
      <c r="O116" s="98"/>
      <c r="P116" s="100"/>
      <c r="Q116" s="99"/>
      <c r="R116" s="81">
        <f t="shared" si="26"/>
        <v>10</v>
      </c>
      <c r="S116" s="82">
        <f t="shared" si="26"/>
        <v>4</v>
      </c>
      <c r="T116" s="83">
        <f t="shared" si="26"/>
        <v>0</v>
      </c>
      <c r="U116" s="132">
        <f t="shared" si="27"/>
        <v>89</v>
      </c>
      <c r="V116" s="133">
        <f t="shared" si="27"/>
        <v>35.6</v>
      </c>
      <c r="W116" s="134">
        <f t="shared" si="28"/>
        <v>0</v>
      </c>
      <c r="X116" s="5">
        <f t="shared" si="29"/>
        <v>124.6</v>
      </c>
    </row>
    <row r="117" spans="1:24" x14ac:dyDescent="0.25">
      <c r="A117" s="78">
        <v>11510</v>
      </c>
      <c r="B117" s="130" t="s">
        <v>102</v>
      </c>
      <c r="C117" s="81">
        <v>10</v>
      </c>
      <c r="D117" s="82">
        <v>4</v>
      </c>
      <c r="E117" s="83">
        <v>0</v>
      </c>
      <c r="F117" s="81"/>
      <c r="G117" s="82"/>
      <c r="H117" s="83"/>
      <c r="I117" s="81"/>
      <c r="J117" s="82"/>
      <c r="K117" s="83"/>
      <c r="L117" s="81"/>
      <c r="M117" s="82"/>
      <c r="N117" s="83"/>
      <c r="O117" s="98"/>
      <c r="P117" s="100"/>
      <c r="Q117" s="99"/>
      <c r="R117" s="81">
        <f t="shared" si="26"/>
        <v>10</v>
      </c>
      <c r="S117" s="82">
        <f t="shared" si="26"/>
        <v>4</v>
      </c>
      <c r="T117" s="83">
        <f t="shared" si="26"/>
        <v>0</v>
      </c>
      <c r="U117" s="132">
        <f t="shared" si="27"/>
        <v>89</v>
      </c>
      <c r="V117" s="133">
        <f t="shared" si="27"/>
        <v>35.6</v>
      </c>
      <c r="W117" s="134">
        <f t="shared" si="28"/>
        <v>0</v>
      </c>
      <c r="X117" s="5">
        <f t="shared" si="29"/>
        <v>124.6</v>
      </c>
    </row>
    <row r="118" spans="1:24" x14ac:dyDescent="0.25">
      <c r="A118" s="78">
        <v>11507</v>
      </c>
      <c r="B118" s="130" t="s">
        <v>98</v>
      </c>
      <c r="C118" s="81">
        <v>10</v>
      </c>
      <c r="D118" s="82">
        <v>4</v>
      </c>
      <c r="E118" s="83">
        <v>0</v>
      </c>
      <c r="F118" s="81"/>
      <c r="G118" s="82"/>
      <c r="H118" s="83"/>
      <c r="I118" s="81"/>
      <c r="J118" s="82"/>
      <c r="K118" s="83"/>
      <c r="L118" s="81"/>
      <c r="M118" s="82"/>
      <c r="N118" s="83"/>
      <c r="O118" s="98"/>
      <c r="P118" s="100"/>
      <c r="Q118" s="99"/>
      <c r="R118" s="81">
        <f t="shared" si="26"/>
        <v>10</v>
      </c>
      <c r="S118" s="82">
        <f t="shared" si="26"/>
        <v>4</v>
      </c>
      <c r="T118" s="83">
        <f t="shared" si="26"/>
        <v>0</v>
      </c>
      <c r="U118" s="132">
        <f t="shared" si="27"/>
        <v>89</v>
      </c>
      <c r="V118" s="133">
        <f t="shared" si="27"/>
        <v>35.6</v>
      </c>
      <c r="W118" s="134">
        <f t="shared" si="28"/>
        <v>0</v>
      </c>
      <c r="X118" s="5">
        <f t="shared" si="29"/>
        <v>124.6</v>
      </c>
    </row>
    <row r="119" spans="1:24" x14ac:dyDescent="0.25">
      <c r="A119" s="78">
        <v>11445</v>
      </c>
      <c r="B119" s="7" t="s">
        <v>68</v>
      </c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8"/>
      <c r="Q119" s="108"/>
      <c r="R119" s="81">
        <f t="shared" si="26"/>
        <v>0</v>
      </c>
      <c r="S119" s="82">
        <f t="shared" si="26"/>
        <v>0</v>
      </c>
      <c r="T119" s="83">
        <f t="shared" si="26"/>
        <v>0</v>
      </c>
      <c r="U119" s="132">
        <f t="shared" si="27"/>
        <v>0</v>
      </c>
      <c r="V119" s="133">
        <f t="shared" si="27"/>
        <v>0</v>
      </c>
      <c r="W119" s="134">
        <f t="shared" si="28"/>
        <v>0</v>
      </c>
      <c r="X119" s="5">
        <f t="shared" si="29"/>
        <v>0</v>
      </c>
    </row>
    <row r="120" spans="1:24" x14ac:dyDescent="0.25">
      <c r="A120" s="78">
        <v>11432</v>
      </c>
      <c r="B120" s="7" t="s">
        <v>69</v>
      </c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8"/>
      <c r="Q120" s="108"/>
      <c r="R120" s="81">
        <f t="shared" si="26"/>
        <v>0</v>
      </c>
      <c r="S120" s="82">
        <f t="shared" si="26"/>
        <v>0</v>
      </c>
      <c r="T120" s="83">
        <f t="shared" si="26"/>
        <v>0</v>
      </c>
      <c r="U120" s="132">
        <f t="shared" si="27"/>
        <v>0</v>
      </c>
      <c r="V120" s="133">
        <f t="shared" si="27"/>
        <v>0</v>
      </c>
      <c r="W120" s="134">
        <f t="shared" si="28"/>
        <v>0</v>
      </c>
      <c r="X120" s="5">
        <f t="shared" si="29"/>
        <v>0</v>
      </c>
    </row>
    <row r="121" spans="1:24" x14ac:dyDescent="0.25">
      <c r="A121" s="78">
        <v>11422</v>
      </c>
      <c r="B121" s="7" t="s">
        <v>70</v>
      </c>
      <c r="C121" s="81"/>
      <c r="D121" s="82"/>
      <c r="E121" s="83"/>
      <c r="F121" s="81"/>
      <c r="G121" s="82"/>
      <c r="H121" s="83"/>
      <c r="I121" s="81"/>
      <c r="J121" s="82"/>
      <c r="K121" s="83"/>
      <c r="L121" s="81"/>
      <c r="M121" s="82"/>
      <c r="N121" s="83"/>
      <c r="O121" s="81"/>
      <c r="P121" s="87"/>
      <c r="Q121" s="88"/>
      <c r="R121" s="81">
        <f t="shared" si="26"/>
        <v>0</v>
      </c>
      <c r="S121" s="82">
        <f t="shared" si="26"/>
        <v>0</v>
      </c>
      <c r="T121" s="83">
        <f t="shared" si="26"/>
        <v>0</v>
      </c>
      <c r="U121" s="132">
        <f t="shared" si="27"/>
        <v>0</v>
      </c>
      <c r="V121" s="133">
        <f t="shared" si="27"/>
        <v>0</v>
      </c>
      <c r="W121" s="134">
        <f t="shared" si="28"/>
        <v>0</v>
      </c>
      <c r="X121" s="5">
        <f t="shared" si="29"/>
        <v>0</v>
      </c>
    </row>
    <row r="122" spans="1:24" s="14" customFormat="1" x14ac:dyDescent="0.25">
      <c r="A122" s="120">
        <v>11522</v>
      </c>
      <c r="B122" s="122" t="s">
        <v>121</v>
      </c>
      <c r="C122" s="116"/>
      <c r="D122" s="118"/>
      <c r="E122" s="119"/>
      <c r="F122" s="116"/>
      <c r="G122" s="118"/>
      <c r="H122" s="119"/>
      <c r="I122" s="116"/>
      <c r="J122" s="118"/>
      <c r="K122" s="119"/>
      <c r="L122" s="117"/>
      <c r="M122" s="117"/>
      <c r="N122" s="117"/>
      <c r="O122" s="117"/>
      <c r="P122" s="117"/>
      <c r="Q122" s="117"/>
      <c r="R122" s="116">
        <f t="shared" si="26"/>
        <v>0</v>
      </c>
      <c r="S122" s="118">
        <f t="shared" si="26"/>
        <v>0</v>
      </c>
      <c r="T122" s="119">
        <f t="shared" si="26"/>
        <v>0</v>
      </c>
      <c r="U122" s="136">
        <f t="shared" si="27"/>
        <v>0</v>
      </c>
      <c r="V122" s="137">
        <f t="shared" si="27"/>
        <v>0</v>
      </c>
      <c r="W122" s="138">
        <f t="shared" si="28"/>
        <v>0</v>
      </c>
      <c r="X122" s="16">
        <f t="shared" si="29"/>
        <v>0</v>
      </c>
    </row>
    <row r="123" spans="1:24" x14ac:dyDescent="0.25">
      <c r="A123" s="78">
        <v>11506</v>
      </c>
      <c r="B123" s="130" t="s">
        <v>101</v>
      </c>
      <c r="C123" s="81">
        <v>10</v>
      </c>
      <c r="D123" s="82">
        <v>4</v>
      </c>
      <c r="E123" s="83">
        <v>0</v>
      </c>
      <c r="F123" s="81"/>
      <c r="G123" s="82"/>
      <c r="H123" s="83"/>
      <c r="I123" s="81"/>
      <c r="J123" s="82"/>
      <c r="K123" s="83"/>
      <c r="L123" s="81"/>
      <c r="M123" s="82"/>
      <c r="N123" s="83"/>
      <c r="O123" s="98"/>
      <c r="P123" s="100"/>
      <c r="Q123" s="99"/>
      <c r="R123" s="81">
        <f t="shared" si="26"/>
        <v>10</v>
      </c>
      <c r="S123" s="82">
        <f t="shared" si="26"/>
        <v>4</v>
      </c>
      <c r="T123" s="83">
        <f t="shared" si="26"/>
        <v>0</v>
      </c>
      <c r="U123" s="132">
        <f t="shared" si="27"/>
        <v>89</v>
      </c>
      <c r="V123" s="133">
        <f t="shared" si="27"/>
        <v>35.6</v>
      </c>
      <c r="W123" s="134">
        <f t="shared" si="28"/>
        <v>0</v>
      </c>
      <c r="X123" s="5">
        <f t="shared" si="29"/>
        <v>124.6</v>
      </c>
    </row>
    <row r="124" spans="1:24" x14ac:dyDescent="0.25">
      <c r="A124" s="78">
        <v>11478</v>
      </c>
      <c r="B124" s="7" t="s">
        <v>71</v>
      </c>
      <c r="C124" s="81"/>
      <c r="D124" s="82"/>
      <c r="E124" s="83"/>
      <c r="F124" s="81"/>
      <c r="G124" s="82"/>
      <c r="H124" s="83"/>
      <c r="I124" s="81"/>
      <c r="J124" s="82"/>
      <c r="K124" s="83"/>
      <c r="L124" s="81"/>
      <c r="M124" s="82"/>
      <c r="N124" s="83"/>
      <c r="O124" s="98"/>
      <c r="P124" s="100"/>
      <c r="Q124" s="99"/>
      <c r="R124" s="81">
        <f t="shared" si="26"/>
        <v>0</v>
      </c>
      <c r="S124" s="82">
        <f t="shared" si="26"/>
        <v>0</v>
      </c>
      <c r="T124" s="83">
        <f t="shared" si="26"/>
        <v>0</v>
      </c>
      <c r="U124" s="132">
        <f t="shared" si="27"/>
        <v>0</v>
      </c>
      <c r="V124" s="133">
        <f t="shared" si="27"/>
        <v>0</v>
      </c>
      <c r="W124" s="134">
        <f t="shared" si="28"/>
        <v>0</v>
      </c>
      <c r="X124" s="5">
        <f t="shared" si="29"/>
        <v>0</v>
      </c>
    </row>
    <row r="125" spans="1:24" x14ac:dyDescent="0.25">
      <c r="A125" s="78">
        <v>11477</v>
      </c>
      <c r="B125" s="130" t="s">
        <v>72</v>
      </c>
      <c r="C125" s="81">
        <v>10</v>
      </c>
      <c r="D125" s="82">
        <v>4</v>
      </c>
      <c r="E125" s="83">
        <v>0</v>
      </c>
      <c r="F125" s="81"/>
      <c r="G125" s="82"/>
      <c r="H125" s="83"/>
      <c r="I125" s="81"/>
      <c r="J125" s="82"/>
      <c r="K125" s="83"/>
      <c r="L125" s="81"/>
      <c r="M125" s="82"/>
      <c r="N125" s="83"/>
      <c r="O125" s="98"/>
      <c r="P125" s="100"/>
      <c r="Q125" s="99"/>
      <c r="R125" s="81">
        <f t="shared" si="26"/>
        <v>10</v>
      </c>
      <c r="S125" s="82">
        <f t="shared" si="26"/>
        <v>4</v>
      </c>
      <c r="T125" s="83">
        <f t="shared" si="26"/>
        <v>0</v>
      </c>
      <c r="U125" s="132">
        <f t="shared" si="27"/>
        <v>89</v>
      </c>
      <c r="V125" s="133">
        <f t="shared" si="27"/>
        <v>35.6</v>
      </c>
      <c r="W125" s="134">
        <f t="shared" si="28"/>
        <v>0</v>
      </c>
      <c r="X125" s="5">
        <f t="shared" si="29"/>
        <v>124.6</v>
      </c>
    </row>
    <row r="126" spans="1:24" x14ac:dyDescent="0.25">
      <c r="A126" s="78">
        <v>11520</v>
      </c>
      <c r="B126" s="130" t="s">
        <v>120</v>
      </c>
      <c r="C126" s="81">
        <v>10</v>
      </c>
      <c r="D126" s="82">
        <v>4</v>
      </c>
      <c r="E126" s="83">
        <v>0</v>
      </c>
      <c r="F126" s="81"/>
      <c r="G126" s="82"/>
      <c r="H126" s="83"/>
      <c r="I126" s="81"/>
      <c r="J126" s="82"/>
      <c r="K126" s="83"/>
      <c r="L126" s="81"/>
      <c r="M126" s="82"/>
      <c r="N126" s="83"/>
      <c r="O126" s="98"/>
      <c r="P126" s="100"/>
      <c r="Q126" s="99"/>
      <c r="R126" s="81">
        <f t="shared" si="26"/>
        <v>10</v>
      </c>
      <c r="S126" s="82">
        <f t="shared" si="26"/>
        <v>4</v>
      </c>
      <c r="T126" s="83">
        <f t="shared" si="26"/>
        <v>0</v>
      </c>
      <c r="U126" s="132">
        <f t="shared" si="27"/>
        <v>89</v>
      </c>
      <c r="V126" s="133">
        <f t="shared" si="27"/>
        <v>35.6</v>
      </c>
      <c r="W126" s="134">
        <f t="shared" si="28"/>
        <v>0</v>
      </c>
      <c r="X126" s="5">
        <f t="shared" si="29"/>
        <v>124.6</v>
      </c>
    </row>
    <row r="127" spans="1:24" s="14" customFormat="1" x14ac:dyDescent="0.25">
      <c r="A127" s="120"/>
      <c r="B127" s="121" t="s">
        <v>119</v>
      </c>
      <c r="C127" s="116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6">
        <f t="shared" si="26"/>
        <v>0</v>
      </c>
      <c r="S127" s="118">
        <f t="shared" si="26"/>
        <v>0</v>
      </c>
      <c r="T127" s="119">
        <f t="shared" si="26"/>
        <v>0</v>
      </c>
      <c r="U127" s="136">
        <f t="shared" si="27"/>
        <v>0</v>
      </c>
      <c r="V127" s="137">
        <f t="shared" si="27"/>
        <v>0</v>
      </c>
      <c r="W127" s="138">
        <f t="shared" si="28"/>
        <v>0</v>
      </c>
      <c r="X127" s="16">
        <f t="shared" si="29"/>
        <v>0</v>
      </c>
    </row>
    <row r="128" spans="1:24" x14ac:dyDescent="0.25">
      <c r="A128" s="78">
        <v>11456</v>
      </c>
      <c r="B128" s="7" t="s">
        <v>73</v>
      </c>
      <c r="C128" s="107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8"/>
      <c r="Q128" s="108"/>
      <c r="R128" s="81">
        <f t="shared" si="26"/>
        <v>0</v>
      </c>
      <c r="S128" s="82">
        <f t="shared" si="26"/>
        <v>0</v>
      </c>
      <c r="T128" s="83">
        <f t="shared" si="26"/>
        <v>0</v>
      </c>
      <c r="U128" s="132">
        <f t="shared" si="27"/>
        <v>0</v>
      </c>
      <c r="V128" s="133">
        <f t="shared" si="27"/>
        <v>0</v>
      </c>
      <c r="W128" s="134">
        <f t="shared" si="28"/>
        <v>0</v>
      </c>
      <c r="X128" s="5">
        <f t="shared" si="29"/>
        <v>0</v>
      </c>
    </row>
    <row r="129" spans="1:24" x14ac:dyDescent="0.25">
      <c r="A129" s="78">
        <v>11444</v>
      </c>
      <c r="B129" s="7" t="s">
        <v>76</v>
      </c>
      <c r="C129" s="107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8"/>
      <c r="Q129" s="108"/>
      <c r="R129" s="81">
        <f t="shared" si="26"/>
        <v>0</v>
      </c>
      <c r="S129" s="82">
        <f t="shared" si="26"/>
        <v>0</v>
      </c>
      <c r="T129" s="83">
        <f t="shared" si="26"/>
        <v>0</v>
      </c>
      <c r="U129" s="132">
        <f t="shared" si="27"/>
        <v>0</v>
      </c>
      <c r="V129" s="133">
        <f t="shared" si="27"/>
        <v>0</v>
      </c>
      <c r="W129" s="134">
        <f t="shared" si="28"/>
        <v>0</v>
      </c>
      <c r="X129" s="5">
        <f t="shared" si="29"/>
        <v>0</v>
      </c>
    </row>
    <row r="130" spans="1:24" x14ac:dyDescent="0.25">
      <c r="A130" s="78">
        <v>11434</v>
      </c>
      <c r="B130" s="7" t="s">
        <v>77</v>
      </c>
      <c r="C130" s="107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8"/>
      <c r="Q130" s="108"/>
      <c r="R130" s="81">
        <f t="shared" si="26"/>
        <v>0</v>
      </c>
      <c r="S130" s="82">
        <f t="shared" si="26"/>
        <v>0</v>
      </c>
      <c r="T130" s="83">
        <f t="shared" si="26"/>
        <v>0</v>
      </c>
      <c r="U130" s="132">
        <f t="shared" si="27"/>
        <v>0</v>
      </c>
      <c r="V130" s="133">
        <f t="shared" si="27"/>
        <v>0</v>
      </c>
      <c r="W130" s="134">
        <f t="shared" si="28"/>
        <v>0</v>
      </c>
      <c r="X130" s="5">
        <f t="shared" si="29"/>
        <v>0</v>
      </c>
    </row>
    <row r="131" spans="1:24" x14ac:dyDescent="0.25">
      <c r="A131" s="78">
        <v>11455</v>
      </c>
      <c r="B131" s="7" t="s">
        <v>78</v>
      </c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8"/>
      <c r="Q131" s="108"/>
      <c r="R131" s="81">
        <f t="shared" si="26"/>
        <v>0</v>
      </c>
      <c r="S131" s="82">
        <f t="shared" si="26"/>
        <v>0</v>
      </c>
      <c r="T131" s="83">
        <f t="shared" si="26"/>
        <v>0</v>
      </c>
      <c r="U131" s="132">
        <f t="shared" si="27"/>
        <v>0</v>
      </c>
      <c r="V131" s="133">
        <f t="shared" si="27"/>
        <v>0</v>
      </c>
      <c r="W131" s="134">
        <f t="shared" si="28"/>
        <v>0</v>
      </c>
      <c r="X131" s="5">
        <f t="shared" si="29"/>
        <v>0</v>
      </c>
    </row>
    <row r="132" spans="1:24" x14ac:dyDescent="0.25">
      <c r="A132" s="78">
        <v>11463</v>
      </c>
      <c r="B132" s="7" t="s">
        <v>80</v>
      </c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8"/>
      <c r="Q132" s="108"/>
      <c r="R132" s="81">
        <f t="shared" si="26"/>
        <v>0</v>
      </c>
      <c r="S132" s="82">
        <f t="shared" si="26"/>
        <v>0</v>
      </c>
      <c r="T132" s="83">
        <f t="shared" si="26"/>
        <v>0</v>
      </c>
      <c r="U132" s="132">
        <f t="shared" si="27"/>
        <v>0</v>
      </c>
      <c r="V132" s="133">
        <f t="shared" si="27"/>
        <v>0</v>
      </c>
      <c r="W132" s="134">
        <f t="shared" si="28"/>
        <v>0</v>
      </c>
      <c r="X132" s="5">
        <f t="shared" si="29"/>
        <v>0</v>
      </c>
    </row>
    <row r="133" spans="1:24" x14ac:dyDescent="0.25">
      <c r="A133" s="78"/>
      <c r="B133" s="4"/>
      <c r="C133" s="4">
        <f t="shared" ref="C133:X133" si="30">SUM(C102:C132)</f>
        <v>144</v>
      </c>
      <c r="D133" s="4">
        <f t="shared" si="30"/>
        <v>229</v>
      </c>
      <c r="E133" s="4">
        <f t="shared" si="30"/>
        <v>0</v>
      </c>
      <c r="F133" s="4">
        <f t="shared" si="30"/>
        <v>0</v>
      </c>
      <c r="G133" s="4">
        <f t="shared" si="30"/>
        <v>0</v>
      </c>
      <c r="H133" s="4">
        <f t="shared" si="30"/>
        <v>0</v>
      </c>
      <c r="I133" s="4">
        <f t="shared" si="30"/>
        <v>0</v>
      </c>
      <c r="J133" s="4">
        <f t="shared" si="30"/>
        <v>0</v>
      </c>
      <c r="K133" s="4">
        <f t="shared" si="30"/>
        <v>0</v>
      </c>
      <c r="L133" s="4">
        <f t="shared" si="30"/>
        <v>0</v>
      </c>
      <c r="M133" s="4">
        <f t="shared" si="30"/>
        <v>0</v>
      </c>
      <c r="N133" s="4">
        <f t="shared" si="30"/>
        <v>0</v>
      </c>
      <c r="O133" s="4">
        <f t="shared" si="30"/>
        <v>0</v>
      </c>
      <c r="P133" s="4">
        <f t="shared" si="30"/>
        <v>0</v>
      </c>
      <c r="Q133" s="4">
        <f t="shared" si="30"/>
        <v>0</v>
      </c>
      <c r="R133" s="4">
        <f t="shared" si="30"/>
        <v>144</v>
      </c>
      <c r="S133" s="4">
        <f t="shared" si="30"/>
        <v>229</v>
      </c>
      <c r="T133" s="4">
        <f t="shared" si="30"/>
        <v>0</v>
      </c>
      <c r="U133" s="4">
        <f t="shared" si="30"/>
        <v>1281.5999999999999</v>
      </c>
      <c r="V133" s="4">
        <f t="shared" si="30"/>
        <v>2038.099999999999</v>
      </c>
      <c r="W133" s="4">
        <f t="shared" si="30"/>
        <v>0</v>
      </c>
      <c r="X133" s="4">
        <f t="shared" si="30"/>
        <v>3319.6999999999994</v>
      </c>
    </row>
    <row r="135" spans="1:24" x14ac:dyDescent="0.25">
      <c r="R135" s="91">
        <f t="shared" ref="R135:X135" si="31">+R22+R61+R97+R133</f>
        <v>1561.5</v>
      </c>
      <c r="S135" s="91">
        <f t="shared" si="31"/>
        <v>387.5</v>
      </c>
      <c r="T135" s="91">
        <f t="shared" si="31"/>
        <v>145</v>
      </c>
      <c r="U135" s="92">
        <f t="shared" si="31"/>
        <v>14017.470000000001</v>
      </c>
      <c r="V135" s="92">
        <f t="shared" si="31"/>
        <v>3462.9399999999987</v>
      </c>
      <c r="W135" s="92">
        <f t="shared" si="31"/>
        <v>1659.7099999999998</v>
      </c>
      <c r="X135" s="92">
        <f t="shared" si="31"/>
        <v>19140.12</v>
      </c>
    </row>
    <row r="136" spans="1:24" x14ac:dyDescent="0.25">
      <c r="R136" s="93"/>
      <c r="S136" s="93"/>
      <c r="T136" s="93"/>
      <c r="U136" s="93"/>
      <c r="V136" s="93"/>
      <c r="W136" s="93"/>
      <c r="X136" s="93"/>
    </row>
    <row r="137" spans="1:24" x14ac:dyDescent="0.25">
      <c r="A137" s="1">
        <f>COUNT(A66:A87,A102:A123)</f>
        <v>44</v>
      </c>
      <c r="R137" s="114">
        <f>+R135/SUM($R$135:$T$135)</f>
        <v>0.74570200573065903</v>
      </c>
      <c r="S137" s="114">
        <f t="shared" ref="S137:T137" si="32">+S135/SUM($R$135:$T$135)</f>
        <v>0.18505253104106972</v>
      </c>
      <c r="T137" s="114">
        <f t="shared" si="32"/>
        <v>6.9245463228271256E-2</v>
      </c>
    </row>
    <row r="138" spans="1:24" x14ac:dyDescent="0.25">
      <c r="C138" s="230" t="s">
        <v>205</v>
      </c>
      <c r="D138" s="230" t="s">
        <v>206</v>
      </c>
      <c r="E138" s="230" t="s">
        <v>207</v>
      </c>
      <c r="F138" s="230" t="s">
        <v>208</v>
      </c>
      <c r="G138" s="230" t="s">
        <v>209</v>
      </c>
      <c r="R138" s="90"/>
      <c r="V138" s="90"/>
      <c r="W138" s="90"/>
    </row>
    <row r="139" spans="1:24" x14ac:dyDescent="0.25">
      <c r="B139" s="179" t="s">
        <v>200</v>
      </c>
      <c r="C139" s="185">
        <f>SUM(C22:E22)</f>
        <v>0</v>
      </c>
      <c r="D139" s="185">
        <f>SUM(F22:H22)</f>
        <v>418</v>
      </c>
      <c r="E139" s="185">
        <f>SUM(I22:K22)</f>
        <v>0</v>
      </c>
      <c r="F139" s="185">
        <f>SUM(L22:N22)</f>
        <v>0</v>
      </c>
      <c r="G139" s="185">
        <f>SUM(O22:Q22)</f>
        <v>0</v>
      </c>
      <c r="H139" s="192">
        <f>SUM($R$22:$T$22)</f>
        <v>418</v>
      </c>
      <c r="I139" s="192"/>
      <c r="R139" s="2">
        <f>+R97+R133</f>
        <v>1162</v>
      </c>
      <c r="S139" s="2">
        <f t="shared" ref="S139:T139" si="33">+S97+S133</f>
        <v>381</v>
      </c>
      <c r="T139" s="2">
        <f t="shared" si="33"/>
        <v>133</v>
      </c>
      <c r="V139" s="2">
        <f t="shared" ref="V139:W139" si="34">+V97+V133</f>
        <v>3400.7999999999984</v>
      </c>
      <c r="W139" s="2">
        <f t="shared" si="34"/>
        <v>1521.2899999999997</v>
      </c>
    </row>
    <row r="140" spans="1:24" x14ac:dyDescent="0.25">
      <c r="B140" s="179" t="s">
        <v>201</v>
      </c>
      <c r="C140" s="185">
        <f>SUM(C61:E61)</f>
        <v>0</v>
      </c>
      <c r="D140" s="185">
        <f>SUM(F61:H61)</f>
        <v>0</v>
      </c>
      <c r="E140" s="185">
        <f>SUM(I61:K61)</f>
        <v>0</v>
      </c>
      <c r="F140" s="185">
        <f>SUM(L61:N61)</f>
        <v>0</v>
      </c>
      <c r="G140" s="185">
        <f>SUM(O61:Q61)</f>
        <v>0</v>
      </c>
      <c r="H140" s="192">
        <f>SUM($R$61:$T$61)</f>
        <v>0</v>
      </c>
      <c r="I140" s="192"/>
    </row>
    <row r="141" spans="1:24" x14ac:dyDescent="0.25">
      <c r="B141" s="179" t="s">
        <v>202</v>
      </c>
      <c r="C141" s="185">
        <f>SUM(C97:E97)</f>
        <v>394</v>
      </c>
      <c r="D141" s="185">
        <f>SUM(F97:H97)</f>
        <v>909</v>
      </c>
      <c r="E141" s="185">
        <f>SUM(I97:K97)</f>
        <v>0</v>
      </c>
      <c r="F141" s="185">
        <f>SUM(L97:N97)</f>
        <v>0</v>
      </c>
      <c r="G141" s="185">
        <f>SUM(O97:Q97)</f>
        <v>0</v>
      </c>
      <c r="H141" s="192">
        <f>SUM($R$97:$T$97)</f>
        <v>1303</v>
      </c>
      <c r="I141" s="192"/>
      <c r="R141" s="91">
        <f>+R139-R68-R71-R72-R90-R127-R95-R106-R122</f>
        <v>1079</v>
      </c>
      <c r="S141" s="91"/>
      <c r="T141" s="91"/>
      <c r="U141" s="92"/>
      <c r="V141" s="91">
        <f t="shared" ref="V141:W141" si="35">+V139-V68-V71-V72-V90-V127-V95-V106-V122</f>
        <v>3352.9999999999982</v>
      </c>
      <c r="W141" s="115">
        <f t="shared" si="35"/>
        <v>1389.8399999999997</v>
      </c>
      <c r="X141" s="91"/>
    </row>
    <row r="142" spans="1:24" x14ac:dyDescent="0.25">
      <c r="B142" s="183" t="s">
        <v>203</v>
      </c>
      <c r="C142" s="186">
        <f>SUM(C133:E133)</f>
        <v>373</v>
      </c>
      <c r="D142" s="186">
        <f>SUM(F133:H133)</f>
        <v>0</v>
      </c>
      <c r="E142" s="186">
        <f>SUM(I133:K133)</f>
        <v>0</v>
      </c>
      <c r="F142" s="186">
        <f>SUM(L133:N133)</f>
        <v>0</v>
      </c>
      <c r="G142" s="186">
        <f>SUM(O133:Q133)</f>
        <v>0</v>
      </c>
      <c r="H142" s="192">
        <f>SUM($R$133:$T$133)</f>
        <v>373</v>
      </c>
      <c r="I142" s="192"/>
    </row>
    <row r="143" spans="1:24" x14ac:dyDescent="0.25">
      <c r="B143" s="180" t="s">
        <v>210</v>
      </c>
      <c r="C143" s="185">
        <f>SUM(C139:C142)</f>
        <v>767</v>
      </c>
      <c r="D143" s="185">
        <f t="shared" ref="D143:G143" si="36">SUM(D139:D142)</f>
        <v>1327</v>
      </c>
      <c r="E143" s="185">
        <f t="shared" si="36"/>
        <v>0</v>
      </c>
      <c r="F143" s="185">
        <f t="shared" si="36"/>
        <v>0</v>
      </c>
      <c r="G143" s="185">
        <f t="shared" si="36"/>
        <v>0</v>
      </c>
      <c r="H143" s="187"/>
      <c r="I143" s="179"/>
    </row>
    <row r="144" spans="1:24" x14ac:dyDescent="0.25">
      <c r="C144" s="91"/>
      <c r="D144" s="91"/>
      <c r="E144" s="91"/>
      <c r="F144" s="91"/>
      <c r="G144" s="181" t="s">
        <v>204</v>
      </c>
      <c r="H144" s="193">
        <f>SUM(H139:H142)</f>
        <v>2094</v>
      </c>
      <c r="I144" s="193"/>
    </row>
    <row r="5001" spans="3:5" x14ac:dyDescent="0.25">
      <c r="C5001" s="2">
        <v>0</v>
      </c>
      <c r="D5001" s="2">
        <v>0</v>
      </c>
      <c r="E5001" s="2">
        <v>0</v>
      </c>
    </row>
    <row r="50001" spans="3:5" x14ac:dyDescent="0.25">
      <c r="C50001" s="2">
        <v>0</v>
      </c>
      <c r="D50001" s="2">
        <v>0</v>
      </c>
      <c r="E50001" s="2">
        <v>0</v>
      </c>
    </row>
  </sheetData>
  <sortState xmlns:xlrd2="http://schemas.microsoft.com/office/spreadsheetml/2017/richdata2" ref="C7:AB21">
    <sortCondition ref="D7:D21"/>
  </sortState>
  <mergeCells count="57">
    <mergeCell ref="C65:E65"/>
    <mergeCell ref="F65:H65"/>
    <mergeCell ref="I65:K65"/>
    <mergeCell ref="A64:B64"/>
    <mergeCell ref="C64:E64"/>
    <mergeCell ref="F64:H64"/>
    <mergeCell ref="I64:K64"/>
    <mergeCell ref="A100:B100"/>
    <mergeCell ref="C100:E100"/>
    <mergeCell ref="F100:H100"/>
    <mergeCell ref="I100:K100"/>
    <mergeCell ref="L100:N100"/>
    <mergeCell ref="A5:B5"/>
    <mergeCell ref="A25:B25"/>
    <mergeCell ref="C25:E25"/>
    <mergeCell ref="F25:H25"/>
    <mergeCell ref="I25:K25"/>
    <mergeCell ref="C6:E6"/>
    <mergeCell ref="F6:H6"/>
    <mergeCell ref="I6:K6"/>
    <mergeCell ref="C5:E5"/>
    <mergeCell ref="F5:H5"/>
    <mergeCell ref="I5:K5"/>
    <mergeCell ref="R64:T64"/>
    <mergeCell ref="U64:X64"/>
    <mergeCell ref="L65:N65"/>
    <mergeCell ref="O65:Q65"/>
    <mergeCell ref="O64:Q64"/>
    <mergeCell ref="L64:N64"/>
    <mergeCell ref="R100:T100"/>
    <mergeCell ref="U100:X100"/>
    <mergeCell ref="C101:E101"/>
    <mergeCell ref="F101:H101"/>
    <mergeCell ref="I101:K101"/>
    <mergeCell ref="L101:N101"/>
    <mergeCell ref="O101:Q101"/>
    <mergeCell ref="O100:Q100"/>
    <mergeCell ref="C26:E26"/>
    <mergeCell ref="F26:H26"/>
    <mergeCell ref="I26:K26"/>
    <mergeCell ref="L26:N26"/>
    <mergeCell ref="O26:Q26"/>
    <mergeCell ref="L5:N5"/>
    <mergeCell ref="L25:N25"/>
    <mergeCell ref="U5:X5"/>
    <mergeCell ref="O6:Q6"/>
    <mergeCell ref="O5:Q5"/>
    <mergeCell ref="R5:T5"/>
    <mergeCell ref="L6:N6"/>
    <mergeCell ref="O25:Q25"/>
    <mergeCell ref="R25:T25"/>
    <mergeCell ref="U25:X25"/>
    <mergeCell ref="H139:I139"/>
    <mergeCell ref="H140:I140"/>
    <mergeCell ref="H141:I141"/>
    <mergeCell ref="H142:I142"/>
    <mergeCell ref="H144:I144"/>
  </mergeCells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8D42-4360-4505-BEBD-1AE2FBC972E0}">
  <sheetPr codeName="Sheet3"/>
  <dimension ref="A3:Z145"/>
  <sheetViews>
    <sheetView zoomScale="70" zoomScaleNormal="70" workbookViewId="0"/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6.85546875" style="2" customWidth="1"/>
    <col min="4" max="4" width="6.28515625" style="2" customWidth="1"/>
    <col min="5" max="5" width="7" style="2" customWidth="1"/>
    <col min="6" max="6" width="7.42578125" style="2" customWidth="1"/>
    <col min="7" max="7" width="7.8554687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17" width="8.140625" style="6" customWidth="1"/>
    <col min="18" max="20" width="12.5703125" style="2" customWidth="1"/>
    <col min="21" max="21" width="13.85546875" style="2" bestFit="1" customWidth="1"/>
    <col min="22" max="24" width="12.5703125" style="2" customWidth="1"/>
    <col min="25" max="25" width="13.28515625" style="1" customWidth="1"/>
    <col min="26" max="26" width="14" style="1" customWidth="1"/>
    <col min="27" max="16384" width="11.28515625" style="1"/>
  </cols>
  <sheetData>
    <row r="3" spans="1:25" x14ac:dyDescent="0.25">
      <c r="C3" s="2">
        <f>11+9.5+11.5+10+10</f>
        <v>52</v>
      </c>
    </row>
    <row r="4" spans="1:25" ht="12" customHeight="1" x14ac:dyDescent="0.25"/>
    <row r="5" spans="1:25" ht="18.75" x14ac:dyDescent="0.25">
      <c r="A5" s="203" t="s">
        <v>21</v>
      </c>
      <c r="B5" s="204"/>
      <c r="C5" s="194" t="s">
        <v>8</v>
      </c>
      <c r="D5" s="195"/>
      <c r="E5" s="196"/>
      <c r="F5" s="194" t="s">
        <v>8</v>
      </c>
      <c r="G5" s="195"/>
      <c r="H5" s="196"/>
      <c r="I5" s="194" t="s">
        <v>8</v>
      </c>
      <c r="J5" s="195"/>
      <c r="K5" s="196"/>
      <c r="L5" s="194" t="s">
        <v>8</v>
      </c>
      <c r="M5" s="195"/>
      <c r="N5" s="196"/>
      <c r="O5" s="199" t="s">
        <v>8</v>
      </c>
      <c r="P5" s="200"/>
      <c r="Q5" s="201"/>
      <c r="R5" s="197" t="s">
        <v>13</v>
      </c>
      <c r="S5" s="197"/>
      <c r="T5" s="197"/>
      <c r="U5" s="197" t="s">
        <v>12</v>
      </c>
      <c r="V5" s="197"/>
      <c r="W5" s="197"/>
      <c r="X5" s="197"/>
    </row>
    <row r="6" spans="1:25" ht="15" customHeight="1" x14ac:dyDescent="0.25">
      <c r="A6" s="78" t="s">
        <v>0</v>
      </c>
      <c r="B6" s="4" t="s">
        <v>1</v>
      </c>
      <c r="C6" s="202">
        <v>0</v>
      </c>
      <c r="D6" s="202"/>
      <c r="E6" s="202"/>
      <c r="F6" s="202">
        <v>0</v>
      </c>
      <c r="G6" s="202"/>
      <c r="H6" s="202"/>
      <c r="I6" s="202">
        <v>0</v>
      </c>
      <c r="J6" s="202"/>
      <c r="K6" s="202"/>
      <c r="L6" s="198" t="s">
        <v>142</v>
      </c>
      <c r="M6" s="198"/>
      <c r="N6" s="198"/>
      <c r="O6" s="198" t="s">
        <v>143</v>
      </c>
      <c r="P6" s="198"/>
      <c r="Q6" s="198"/>
      <c r="R6" s="3" t="s">
        <v>11</v>
      </c>
      <c r="S6" s="3" t="s">
        <v>10</v>
      </c>
      <c r="T6" s="3" t="s">
        <v>9</v>
      </c>
      <c r="U6" s="3" t="s">
        <v>11</v>
      </c>
      <c r="V6" s="3" t="s">
        <v>10</v>
      </c>
      <c r="W6" s="3" t="s">
        <v>9</v>
      </c>
      <c r="X6" s="4" t="s">
        <v>14</v>
      </c>
    </row>
    <row r="7" spans="1:25" x14ac:dyDescent="0.25">
      <c r="A7" s="79">
        <v>11488</v>
      </c>
      <c r="B7" s="4" t="s">
        <v>15</v>
      </c>
      <c r="C7" s="81"/>
      <c r="D7" s="82"/>
      <c r="E7" s="83"/>
      <c r="F7" s="81"/>
      <c r="G7" s="82"/>
      <c r="H7" s="84"/>
      <c r="I7" s="81"/>
      <c r="J7" s="82"/>
      <c r="K7" s="83"/>
      <c r="L7" s="81"/>
      <c r="M7" s="82"/>
      <c r="N7" s="83"/>
      <c r="O7" s="98"/>
      <c r="P7" s="87"/>
      <c r="Q7" s="88"/>
      <c r="R7" s="101">
        <f t="shared" ref="R7:T20" si="0">C7+F7+I7+L7+O7</f>
        <v>0</v>
      </c>
      <c r="S7" s="82">
        <f t="shared" si="0"/>
        <v>0</v>
      </c>
      <c r="T7" s="83">
        <f t="shared" si="0"/>
        <v>0</v>
      </c>
      <c r="U7" s="132">
        <f t="shared" ref="U7:V11" si="1">R7*8.9</f>
        <v>0</v>
      </c>
      <c r="V7" s="133">
        <f t="shared" si="1"/>
        <v>0</v>
      </c>
      <c r="W7" s="134">
        <f>T7*11.12</f>
        <v>0</v>
      </c>
      <c r="X7" s="5">
        <f t="shared" ref="X7:X20" si="2">SUM(U7:W7)</f>
        <v>0</v>
      </c>
    </row>
    <row r="8" spans="1:25" x14ac:dyDescent="0.25">
      <c r="A8" s="79">
        <v>11467</v>
      </c>
      <c r="B8" s="4" t="s">
        <v>16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81">
        <f t="shared" si="0"/>
        <v>0</v>
      </c>
      <c r="S8" s="82">
        <f t="shared" si="0"/>
        <v>0</v>
      </c>
      <c r="T8" s="83">
        <f t="shared" si="0"/>
        <v>0</v>
      </c>
      <c r="U8" s="132">
        <f t="shared" si="1"/>
        <v>0</v>
      </c>
      <c r="V8" s="133">
        <f t="shared" si="1"/>
        <v>0</v>
      </c>
      <c r="W8" s="134">
        <f>T8*11.12</f>
        <v>0</v>
      </c>
      <c r="X8" s="5">
        <f t="shared" si="2"/>
        <v>0</v>
      </c>
      <c r="Y8" s="1" t="s">
        <v>130</v>
      </c>
    </row>
    <row r="9" spans="1:25" x14ac:dyDescent="0.25">
      <c r="A9" s="79">
        <v>11482</v>
      </c>
      <c r="B9" s="4" t="s">
        <v>18</v>
      </c>
      <c r="C9" s="81"/>
      <c r="D9" s="82"/>
      <c r="E9" s="83"/>
      <c r="F9" s="81"/>
      <c r="G9" s="82"/>
      <c r="H9" s="84"/>
      <c r="I9" s="81"/>
      <c r="J9" s="82"/>
      <c r="K9" s="83"/>
      <c r="L9" s="81"/>
      <c r="M9" s="82"/>
      <c r="N9" s="83"/>
      <c r="O9" s="98"/>
      <c r="P9" s="100"/>
      <c r="Q9" s="99"/>
      <c r="R9" s="81">
        <f t="shared" si="0"/>
        <v>0</v>
      </c>
      <c r="S9" s="82">
        <f t="shared" si="0"/>
        <v>0</v>
      </c>
      <c r="T9" s="83">
        <f t="shared" si="0"/>
        <v>0</v>
      </c>
      <c r="U9" s="132">
        <f t="shared" si="1"/>
        <v>0</v>
      </c>
      <c r="V9" s="133">
        <f t="shared" si="1"/>
        <v>0</v>
      </c>
      <c r="W9" s="134">
        <f>T9*11.12</f>
        <v>0</v>
      </c>
      <c r="X9" s="5">
        <f t="shared" si="2"/>
        <v>0</v>
      </c>
    </row>
    <row r="10" spans="1:25" x14ac:dyDescent="0.25">
      <c r="A10" s="78">
        <v>11524</v>
      </c>
      <c r="B10" s="4" t="s">
        <v>125</v>
      </c>
      <c r="C10" s="81"/>
      <c r="D10" s="82"/>
      <c r="E10" s="83"/>
      <c r="F10" s="81"/>
      <c r="G10" s="82"/>
      <c r="H10" s="83"/>
      <c r="I10" s="81"/>
      <c r="J10" s="82"/>
      <c r="K10" s="83"/>
      <c r="L10" s="81"/>
      <c r="M10" s="82"/>
      <c r="N10" s="83"/>
      <c r="O10" s="98"/>
      <c r="P10" s="100"/>
      <c r="Q10" s="99"/>
      <c r="R10" s="98">
        <f t="shared" si="0"/>
        <v>0</v>
      </c>
      <c r="S10" s="82">
        <f t="shared" si="0"/>
        <v>0</v>
      </c>
      <c r="T10" s="83">
        <f t="shared" si="0"/>
        <v>0</v>
      </c>
      <c r="U10" s="132">
        <f t="shared" si="1"/>
        <v>0</v>
      </c>
      <c r="V10" s="133">
        <f t="shared" si="1"/>
        <v>0</v>
      </c>
      <c r="W10" s="134">
        <f>T10*11.12</f>
        <v>0</v>
      </c>
      <c r="X10" s="5">
        <f t="shared" si="2"/>
        <v>0</v>
      </c>
    </row>
    <row r="11" spans="1:25" x14ac:dyDescent="0.25">
      <c r="A11" s="79">
        <v>11490</v>
      </c>
      <c r="B11" s="4" t="s">
        <v>94</v>
      </c>
      <c r="C11" s="81"/>
      <c r="D11" s="82"/>
      <c r="E11" s="83"/>
      <c r="F11" s="81"/>
      <c r="G11" s="82"/>
      <c r="H11" s="84"/>
      <c r="I11" s="81"/>
      <c r="J11" s="82"/>
      <c r="K11" s="83"/>
      <c r="L11" s="81"/>
      <c r="M11" s="82"/>
      <c r="N11" s="83"/>
      <c r="O11" s="98"/>
      <c r="P11" s="87"/>
      <c r="Q11" s="99"/>
      <c r="R11" s="81">
        <f t="shared" si="0"/>
        <v>0</v>
      </c>
      <c r="S11" s="82">
        <f t="shared" si="0"/>
        <v>0</v>
      </c>
      <c r="T11" s="83">
        <f t="shared" si="0"/>
        <v>0</v>
      </c>
      <c r="U11" s="132">
        <f t="shared" si="1"/>
        <v>0</v>
      </c>
      <c r="V11" s="133">
        <f t="shared" si="1"/>
        <v>0</v>
      </c>
      <c r="W11" s="134">
        <f>T11*11.12</f>
        <v>0</v>
      </c>
      <c r="X11" s="5">
        <f t="shared" si="2"/>
        <v>0</v>
      </c>
    </row>
    <row r="12" spans="1:25" x14ac:dyDescent="0.25">
      <c r="A12" s="97">
        <v>11438</v>
      </c>
      <c r="B12" s="124" t="s">
        <v>2</v>
      </c>
      <c r="C12" s="81"/>
      <c r="D12" s="82"/>
      <c r="E12" s="83"/>
      <c r="F12" s="81"/>
      <c r="G12" s="82"/>
      <c r="H12" s="83"/>
      <c r="I12" s="81"/>
      <c r="J12" s="82"/>
      <c r="K12" s="83"/>
      <c r="L12" s="81"/>
      <c r="M12" s="82"/>
      <c r="N12" s="83"/>
      <c r="O12" s="98"/>
      <c r="P12" s="102"/>
      <c r="Q12" s="84"/>
      <c r="R12" s="81">
        <f t="shared" si="0"/>
        <v>0</v>
      </c>
      <c r="S12" s="82">
        <f t="shared" si="0"/>
        <v>0</v>
      </c>
      <c r="T12" s="83">
        <f t="shared" si="0"/>
        <v>0</v>
      </c>
      <c r="U12" s="132">
        <f>R12*9.56</f>
        <v>0</v>
      </c>
      <c r="V12" s="133">
        <f>S12*9.56</f>
        <v>0</v>
      </c>
      <c r="W12" s="134">
        <f>T12*11.95</f>
        <v>0</v>
      </c>
      <c r="X12" s="5">
        <f t="shared" si="2"/>
        <v>0</v>
      </c>
    </row>
    <row r="13" spans="1:25" x14ac:dyDescent="0.25">
      <c r="A13" s="79">
        <v>11375</v>
      </c>
      <c r="B13" s="4" t="s">
        <v>99</v>
      </c>
      <c r="C13" s="81"/>
      <c r="D13" s="82"/>
      <c r="E13" s="83"/>
      <c r="F13" s="81"/>
      <c r="G13" s="82"/>
      <c r="H13" s="84"/>
      <c r="I13" s="81"/>
      <c r="J13" s="82"/>
      <c r="K13" s="83"/>
      <c r="L13" s="81"/>
      <c r="M13" s="82"/>
      <c r="N13" s="83"/>
      <c r="O13" s="98"/>
      <c r="P13" s="87"/>
      <c r="Q13" s="88"/>
      <c r="R13" s="81">
        <f t="shared" si="0"/>
        <v>0</v>
      </c>
      <c r="S13" s="82">
        <f t="shared" si="0"/>
        <v>0</v>
      </c>
      <c r="T13" s="83">
        <f t="shared" si="0"/>
        <v>0</v>
      </c>
      <c r="U13" s="132">
        <f t="shared" ref="U13:V15" si="3">R13*8.9</f>
        <v>0</v>
      </c>
      <c r="V13" s="133">
        <f t="shared" si="3"/>
        <v>0</v>
      </c>
      <c r="W13" s="134">
        <f>T13*11.12</f>
        <v>0</v>
      </c>
      <c r="X13" s="5">
        <f t="shared" si="2"/>
        <v>0</v>
      </c>
    </row>
    <row r="14" spans="1:25" x14ac:dyDescent="0.25">
      <c r="A14" s="79">
        <v>11505</v>
      </c>
      <c r="B14" s="4" t="s">
        <v>100</v>
      </c>
      <c r="C14" s="81"/>
      <c r="D14" s="82"/>
      <c r="E14" s="83"/>
      <c r="F14" s="81"/>
      <c r="G14" s="82"/>
      <c r="H14" s="84"/>
      <c r="I14" s="81"/>
      <c r="J14" s="82"/>
      <c r="K14" s="83"/>
      <c r="L14" s="81"/>
      <c r="M14" s="82"/>
      <c r="N14" s="83"/>
      <c r="O14" s="98"/>
      <c r="P14" s="87"/>
      <c r="Q14" s="84"/>
      <c r="R14" s="81">
        <f t="shared" si="0"/>
        <v>0</v>
      </c>
      <c r="S14" s="82">
        <f t="shared" si="0"/>
        <v>0</v>
      </c>
      <c r="T14" s="83">
        <f t="shared" si="0"/>
        <v>0</v>
      </c>
      <c r="U14" s="132">
        <f t="shared" si="3"/>
        <v>0</v>
      </c>
      <c r="V14" s="133">
        <f t="shared" si="3"/>
        <v>0</v>
      </c>
      <c r="W14" s="134">
        <f>T14*11.12</f>
        <v>0</v>
      </c>
      <c r="X14" s="5">
        <f t="shared" si="2"/>
        <v>0</v>
      </c>
    </row>
    <row r="15" spans="1:25" x14ac:dyDescent="0.25">
      <c r="A15" s="78">
        <v>11525</v>
      </c>
      <c r="B15" s="4" t="s">
        <v>127</v>
      </c>
      <c r="C15" s="81"/>
      <c r="D15" s="82"/>
      <c r="E15" s="83"/>
      <c r="F15" s="81"/>
      <c r="G15" s="82"/>
      <c r="H15" s="83"/>
      <c r="I15" s="81"/>
      <c r="J15" s="82"/>
      <c r="K15" s="83"/>
      <c r="L15" s="81"/>
      <c r="M15" s="82"/>
      <c r="N15" s="83"/>
      <c r="O15" s="98"/>
      <c r="P15" s="100"/>
      <c r="Q15" s="99"/>
      <c r="R15" s="98">
        <f t="shared" si="0"/>
        <v>0</v>
      </c>
      <c r="S15" s="82">
        <f t="shared" si="0"/>
        <v>0</v>
      </c>
      <c r="T15" s="83">
        <f t="shared" si="0"/>
        <v>0</v>
      </c>
      <c r="U15" s="132">
        <f t="shared" si="3"/>
        <v>0</v>
      </c>
      <c r="V15" s="133">
        <f t="shared" si="3"/>
        <v>0</v>
      </c>
      <c r="W15" s="134">
        <f>T15*11.12</f>
        <v>0</v>
      </c>
      <c r="X15" s="5">
        <f t="shared" si="2"/>
        <v>0</v>
      </c>
    </row>
    <row r="16" spans="1:25" x14ac:dyDescent="0.25">
      <c r="A16" s="97">
        <v>2096</v>
      </c>
      <c r="B16" s="124" t="s">
        <v>7</v>
      </c>
      <c r="C16" s="81"/>
      <c r="D16" s="82"/>
      <c r="E16" s="83"/>
      <c r="F16" s="81"/>
      <c r="G16" s="82"/>
      <c r="H16" s="84"/>
      <c r="I16" s="81"/>
      <c r="J16" s="82"/>
      <c r="K16" s="83"/>
      <c r="L16" s="81"/>
      <c r="M16" s="82"/>
      <c r="N16" s="83"/>
      <c r="O16" s="98"/>
      <c r="P16" s="100"/>
      <c r="Q16" s="99"/>
      <c r="R16" s="81">
        <f t="shared" si="0"/>
        <v>0</v>
      </c>
      <c r="S16" s="82">
        <f t="shared" si="0"/>
        <v>0</v>
      </c>
      <c r="T16" s="83">
        <f t="shared" si="0"/>
        <v>0</v>
      </c>
      <c r="U16" s="132">
        <f>R16*9.56</f>
        <v>0</v>
      </c>
      <c r="V16" s="133">
        <f>S16*9.56</f>
        <v>0</v>
      </c>
      <c r="W16" s="134">
        <f>T16*11.95</f>
        <v>0</v>
      </c>
      <c r="X16" s="5">
        <f t="shared" si="2"/>
        <v>0</v>
      </c>
    </row>
    <row r="17" spans="1:26" x14ac:dyDescent="0.25">
      <c r="A17" s="126">
        <v>11461</v>
      </c>
      <c r="B17" s="125" t="s">
        <v>50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81">
        <f>C17+F17+I17+L17+O17</f>
        <v>0</v>
      </c>
      <c r="S17" s="82">
        <f>D17+G17+J17+M17+P17</f>
        <v>0</v>
      </c>
      <c r="T17" s="83">
        <f>E17+H17+K17+N17+Q17</f>
        <v>0</v>
      </c>
      <c r="U17" s="132">
        <f>R17*8.9</f>
        <v>0</v>
      </c>
      <c r="V17" s="133">
        <f>S17*8.9</f>
        <v>0</v>
      </c>
      <c r="W17" s="134">
        <f>T17*11.12</f>
        <v>0</v>
      </c>
      <c r="X17" s="5">
        <f>SUM(U17:W17)</f>
        <v>0</v>
      </c>
      <c r="Y17" s="14" t="s">
        <v>144</v>
      </c>
    </row>
    <row r="18" spans="1:26" x14ac:dyDescent="0.25">
      <c r="A18" s="78">
        <v>11523</v>
      </c>
      <c r="B18" s="4" t="s">
        <v>126</v>
      </c>
      <c r="C18" s="81"/>
      <c r="D18" s="82"/>
      <c r="E18" s="83"/>
      <c r="F18" s="81"/>
      <c r="G18" s="82"/>
      <c r="H18" s="83"/>
      <c r="I18" s="81"/>
      <c r="J18" s="82"/>
      <c r="K18" s="83"/>
      <c r="L18" s="81"/>
      <c r="M18" s="82"/>
      <c r="N18" s="83"/>
      <c r="O18" s="98"/>
      <c r="P18" s="100"/>
      <c r="Q18" s="99"/>
      <c r="R18" s="98">
        <f t="shared" si="0"/>
        <v>0</v>
      </c>
      <c r="S18" s="82">
        <f t="shared" si="0"/>
        <v>0</v>
      </c>
      <c r="T18" s="83">
        <f t="shared" si="0"/>
        <v>0</v>
      </c>
      <c r="U18" s="132">
        <f t="shared" ref="U18:V20" si="4">R18*8.9</f>
        <v>0</v>
      </c>
      <c r="V18" s="133">
        <f t="shared" si="4"/>
        <v>0</v>
      </c>
      <c r="W18" s="134">
        <f>T18*11.12</f>
        <v>0</v>
      </c>
      <c r="X18" s="5">
        <f t="shared" si="2"/>
        <v>0</v>
      </c>
    </row>
    <row r="19" spans="1:26" x14ac:dyDescent="0.25">
      <c r="A19" s="79">
        <v>11483</v>
      </c>
      <c r="B19" s="4" t="s">
        <v>19</v>
      </c>
      <c r="C19" s="81"/>
      <c r="D19" s="82"/>
      <c r="E19" s="83"/>
      <c r="F19" s="81"/>
      <c r="G19" s="82"/>
      <c r="H19" s="83"/>
      <c r="I19" s="81"/>
      <c r="J19" s="82"/>
      <c r="K19" s="83"/>
      <c r="L19" s="81"/>
      <c r="M19" s="82"/>
      <c r="N19" s="83"/>
      <c r="O19" s="98"/>
      <c r="P19" s="100"/>
      <c r="Q19" s="88"/>
      <c r="R19" s="81">
        <f t="shared" si="0"/>
        <v>0</v>
      </c>
      <c r="S19" s="82">
        <f t="shared" si="0"/>
        <v>0</v>
      </c>
      <c r="T19" s="83">
        <f t="shared" si="0"/>
        <v>0</v>
      </c>
      <c r="U19" s="132">
        <f t="shared" si="4"/>
        <v>0</v>
      </c>
      <c r="V19" s="133">
        <f t="shared" si="4"/>
        <v>0</v>
      </c>
      <c r="W19" s="134">
        <f>T19*11.12</f>
        <v>0</v>
      </c>
      <c r="X19" s="5">
        <f t="shared" si="2"/>
        <v>0</v>
      </c>
      <c r="Y19" s="1" t="s">
        <v>131</v>
      </c>
    </row>
    <row r="20" spans="1:26" x14ac:dyDescent="0.25">
      <c r="A20" s="79">
        <v>11487</v>
      </c>
      <c r="B20" s="4" t="s">
        <v>20</v>
      </c>
      <c r="C20" s="81"/>
      <c r="D20" s="82"/>
      <c r="E20" s="83"/>
      <c r="F20" s="81"/>
      <c r="G20" s="82"/>
      <c r="H20" s="84"/>
      <c r="I20" s="81"/>
      <c r="J20" s="82"/>
      <c r="K20" s="83"/>
      <c r="L20" s="81"/>
      <c r="M20" s="82"/>
      <c r="N20" s="83"/>
      <c r="O20" s="98"/>
      <c r="P20" s="87"/>
      <c r="Q20" s="99"/>
      <c r="R20" s="81">
        <f t="shared" si="0"/>
        <v>0</v>
      </c>
      <c r="S20" s="82">
        <f t="shared" si="0"/>
        <v>0</v>
      </c>
      <c r="T20" s="83">
        <f t="shared" si="0"/>
        <v>0</v>
      </c>
      <c r="U20" s="132">
        <f t="shared" si="4"/>
        <v>0</v>
      </c>
      <c r="V20" s="133">
        <f t="shared" si="4"/>
        <v>0</v>
      </c>
      <c r="W20" s="134">
        <f>T20*11.12</f>
        <v>0</v>
      </c>
      <c r="X20" s="5">
        <f t="shared" si="2"/>
        <v>0</v>
      </c>
    </row>
    <row r="21" spans="1:26" x14ac:dyDescent="0.25">
      <c r="C21" s="4">
        <f>SUM(C7:C20)</f>
        <v>0</v>
      </c>
      <c r="D21" s="4">
        <f t="shared" ref="D21:X21" si="5">SUM(D7:D20)</f>
        <v>0</v>
      </c>
      <c r="E21" s="4">
        <f t="shared" si="5"/>
        <v>0</v>
      </c>
      <c r="F21" s="4">
        <f t="shared" si="5"/>
        <v>0</v>
      </c>
      <c r="G21" s="4">
        <f t="shared" si="5"/>
        <v>0</v>
      </c>
      <c r="H21" s="4">
        <f t="shared" si="5"/>
        <v>0</v>
      </c>
      <c r="I21" s="4">
        <f>SUM(I7:I20)</f>
        <v>0</v>
      </c>
      <c r="J21" s="4">
        <f t="shared" si="5"/>
        <v>0</v>
      </c>
      <c r="K21" s="4">
        <f t="shared" si="5"/>
        <v>0</v>
      </c>
      <c r="L21" s="4">
        <f t="shared" si="5"/>
        <v>0</v>
      </c>
      <c r="M21" s="4">
        <f t="shared" si="5"/>
        <v>0</v>
      </c>
      <c r="N21" s="4">
        <f>SUM(N7:N20)</f>
        <v>0</v>
      </c>
      <c r="O21" s="4">
        <f t="shared" si="5"/>
        <v>0</v>
      </c>
      <c r="P21" s="4">
        <f t="shared" si="5"/>
        <v>0</v>
      </c>
      <c r="Q21" s="4">
        <f t="shared" si="5"/>
        <v>0</v>
      </c>
      <c r="R21" s="112">
        <f t="shared" si="5"/>
        <v>0</v>
      </c>
      <c r="S21" s="112">
        <f t="shared" si="5"/>
        <v>0</v>
      </c>
      <c r="T21" s="112">
        <f t="shared" si="5"/>
        <v>0</v>
      </c>
      <c r="U21" s="113">
        <f t="shared" si="5"/>
        <v>0</v>
      </c>
      <c r="V21" s="113">
        <f t="shared" si="5"/>
        <v>0</v>
      </c>
      <c r="W21" s="113">
        <f t="shared" si="5"/>
        <v>0</v>
      </c>
      <c r="X21" s="113">
        <f t="shared" si="5"/>
        <v>0</v>
      </c>
    </row>
    <row r="22" spans="1:26" x14ac:dyDescent="0.25">
      <c r="R22" s="85">
        <f>+R21-R11-R12</f>
        <v>0</v>
      </c>
      <c r="V22" s="85">
        <f>+V21-V11-V12</f>
        <v>0</v>
      </c>
      <c r="W22" s="85">
        <f t="shared" ref="W22" si="6">+W21-W11-W12</f>
        <v>0</v>
      </c>
      <c r="Y22" s="15"/>
      <c r="Z22" s="15">
        <f>W12+W16+W42+W72+W71</f>
        <v>0</v>
      </c>
    </row>
    <row r="23" spans="1:26" x14ac:dyDescent="0.25">
      <c r="R23" s="115">
        <f>R21-R12-R16+R56</f>
        <v>0</v>
      </c>
      <c r="S23" s="115"/>
      <c r="T23" s="115"/>
      <c r="U23" s="115"/>
      <c r="V23" s="115">
        <f t="shared" ref="V23:W23" si="7">V21-V12-V16+V56</f>
        <v>0</v>
      </c>
      <c r="W23" s="115">
        <f t="shared" si="7"/>
        <v>0</v>
      </c>
    </row>
    <row r="24" spans="1:26" ht="18.75" x14ac:dyDescent="0.25">
      <c r="A24" s="203" t="s">
        <v>53</v>
      </c>
      <c r="B24" s="204"/>
      <c r="C24" s="197" t="s">
        <v>8</v>
      </c>
      <c r="D24" s="197"/>
      <c r="E24" s="197"/>
      <c r="F24" s="197" t="s">
        <v>8</v>
      </c>
      <c r="G24" s="197"/>
      <c r="H24" s="197"/>
      <c r="I24" s="197" t="s">
        <v>8</v>
      </c>
      <c r="J24" s="197"/>
      <c r="K24" s="197"/>
      <c r="L24" s="197" t="s">
        <v>8</v>
      </c>
      <c r="M24" s="197"/>
      <c r="N24" s="197"/>
      <c r="O24" s="198" t="s">
        <v>8</v>
      </c>
      <c r="P24" s="198"/>
      <c r="Q24" s="198"/>
      <c r="R24" s="197" t="s">
        <v>13</v>
      </c>
      <c r="S24" s="197"/>
      <c r="T24" s="197"/>
      <c r="U24" s="197" t="s">
        <v>12</v>
      </c>
      <c r="V24" s="197"/>
      <c r="W24" s="197"/>
      <c r="X24" s="197"/>
    </row>
    <row r="25" spans="1:26" ht="15" customHeight="1" x14ac:dyDescent="0.25">
      <c r="A25" s="78" t="s">
        <v>0</v>
      </c>
      <c r="B25" s="4" t="s">
        <v>1</v>
      </c>
      <c r="C25" s="202" t="s">
        <v>139</v>
      </c>
      <c r="D25" s="202"/>
      <c r="E25" s="202"/>
      <c r="F25" s="202" t="s">
        <v>140</v>
      </c>
      <c r="G25" s="202"/>
      <c r="H25" s="202"/>
      <c r="I25" s="202" t="s">
        <v>141</v>
      </c>
      <c r="J25" s="202"/>
      <c r="K25" s="202"/>
      <c r="L25" s="198" t="s">
        <v>142</v>
      </c>
      <c r="M25" s="198"/>
      <c r="N25" s="198"/>
      <c r="O25" s="198" t="s">
        <v>143</v>
      </c>
      <c r="P25" s="198"/>
      <c r="Q25" s="198"/>
      <c r="R25" s="3" t="s">
        <v>11</v>
      </c>
      <c r="S25" s="3" t="s">
        <v>10</v>
      </c>
      <c r="T25" s="3" t="s">
        <v>9</v>
      </c>
      <c r="U25" s="3" t="s">
        <v>11</v>
      </c>
      <c r="V25" s="3" t="s">
        <v>10</v>
      </c>
      <c r="W25" s="3" t="s">
        <v>9</v>
      </c>
      <c r="X25" s="4" t="s">
        <v>14</v>
      </c>
    </row>
    <row r="26" spans="1:26" x14ac:dyDescent="0.25">
      <c r="A26" s="80">
        <v>11411</v>
      </c>
      <c r="B26" s="125" t="s">
        <v>22</v>
      </c>
      <c r="C26" s="81"/>
      <c r="D26" s="82"/>
      <c r="E26" s="83"/>
      <c r="F26" s="81"/>
      <c r="G26" s="82"/>
      <c r="H26" s="83"/>
      <c r="I26" s="81"/>
      <c r="J26" s="82"/>
      <c r="K26" s="83"/>
      <c r="L26" s="81"/>
      <c r="M26" s="82"/>
      <c r="N26" s="83"/>
      <c r="O26" s="86"/>
      <c r="P26" s="87"/>
      <c r="Q26" s="88"/>
      <c r="R26" s="81">
        <f t="shared" ref="R26:T60" si="8">C26+F26+I26+L26+O26</f>
        <v>0</v>
      </c>
      <c r="S26" s="82">
        <f t="shared" si="8"/>
        <v>0</v>
      </c>
      <c r="T26" s="83">
        <f t="shared" si="8"/>
        <v>0</v>
      </c>
      <c r="U26" s="132">
        <f t="shared" ref="U26:V60" si="9">R26*8.9</f>
        <v>0</v>
      </c>
      <c r="V26" s="133">
        <f t="shared" si="9"/>
        <v>0</v>
      </c>
      <c r="W26" s="134">
        <f t="shared" ref="W26:W60" si="10">T26*11.12</f>
        <v>0</v>
      </c>
      <c r="X26" s="5">
        <f t="shared" ref="X26:X60" si="11">SUM(U26:W26)</f>
        <v>0</v>
      </c>
    </row>
    <row r="27" spans="1:26" x14ac:dyDescent="0.25">
      <c r="A27" s="80">
        <v>11414</v>
      </c>
      <c r="B27" s="125" t="s">
        <v>23</v>
      </c>
      <c r="C27" s="81"/>
      <c r="D27" s="82"/>
      <c r="E27" s="83"/>
      <c r="F27" s="81"/>
      <c r="G27" s="82"/>
      <c r="H27" s="83"/>
      <c r="I27" s="81"/>
      <c r="J27" s="82"/>
      <c r="K27" s="83"/>
      <c r="L27" s="81"/>
      <c r="M27" s="82"/>
      <c r="N27" s="83"/>
      <c r="O27" s="86"/>
      <c r="P27" s="87"/>
      <c r="Q27" s="88"/>
      <c r="R27" s="81">
        <f t="shared" si="8"/>
        <v>0</v>
      </c>
      <c r="S27" s="82">
        <f t="shared" si="8"/>
        <v>0</v>
      </c>
      <c r="T27" s="83">
        <f t="shared" si="8"/>
        <v>0</v>
      </c>
      <c r="U27" s="132">
        <f t="shared" si="9"/>
        <v>0</v>
      </c>
      <c r="V27" s="133">
        <f t="shared" si="9"/>
        <v>0</v>
      </c>
      <c r="W27" s="134">
        <f>T27*11.12</f>
        <v>0</v>
      </c>
      <c r="X27" s="5">
        <f t="shared" si="11"/>
        <v>0</v>
      </c>
    </row>
    <row r="28" spans="1:26" x14ac:dyDescent="0.25">
      <c r="A28" s="80">
        <v>11453</v>
      </c>
      <c r="B28" s="125" t="s">
        <v>24</v>
      </c>
      <c r="C28" s="81"/>
      <c r="D28" s="82"/>
      <c r="E28" s="83"/>
      <c r="F28" s="81"/>
      <c r="G28" s="82"/>
      <c r="H28" s="83"/>
      <c r="I28" s="81"/>
      <c r="J28" s="82"/>
      <c r="K28" s="83"/>
      <c r="L28" s="81"/>
      <c r="M28" s="82"/>
      <c r="N28" s="83"/>
      <c r="O28" s="86"/>
      <c r="P28" s="87"/>
      <c r="Q28" s="88"/>
      <c r="R28" s="81">
        <f t="shared" si="8"/>
        <v>0</v>
      </c>
      <c r="S28" s="82">
        <f t="shared" si="8"/>
        <v>0</v>
      </c>
      <c r="T28" s="83">
        <f t="shared" si="8"/>
        <v>0</v>
      </c>
      <c r="U28" s="132">
        <f t="shared" si="9"/>
        <v>0</v>
      </c>
      <c r="V28" s="133">
        <f t="shared" si="9"/>
        <v>0</v>
      </c>
      <c r="W28" s="134">
        <f t="shared" si="10"/>
        <v>0</v>
      </c>
      <c r="X28" s="5">
        <f t="shared" si="11"/>
        <v>0</v>
      </c>
    </row>
    <row r="29" spans="1:26" x14ac:dyDescent="0.25">
      <c r="A29" s="80">
        <v>11451</v>
      </c>
      <c r="B29" s="104" t="s">
        <v>25</v>
      </c>
      <c r="C29" s="81"/>
      <c r="D29" s="82"/>
      <c r="E29" s="83"/>
      <c r="F29" s="107"/>
      <c r="G29" s="107"/>
      <c r="H29" s="107"/>
      <c r="I29" s="107"/>
      <c r="J29" s="107"/>
      <c r="K29" s="107"/>
      <c r="L29" s="107"/>
      <c r="M29" s="107"/>
      <c r="N29" s="107"/>
      <c r="O29" s="109"/>
      <c r="P29" s="108"/>
      <c r="Q29" s="108"/>
      <c r="R29" s="81">
        <f t="shared" si="8"/>
        <v>0</v>
      </c>
      <c r="S29" s="82">
        <f t="shared" si="8"/>
        <v>0</v>
      </c>
      <c r="T29" s="83">
        <f t="shared" si="8"/>
        <v>0</v>
      </c>
      <c r="U29" s="132">
        <f t="shared" si="9"/>
        <v>0</v>
      </c>
      <c r="V29" s="133">
        <f t="shared" si="9"/>
        <v>0</v>
      </c>
      <c r="W29" s="134">
        <f t="shared" si="10"/>
        <v>0</v>
      </c>
      <c r="X29" s="5">
        <f t="shared" si="11"/>
        <v>0</v>
      </c>
    </row>
    <row r="30" spans="1:26" x14ac:dyDescent="0.25">
      <c r="A30" s="80">
        <v>11415</v>
      </c>
      <c r="B30" s="125" t="s">
        <v>26</v>
      </c>
      <c r="C30" s="81"/>
      <c r="D30" s="82"/>
      <c r="E30" s="83"/>
      <c r="F30" s="81"/>
      <c r="G30" s="82"/>
      <c r="H30" s="83"/>
      <c r="I30" s="81"/>
      <c r="J30" s="82"/>
      <c r="K30" s="83"/>
      <c r="L30" s="81"/>
      <c r="M30" s="82"/>
      <c r="N30" s="83"/>
      <c r="O30" s="86"/>
      <c r="P30" s="87"/>
      <c r="Q30" s="88"/>
      <c r="R30" s="81">
        <f t="shared" si="8"/>
        <v>0</v>
      </c>
      <c r="S30" s="82">
        <f t="shared" si="8"/>
        <v>0</v>
      </c>
      <c r="T30" s="83">
        <f t="shared" si="8"/>
        <v>0</v>
      </c>
      <c r="U30" s="132">
        <f t="shared" si="9"/>
        <v>0</v>
      </c>
      <c r="V30" s="133">
        <f t="shared" si="9"/>
        <v>0</v>
      </c>
      <c r="W30" s="134">
        <f t="shared" si="10"/>
        <v>0</v>
      </c>
      <c r="X30" s="5">
        <f t="shared" si="11"/>
        <v>0</v>
      </c>
    </row>
    <row r="31" spans="1:26" x14ac:dyDescent="0.25">
      <c r="A31" s="80">
        <v>11413</v>
      </c>
      <c r="B31" s="125" t="s">
        <v>27</v>
      </c>
      <c r="C31" s="81"/>
      <c r="D31" s="82"/>
      <c r="E31" s="83"/>
      <c r="F31" s="81"/>
      <c r="G31" s="82"/>
      <c r="H31" s="83"/>
      <c r="I31" s="81"/>
      <c r="J31" s="82"/>
      <c r="K31" s="83"/>
      <c r="L31" s="81"/>
      <c r="M31" s="82"/>
      <c r="N31" s="83"/>
      <c r="O31" s="86"/>
      <c r="P31" s="87"/>
      <c r="Q31" s="88"/>
      <c r="R31" s="81">
        <f t="shared" si="8"/>
        <v>0</v>
      </c>
      <c r="S31" s="82">
        <f t="shared" si="8"/>
        <v>0</v>
      </c>
      <c r="T31" s="83">
        <f t="shared" si="8"/>
        <v>0</v>
      </c>
      <c r="U31" s="132">
        <f t="shared" si="9"/>
        <v>0</v>
      </c>
      <c r="V31" s="133">
        <f t="shared" si="9"/>
        <v>0</v>
      </c>
      <c r="W31" s="134">
        <f t="shared" si="10"/>
        <v>0</v>
      </c>
      <c r="X31" s="5">
        <f t="shared" si="11"/>
        <v>0</v>
      </c>
    </row>
    <row r="32" spans="1:26" x14ac:dyDescent="0.25">
      <c r="A32" s="80">
        <v>11503</v>
      </c>
      <c r="B32" s="104" t="s">
        <v>17</v>
      </c>
      <c r="C32" s="128"/>
      <c r="D32" s="128"/>
      <c r="E32" s="128"/>
      <c r="F32" s="128"/>
      <c r="G32" s="128"/>
      <c r="H32" s="128"/>
      <c r="I32" s="81"/>
      <c r="J32" s="82"/>
      <c r="K32" s="83"/>
      <c r="L32" s="81"/>
      <c r="M32" s="82"/>
      <c r="N32" s="83"/>
      <c r="O32" s="86"/>
      <c r="P32" s="87"/>
      <c r="Q32" s="88"/>
      <c r="R32" s="81">
        <f>C32+F32+I32+L32+O32</f>
        <v>0</v>
      </c>
      <c r="S32" s="82">
        <f>D32+G32+J32+M32+P32</f>
        <v>0</v>
      </c>
      <c r="T32" s="83">
        <f>E32+H32+K32+N32+Q32</f>
        <v>0</v>
      </c>
      <c r="U32" s="132">
        <f>R32*8.9</f>
        <v>0</v>
      </c>
      <c r="V32" s="133">
        <f>S32*8.9</f>
        <v>0</v>
      </c>
      <c r="W32" s="134">
        <f>T32*11.12</f>
        <v>0</v>
      </c>
      <c r="X32" s="5">
        <f>SUM(U32:W32)</f>
        <v>0</v>
      </c>
    </row>
    <row r="33" spans="1:25" x14ac:dyDescent="0.25">
      <c r="A33" s="95">
        <v>11450</v>
      </c>
      <c r="B33" s="105" t="s">
        <v>28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9"/>
      <c r="P33" s="108"/>
      <c r="Q33" s="108"/>
      <c r="R33" s="81">
        <f t="shared" si="8"/>
        <v>0</v>
      </c>
      <c r="S33" s="82">
        <f t="shared" si="8"/>
        <v>0</v>
      </c>
      <c r="T33" s="83">
        <f t="shared" si="8"/>
        <v>0</v>
      </c>
      <c r="U33" s="132">
        <f>R33*9.56</f>
        <v>0</v>
      </c>
      <c r="V33" s="133">
        <f>S33*9.56</f>
        <v>0</v>
      </c>
      <c r="W33" s="134">
        <f>T33*11.95</f>
        <v>0</v>
      </c>
      <c r="X33" s="5">
        <f t="shared" si="11"/>
        <v>0</v>
      </c>
    </row>
    <row r="34" spans="1:25" x14ac:dyDescent="0.25">
      <c r="A34" s="80">
        <v>11473</v>
      </c>
      <c r="B34" s="125" t="s">
        <v>29</v>
      </c>
      <c r="C34" s="81"/>
      <c r="D34" s="82"/>
      <c r="E34" s="83"/>
      <c r="F34" s="81"/>
      <c r="G34" s="82"/>
      <c r="H34" s="83"/>
      <c r="I34" s="81"/>
      <c r="J34" s="82"/>
      <c r="K34" s="83"/>
      <c r="L34" s="81"/>
      <c r="M34" s="82"/>
      <c r="N34" s="83"/>
      <c r="O34" s="86"/>
      <c r="P34" s="87"/>
      <c r="Q34" s="88"/>
      <c r="R34" s="81">
        <f t="shared" si="8"/>
        <v>0</v>
      </c>
      <c r="S34" s="82">
        <f t="shared" si="8"/>
        <v>0</v>
      </c>
      <c r="T34" s="83">
        <f t="shared" si="8"/>
        <v>0</v>
      </c>
      <c r="U34" s="132">
        <f t="shared" si="9"/>
        <v>0</v>
      </c>
      <c r="V34" s="133">
        <f t="shared" si="9"/>
        <v>0</v>
      </c>
      <c r="W34" s="134">
        <f t="shared" si="10"/>
        <v>0</v>
      </c>
      <c r="X34" s="5">
        <f t="shared" si="11"/>
        <v>0</v>
      </c>
    </row>
    <row r="35" spans="1:25" x14ac:dyDescent="0.25">
      <c r="A35" s="80">
        <v>11454</v>
      </c>
      <c r="B35" s="125" t="s">
        <v>30</v>
      </c>
      <c r="C35" s="81"/>
      <c r="D35" s="82"/>
      <c r="E35" s="83"/>
      <c r="F35" s="81"/>
      <c r="G35" s="82"/>
      <c r="H35" s="83"/>
      <c r="I35" s="81"/>
      <c r="J35" s="82"/>
      <c r="K35" s="83"/>
      <c r="L35" s="81"/>
      <c r="M35" s="82"/>
      <c r="N35" s="83"/>
      <c r="O35" s="86"/>
      <c r="P35" s="87"/>
      <c r="Q35" s="88"/>
      <c r="R35" s="81">
        <f t="shared" si="8"/>
        <v>0</v>
      </c>
      <c r="S35" s="82">
        <f t="shared" si="8"/>
        <v>0</v>
      </c>
      <c r="T35" s="83">
        <f t="shared" si="8"/>
        <v>0</v>
      </c>
      <c r="U35" s="132">
        <f t="shared" si="9"/>
        <v>0</v>
      </c>
      <c r="V35" s="133">
        <f t="shared" si="9"/>
        <v>0</v>
      </c>
      <c r="W35" s="134">
        <f t="shared" si="10"/>
        <v>0</v>
      </c>
      <c r="X35" s="5">
        <f t="shared" si="11"/>
        <v>0</v>
      </c>
    </row>
    <row r="36" spans="1:25" x14ac:dyDescent="0.25">
      <c r="A36" s="80">
        <v>11479</v>
      </c>
      <c r="B36" s="104" t="s">
        <v>31</v>
      </c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08"/>
      <c r="Q36" s="108"/>
      <c r="R36" s="81">
        <f t="shared" si="8"/>
        <v>0</v>
      </c>
      <c r="S36" s="82">
        <f t="shared" si="8"/>
        <v>0</v>
      </c>
      <c r="T36" s="83">
        <f t="shared" si="8"/>
        <v>0</v>
      </c>
      <c r="U36" s="132">
        <f t="shared" si="9"/>
        <v>0</v>
      </c>
      <c r="V36" s="133">
        <f t="shared" si="9"/>
        <v>0</v>
      </c>
      <c r="W36" s="134">
        <f t="shared" si="10"/>
        <v>0</v>
      </c>
      <c r="X36" s="5">
        <f t="shared" si="11"/>
        <v>0</v>
      </c>
    </row>
    <row r="37" spans="1:25" x14ac:dyDescent="0.25">
      <c r="A37" s="80">
        <v>11489</v>
      </c>
      <c r="B37" s="104" t="s">
        <v>32</v>
      </c>
      <c r="C37" s="81"/>
      <c r="D37" s="82"/>
      <c r="E37" s="83"/>
      <c r="F37" s="81"/>
      <c r="G37" s="82"/>
      <c r="H37" s="83"/>
      <c r="I37" s="81"/>
      <c r="J37" s="82"/>
      <c r="K37" s="83"/>
      <c r="L37" s="81"/>
      <c r="M37" s="82"/>
      <c r="N37" s="83"/>
      <c r="O37" s="86"/>
      <c r="P37" s="87"/>
      <c r="Q37" s="88"/>
      <c r="R37" s="81">
        <f t="shared" si="8"/>
        <v>0</v>
      </c>
      <c r="S37" s="82">
        <f t="shared" si="8"/>
        <v>0</v>
      </c>
      <c r="T37" s="83">
        <f t="shared" si="8"/>
        <v>0</v>
      </c>
      <c r="U37" s="132">
        <f t="shared" si="9"/>
        <v>0</v>
      </c>
      <c r="V37" s="133">
        <f t="shared" si="9"/>
        <v>0</v>
      </c>
      <c r="W37" s="134">
        <f t="shared" si="10"/>
        <v>0</v>
      </c>
      <c r="X37" s="5">
        <f t="shared" si="11"/>
        <v>0</v>
      </c>
    </row>
    <row r="38" spans="1:25" x14ac:dyDescent="0.25">
      <c r="A38" s="80">
        <v>11423</v>
      </c>
      <c r="B38" s="125" t="s">
        <v>33</v>
      </c>
      <c r="C38" s="81"/>
      <c r="D38" s="82"/>
      <c r="E38" s="83"/>
      <c r="F38" s="81"/>
      <c r="G38" s="82"/>
      <c r="H38" s="83"/>
      <c r="I38" s="81"/>
      <c r="J38" s="82"/>
      <c r="K38" s="83"/>
      <c r="L38" s="81"/>
      <c r="M38" s="82"/>
      <c r="N38" s="83"/>
      <c r="O38" s="86"/>
      <c r="P38" s="87"/>
      <c r="Q38" s="88"/>
      <c r="R38" s="81">
        <f t="shared" si="8"/>
        <v>0</v>
      </c>
      <c r="S38" s="82">
        <f t="shared" si="8"/>
        <v>0</v>
      </c>
      <c r="T38" s="83">
        <f t="shared" si="8"/>
        <v>0</v>
      </c>
      <c r="U38" s="132">
        <f t="shared" si="9"/>
        <v>0</v>
      </c>
      <c r="V38" s="133">
        <f t="shared" si="9"/>
        <v>0</v>
      </c>
      <c r="W38" s="134">
        <f t="shared" si="10"/>
        <v>0</v>
      </c>
      <c r="X38" s="5">
        <f t="shared" si="11"/>
        <v>0</v>
      </c>
    </row>
    <row r="39" spans="1:25" x14ac:dyDescent="0.25">
      <c r="A39" s="80">
        <v>11464</v>
      </c>
      <c r="B39" s="104" t="s">
        <v>97</v>
      </c>
      <c r="C39" s="81"/>
      <c r="D39" s="82"/>
      <c r="E39" s="83"/>
      <c r="F39" s="107"/>
      <c r="G39" s="107"/>
      <c r="H39" s="107"/>
      <c r="I39" s="107"/>
      <c r="J39" s="107"/>
      <c r="K39" s="107"/>
      <c r="L39" s="107"/>
      <c r="M39" s="107"/>
      <c r="N39" s="107"/>
      <c r="O39" s="109"/>
      <c r="P39" s="108"/>
      <c r="Q39" s="108"/>
      <c r="R39" s="81">
        <f t="shared" si="8"/>
        <v>0</v>
      </c>
      <c r="S39" s="82">
        <f t="shared" si="8"/>
        <v>0</v>
      </c>
      <c r="T39" s="83">
        <f t="shared" si="8"/>
        <v>0</v>
      </c>
      <c r="U39" s="132">
        <f t="shared" si="9"/>
        <v>0</v>
      </c>
      <c r="V39" s="133">
        <f t="shared" si="9"/>
        <v>0</v>
      </c>
      <c r="W39" s="134">
        <f t="shared" si="10"/>
        <v>0</v>
      </c>
      <c r="X39" s="5">
        <f t="shared" si="11"/>
        <v>0</v>
      </c>
    </row>
    <row r="40" spans="1:25" x14ac:dyDescent="0.25">
      <c r="A40" s="80">
        <v>11492</v>
      </c>
      <c r="B40" s="104" t="s">
        <v>95</v>
      </c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08"/>
      <c r="Q40" s="108"/>
      <c r="R40" s="81">
        <f>C40+F40+I40+L40+O40</f>
        <v>0</v>
      </c>
      <c r="S40" s="82">
        <f t="shared" si="8"/>
        <v>0</v>
      </c>
      <c r="T40" s="83">
        <f t="shared" si="8"/>
        <v>0</v>
      </c>
      <c r="U40" s="132">
        <f t="shared" si="9"/>
        <v>0</v>
      </c>
      <c r="V40" s="133">
        <f t="shared" si="9"/>
        <v>0</v>
      </c>
      <c r="W40" s="134">
        <f t="shared" si="10"/>
        <v>0</v>
      </c>
      <c r="X40" s="5">
        <f t="shared" si="11"/>
        <v>0</v>
      </c>
    </row>
    <row r="41" spans="1:25" x14ac:dyDescent="0.25">
      <c r="A41" s="80">
        <v>11465</v>
      </c>
      <c r="B41" s="104" t="s">
        <v>34</v>
      </c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9"/>
      <c r="P41" s="109"/>
      <c r="Q41" s="109"/>
      <c r="R41" s="81">
        <f t="shared" si="8"/>
        <v>0</v>
      </c>
      <c r="S41" s="82">
        <f t="shared" si="8"/>
        <v>0</v>
      </c>
      <c r="T41" s="83">
        <f t="shared" si="8"/>
        <v>0</v>
      </c>
      <c r="U41" s="132">
        <f t="shared" si="9"/>
        <v>0</v>
      </c>
      <c r="V41" s="133">
        <f t="shared" si="9"/>
        <v>0</v>
      </c>
      <c r="W41" s="134">
        <f t="shared" si="10"/>
        <v>0</v>
      </c>
      <c r="X41" s="5">
        <f t="shared" si="11"/>
        <v>0</v>
      </c>
      <c r="Y41" s="14" t="s">
        <v>145</v>
      </c>
    </row>
    <row r="42" spans="1:25" x14ac:dyDescent="0.25">
      <c r="A42" s="95">
        <v>11292</v>
      </c>
      <c r="B42" s="127" t="s">
        <v>4</v>
      </c>
      <c r="C42" s="81"/>
      <c r="D42" s="82"/>
      <c r="E42" s="83"/>
      <c r="F42" s="81"/>
      <c r="G42" s="82"/>
      <c r="H42" s="83"/>
      <c r="I42" s="81"/>
      <c r="J42" s="82"/>
      <c r="K42" s="83"/>
      <c r="L42" s="81"/>
      <c r="M42" s="82"/>
      <c r="N42" s="83"/>
      <c r="O42" s="98"/>
      <c r="P42" s="100"/>
      <c r="Q42" s="88"/>
      <c r="R42" s="81">
        <f>C42+F42+I42+L42+O42</f>
        <v>0</v>
      </c>
      <c r="S42" s="82">
        <f>D42+G42+J42+M42+P42</f>
        <v>0</v>
      </c>
      <c r="T42" s="83">
        <f>E42+H42+K42+N42+Q42</f>
        <v>0</v>
      </c>
      <c r="U42" s="132">
        <f>R42*9.56</f>
        <v>0</v>
      </c>
      <c r="V42" s="133">
        <f>S42*9.56</f>
        <v>0</v>
      </c>
      <c r="W42" s="134">
        <f>T42*11.95</f>
        <v>0</v>
      </c>
      <c r="X42" s="5">
        <f>SUM(U42:W42)</f>
        <v>0</v>
      </c>
      <c r="Y42" s="17" t="s">
        <v>129</v>
      </c>
    </row>
    <row r="43" spans="1:25" x14ac:dyDescent="0.25">
      <c r="A43" s="80">
        <v>11474</v>
      </c>
      <c r="B43" s="104" t="s">
        <v>35</v>
      </c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08"/>
      <c r="Q43" s="108"/>
      <c r="R43" s="81">
        <f t="shared" si="8"/>
        <v>0</v>
      </c>
      <c r="S43" s="82">
        <f t="shared" si="8"/>
        <v>0</v>
      </c>
      <c r="T43" s="83">
        <f t="shared" si="8"/>
        <v>0</v>
      </c>
      <c r="U43" s="132">
        <f t="shared" si="9"/>
        <v>0</v>
      </c>
      <c r="V43" s="133">
        <f t="shared" si="9"/>
        <v>0</v>
      </c>
      <c r="W43" s="134">
        <f t="shared" si="10"/>
        <v>0</v>
      </c>
      <c r="X43" s="5">
        <f t="shared" si="11"/>
        <v>0</v>
      </c>
    </row>
    <row r="44" spans="1:25" x14ac:dyDescent="0.25">
      <c r="A44" s="80">
        <v>11462</v>
      </c>
      <c r="B44" s="104" t="s">
        <v>36</v>
      </c>
      <c r="C44" s="81"/>
      <c r="D44" s="82"/>
      <c r="E44" s="83"/>
      <c r="F44" s="81"/>
      <c r="G44" s="82"/>
      <c r="H44" s="83"/>
      <c r="I44" s="81"/>
      <c r="J44" s="82"/>
      <c r="K44" s="83"/>
      <c r="L44" s="81"/>
      <c r="M44" s="82"/>
      <c r="N44" s="83"/>
      <c r="O44" s="86"/>
      <c r="P44" s="87"/>
      <c r="Q44" s="88"/>
      <c r="R44" s="81">
        <f t="shared" si="8"/>
        <v>0</v>
      </c>
      <c r="S44" s="82">
        <f t="shared" si="8"/>
        <v>0</v>
      </c>
      <c r="T44" s="83">
        <f t="shared" si="8"/>
        <v>0</v>
      </c>
      <c r="U44" s="132">
        <f t="shared" si="9"/>
        <v>0</v>
      </c>
      <c r="V44" s="133">
        <f t="shared" si="9"/>
        <v>0</v>
      </c>
      <c r="W44" s="134">
        <f t="shared" si="10"/>
        <v>0</v>
      </c>
      <c r="X44" s="5">
        <f t="shared" si="11"/>
        <v>0</v>
      </c>
    </row>
    <row r="45" spans="1:25" x14ac:dyDescent="0.25">
      <c r="A45" s="80">
        <v>11441</v>
      </c>
      <c r="B45" s="104" t="s">
        <v>37</v>
      </c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8"/>
      <c r="P45" s="108"/>
      <c r="Q45" s="108"/>
      <c r="R45" s="81">
        <f t="shared" si="8"/>
        <v>0</v>
      </c>
      <c r="S45" s="82">
        <f t="shared" si="8"/>
        <v>0</v>
      </c>
      <c r="T45" s="83">
        <f t="shared" si="8"/>
        <v>0</v>
      </c>
      <c r="U45" s="132">
        <f t="shared" si="9"/>
        <v>0</v>
      </c>
      <c r="V45" s="133">
        <f t="shared" si="9"/>
        <v>0</v>
      </c>
      <c r="W45" s="134">
        <f t="shared" si="10"/>
        <v>0</v>
      </c>
      <c r="X45" s="5">
        <f t="shared" si="11"/>
        <v>0</v>
      </c>
    </row>
    <row r="46" spans="1:25" x14ac:dyDescent="0.25">
      <c r="A46" s="95">
        <v>11376</v>
      </c>
      <c r="B46" s="105" t="s">
        <v>38</v>
      </c>
      <c r="C46" s="81"/>
      <c r="D46" s="82"/>
      <c r="E46" s="83"/>
      <c r="F46" s="81"/>
      <c r="G46" s="82"/>
      <c r="H46" s="83"/>
      <c r="I46" s="81"/>
      <c r="J46" s="82"/>
      <c r="K46" s="83"/>
      <c r="L46" s="81"/>
      <c r="M46" s="82"/>
      <c r="N46" s="83"/>
      <c r="O46" s="98"/>
      <c r="P46" s="100"/>
      <c r="Q46" s="99"/>
      <c r="R46" s="81">
        <f t="shared" si="8"/>
        <v>0</v>
      </c>
      <c r="S46" s="82">
        <f t="shared" si="8"/>
        <v>0</v>
      </c>
      <c r="T46" s="83">
        <f t="shared" si="8"/>
        <v>0</v>
      </c>
      <c r="U46" s="132">
        <f>R46*9.56</f>
        <v>0</v>
      </c>
      <c r="V46" s="133">
        <f>S46*9.56</f>
        <v>0</v>
      </c>
      <c r="W46" s="134">
        <f>T46*11.95</f>
        <v>0</v>
      </c>
      <c r="X46" s="5">
        <f t="shared" si="11"/>
        <v>0</v>
      </c>
    </row>
    <row r="47" spans="1:25" x14ac:dyDescent="0.25">
      <c r="A47" s="80">
        <v>11420</v>
      </c>
      <c r="B47" s="125" t="s">
        <v>39</v>
      </c>
      <c r="C47" s="81"/>
      <c r="D47" s="82"/>
      <c r="E47" s="83"/>
      <c r="F47" s="81"/>
      <c r="G47" s="82"/>
      <c r="H47" s="83"/>
      <c r="I47" s="81"/>
      <c r="J47" s="82"/>
      <c r="K47" s="83"/>
      <c r="L47" s="81"/>
      <c r="M47" s="82"/>
      <c r="N47" s="83"/>
      <c r="O47" s="86"/>
      <c r="P47" s="87"/>
      <c r="Q47" s="88"/>
      <c r="R47" s="81">
        <f t="shared" si="8"/>
        <v>0</v>
      </c>
      <c r="S47" s="82">
        <f t="shared" si="8"/>
        <v>0</v>
      </c>
      <c r="T47" s="83">
        <f t="shared" si="8"/>
        <v>0</v>
      </c>
      <c r="U47" s="132">
        <f t="shared" si="9"/>
        <v>0</v>
      </c>
      <c r="V47" s="133">
        <f t="shared" si="9"/>
        <v>0</v>
      </c>
      <c r="W47" s="134">
        <f t="shared" si="10"/>
        <v>0</v>
      </c>
      <c r="X47" s="5">
        <f t="shared" si="11"/>
        <v>0</v>
      </c>
    </row>
    <row r="48" spans="1:25" x14ac:dyDescent="0.25">
      <c r="A48" s="80">
        <v>11442</v>
      </c>
      <c r="B48" s="104" t="s">
        <v>40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8"/>
      <c r="P48" s="108"/>
      <c r="Q48" s="108"/>
      <c r="R48" s="81">
        <f t="shared" si="8"/>
        <v>0</v>
      </c>
      <c r="S48" s="82">
        <f t="shared" si="8"/>
        <v>0</v>
      </c>
      <c r="T48" s="83">
        <f t="shared" si="8"/>
        <v>0</v>
      </c>
      <c r="U48" s="132">
        <f t="shared" si="9"/>
        <v>0</v>
      </c>
      <c r="V48" s="133">
        <f t="shared" si="9"/>
        <v>0</v>
      </c>
      <c r="W48" s="134">
        <f t="shared" si="10"/>
        <v>0</v>
      </c>
      <c r="X48" s="5">
        <f t="shared" si="11"/>
        <v>0</v>
      </c>
    </row>
    <row r="49" spans="1:26" x14ac:dyDescent="0.25">
      <c r="A49" s="96">
        <v>11439</v>
      </c>
      <c r="B49" s="106" t="s">
        <v>41</v>
      </c>
      <c r="C49" s="81"/>
      <c r="D49" s="82"/>
      <c r="E49" s="83"/>
      <c r="F49" s="81"/>
      <c r="G49" s="82"/>
      <c r="H49" s="83"/>
      <c r="I49" s="81"/>
      <c r="J49" s="82"/>
      <c r="K49" s="83"/>
      <c r="L49" s="81"/>
      <c r="M49" s="82"/>
      <c r="N49" s="83"/>
      <c r="O49" s="86"/>
      <c r="P49" s="87"/>
      <c r="Q49" s="88"/>
      <c r="R49" s="81">
        <f t="shared" si="8"/>
        <v>0</v>
      </c>
      <c r="S49" s="82">
        <f t="shared" si="8"/>
        <v>0</v>
      </c>
      <c r="T49" s="83">
        <f t="shared" si="8"/>
        <v>0</v>
      </c>
      <c r="U49" s="132">
        <f t="shared" si="9"/>
        <v>0</v>
      </c>
      <c r="V49" s="133">
        <f t="shared" si="9"/>
        <v>0</v>
      </c>
      <c r="W49" s="134">
        <f t="shared" si="10"/>
        <v>0</v>
      </c>
      <c r="X49" s="5">
        <f t="shared" si="11"/>
        <v>0</v>
      </c>
    </row>
    <row r="50" spans="1:26" x14ac:dyDescent="0.25">
      <c r="A50" s="80">
        <v>11471</v>
      </c>
      <c r="B50" s="104" t="s">
        <v>42</v>
      </c>
      <c r="C50" s="81"/>
      <c r="D50" s="82"/>
      <c r="E50" s="83"/>
      <c r="F50" s="107"/>
      <c r="G50" s="107"/>
      <c r="H50" s="107"/>
      <c r="I50" s="107"/>
      <c r="J50" s="107"/>
      <c r="K50" s="107"/>
      <c r="L50" s="107"/>
      <c r="M50" s="107"/>
      <c r="N50" s="107"/>
      <c r="O50" s="110"/>
      <c r="P50" s="108"/>
      <c r="Q50" s="109"/>
      <c r="R50" s="81">
        <f t="shared" si="8"/>
        <v>0</v>
      </c>
      <c r="S50" s="82">
        <f t="shared" si="8"/>
        <v>0</v>
      </c>
      <c r="T50" s="83">
        <f t="shared" si="8"/>
        <v>0</v>
      </c>
      <c r="U50" s="132">
        <f t="shared" si="9"/>
        <v>0</v>
      </c>
      <c r="V50" s="133">
        <f t="shared" si="9"/>
        <v>0</v>
      </c>
      <c r="W50" s="134">
        <f t="shared" si="10"/>
        <v>0</v>
      </c>
      <c r="X50" s="5">
        <f t="shared" si="11"/>
        <v>0</v>
      </c>
    </row>
    <row r="51" spans="1:26" x14ac:dyDescent="0.25">
      <c r="A51" s="80">
        <v>11472</v>
      </c>
      <c r="B51" s="104" t="s">
        <v>43</v>
      </c>
      <c r="C51" s="81"/>
      <c r="D51" s="82"/>
      <c r="E51" s="83"/>
      <c r="F51" s="107"/>
      <c r="G51" s="107"/>
      <c r="H51" s="107"/>
      <c r="I51" s="107"/>
      <c r="J51" s="107"/>
      <c r="K51" s="107"/>
      <c r="L51" s="107"/>
      <c r="M51" s="107"/>
      <c r="N51" s="107"/>
      <c r="O51" s="109"/>
      <c r="P51" s="109"/>
      <c r="Q51" s="109"/>
      <c r="R51" s="81">
        <f t="shared" si="8"/>
        <v>0</v>
      </c>
      <c r="S51" s="82">
        <f t="shared" si="8"/>
        <v>0</v>
      </c>
      <c r="T51" s="83">
        <f t="shared" si="8"/>
        <v>0</v>
      </c>
      <c r="U51" s="132">
        <f t="shared" si="9"/>
        <v>0</v>
      </c>
      <c r="V51" s="133">
        <f t="shared" si="9"/>
        <v>0</v>
      </c>
      <c r="W51" s="134">
        <f t="shared" si="10"/>
        <v>0</v>
      </c>
      <c r="X51" s="5">
        <f t="shared" si="11"/>
        <v>0</v>
      </c>
    </row>
    <row r="52" spans="1:26" x14ac:dyDescent="0.25">
      <c r="A52" s="80">
        <v>11460</v>
      </c>
      <c r="B52" s="104" t="s">
        <v>44</v>
      </c>
      <c r="C52" s="81"/>
      <c r="D52" s="82"/>
      <c r="E52" s="83"/>
      <c r="F52" s="107"/>
      <c r="G52" s="107"/>
      <c r="H52" s="107"/>
      <c r="I52" s="107"/>
      <c r="J52" s="107"/>
      <c r="K52" s="107"/>
      <c r="L52" s="107"/>
      <c r="M52" s="107"/>
      <c r="N52" s="107"/>
      <c r="O52" s="108"/>
      <c r="P52" s="108"/>
      <c r="Q52" s="108"/>
      <c r="R52" s="81">
        <f t="shared" si="8"/>
        <v>0</v>
      </c>
      <c r="S52" s="82">
        <f t="shared" si="8"/>
        <v>0</v>
      </c>
      <c r="T52" s="83">
        <f t="shared" si="8"/>
        <v>0</v>
      </c>
      <c r="U52" s="132">
        <f t="shared" si="9"/>
        <v>0</v>
      </c>
      <c r="V52" s="133">
        <f t="shared" si="9"/>
        <v>0</v>
      </c>
      <c r="W52" s="134">
        <f t="shared" si="10"/>
        <v>0</v>
      </c>
      <c r="X52" s="5">
        <f t="shared" si="11"/>
        <v>0</v>
      </c>
    </row>
    <row r="53" spans="1:26" x14ac:dyDescent="0.25">
      <c r="A53" s="80">
        <v>11419</v>
      </c>
      <c r="B53" s="125" t="s">
        <v>45</v>
      </c>
      <c r="C53" s="81"/>
      <c r="D53" s="82"/>
      <c r="E53" s="83"/>
      <c r="F53" s="81"/>
      <c r="G53" s="82"/>
      <c r="H53" s="83"/>
      <c r="I53" s="81"/>
      <c r="J53" s="82"/>
      <c r="K53" s="83"/>
      <c r="L53" s="81"/>
      <c r="M53" s="82"/>
      <c r="N53" s="83"/>
      <c r="O53" s="86"/>
      <c r="P53" s="87"/>
      <c r="Q53" s="88"/>
      <c r="R53" s="81">
        <f t="shared" si="8"/>
        <v>0</v>
      </c>
      <c r="S53" s="82">
        <f t="shared" si="8"/>
        <v>0</v>
      </c>
      <c r="T53" s="83">
        <f t="shared" si="8"/>
        <v>0</v>
      </c>
      <c r="U53" s="132">
        <f t="shared" si="9"/>
        <v>0</v>
      </c>
      <c r="V53" s="133">
        <f t="shared" si="9"/>
        <v>0</v>
      </c>
      <c r="W53" s="134">
        <f t="shared" si="10"/>
        <v>0</v>
      </c>
      <c r="X53" s="5">
        <f t="shared" si="11"/>
        <v>0</v>
      </c>
    </row>
    <row r="54" spans="1:26" x14ac:dyDescent="0.25">
      <c r="A54" s="80">
        <v>11416</v>
      </c>
      <c r="B54" s="125" t="s">
        <v>46</v>
      </c>
      <c r="C54" s="81"/>
      <c r="D54" s="82"/>
      <c r="E54" s="83"/>
      <c r="F54" s="81"/>
      <c r="G54" s="82"/>
      <c r="H54" s="83"/>
      <c r="I54" s="81"/>
      <c r="J54" s="82"/>
      <c r="K54" s="83"/>
      <c r="L54" s="81"/>
      <c r="M54" s="82"/>
      <c r="N54" s="83"/>
      <c r="O54" s="86"/>
      <c r="P54" s="87"/>
      <c r="Q54" s="88"/>
      <c r="R54" s="81">
        <f t="shared" si="8"/>
        <v>0</v>
      </c>
      <c r="S54" s="82">
        <f t="shared" si="8"/>
        <v>0</v>
      </c>
      <c r="T54" s="83">
        <f t="shared" si="8"/>
        <v>0</v>
      </c>
      <c r="U54" s="132">
        <f t="shared" si="9"/>
        <v>0</v>
      </c>
      <c r="V54" s="133">
        <f t="shared" si="9"/>
        <v>0</v>
      </c>
      <c r="W54" s="134">
        <f t="shared" si="10"/>
        <v>0</v>
      </c>
      <c r="X54" s="5">
        <f t="shared" si="11"/>
        <v>0</v>
      </c>
    </row>
    <row r="55" spans="1:26" x14ac:dyDescent="0.25">
      <c r="A55" s="80">
        <v>11452</v>
      </c>
      <c r="B55" s="104" t="s">
        <v>47</v>
      </c>
      <c r="C55" s="81"/>
      <c r="D55" s="82"/>
      <c r="E55" s="83"/>
      <c r="F55" s="107"/>
      <c r="G55" s="107"/>
      <c r="H55" s="107"/>
      <c r="I55" s="107"/>
      <c r="J55" s="107"/>
      <c r="K55" s="107"/>
      <c r="L55" s="107"/>
      <c r="M55" s="107"/>
      <c r="N55" s="107"/>
      <c r="O55" s="109"/>
      <c r="P55" s="108"/>
      <c r="Q55" s="108"/>
      <c r="R55" s="81">
        <f t="shared" si="8"/>
        <v>0</v>
      </c>
      <c r="S55" s="82">
        <f t="shared" si="8"/>
        <v>0</v>
      </c>
      <c r="T55" s="83">
        <f t="shared" si="8"/>
        <v>0</v>
      </c>
      <c r="U55" s="132">
        <f t="shared" si="9"/>
        <v>0</v>
      </c>
      <c r="V55" s="133">
        <f t="shared" si="9"/>
        <v>0</v>
      </c>
      <c r="W55" s="134">
        <f t="shared" si="10"/>
        <v>0</v>
      </c>
      <c r="X55" s="5">
        <f t="shared" si="11"/>
        <v>0</v>
      </c>
    </row>
    <row r="56" spans="1:26" x14ac:dyDescent="0.25">
      <c r="A56" s="80">
        <v>11459</v>
      </c>
      <c r="B56" s="104" t="s">
        <v>48</v>
      </c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9"/>
      <c r="P56" s="109"/>
      <c r="Q56" s="108"/>
      <c r="R56" s="81">
        <f t="shared" si="8"/>
        <v>0</v>
      </c>
      <c r="S56" s="82">
        <f t="shared" si="8"/>
        <v>0</v>
      </c>
      <c r="T56" s="83">
        <f t="shared" si="8"/>
        <v>0</v>
      </c>
      <c r="U56" s="132">
        <f t="shared" si="9"/>
        <v>0</v>
      </c>
      <c r="V56" s="133">
        <f t="shared" si="9"/>
        <v>0</v>
      </c>
      <c r="W56" s="134">
        <f t="shared" si="10"/>
        <v>0</v>
      </c>
      <c r="X56" s="5">
        <f t="shared" si="11"/>
        <v>0</v>
      </c>
      <c r="Y56" s="14" t="s">
        <v>149</v>
      </c>
    </row>
    <row r="57" spans="1:26" x14ac:dyDescent="0.25">
      <c r="A57" s="80">
        <v>11470</v>
      </c>
      <c r="B57" s="104" t="s">
        <v>49</v>
      </c>
      <c r="C57" s="81"/>
      <c r="D57" s="82"/>
      <c r="E57" s="83"/>
      <c r="F57" s="107"/>
      <c r="G57" s="107"/>
      <c r="H57" s="107"/>
      <c r="I57" s="107"/>
      <c r="J57" s="107"/>
      <c r="K57" s="107"/>
      <c r="L57" s="107"/>
      <c r="M57" s="107"/>
      <c r="N57" s="107"/>
      <c r="O57" s="109"/>
      <c r="P57" s="108"/>
      <c r="Q57" s="108"/>
      <c r="R57" s="81">
        <f t="shared" si="8"/>
        <v>0</v>
      </c>
      <c r="S57" s="82">
        <f t="shared" si="8"/>
        <v>0</v>
      </c>
      <c r="T57" s="83">
        <f t="shared" si="8"/>
        <v>0</v>
      </c>
      <c r="U57" s="132">
        <f t="shared" si="9"/>
        <v>0</v>
      </c>
      <c r="V57" s="133">
        <f t="shared" si="9"/>
        <v>0</v>
      </c>
      <c r="W57" s="134">
        <f t="shared" si="10"/>
        <v>0</v>
      </c>
      <c r="X57" s="5">
        <f t="shared" si="11"/>
        <v>0</v>
      </c>
    </row>
    <row r="58" spans="1:26" x14ac:dyDescent="0.25">
      <c r="A58" s="80">
        <v>11491</v>
      </c>
      <c r="B58" s="104" t="s">
        <v>96</v>
      </c>
      <c r="C58" s="81"/>
      <c r="D58" s="82"/>
      <c r="E58" s="83"/>
      <c r="F58" s="107"/>
      <c r="G58" s="107"/>
      <c r="H58" s="107"/>
      <c r="I58" s="107"/>
      <c r="J58" s="107"/>
      <c r="K58" s="107"/>
      <c r="L58" s="107"/>
      <c r="M58" s="107"/>
      <c r="N58" s="107"/>
      <c r="O58" s="109"/>
      <c r="P58" s="109"/>
      <c r="Q58" s="109"/>
      <c r="R58" s="81">
        <f>C58+F58+I58+L58+O58</f>
        <v>0</v>
      </c>
      <c r="S58" s="82">
        <f>D58+G58+J58+M58+P58</f>
        <v>0</v>
      </c>
      <c r="T58" s="83">
        <f>E58+H58+K58+N58+Q58</f>
        <v>0</v>
      </c>
      <c r="U58" s="132">
        <f>R58*8.9</f>
        <v>0</v>
      </c>
      <c r="V58" s="133">
        <f>S58*8.9</f>
        <v>0</v>
      </c>
      <c r="W58" s="134">
        <f>T58*11.12</f>
        <v>0</v>
      </c>
      <c r="X58" s="5">
        <f>SUM(U58:W58)</f>
        <v>0</v>
      </c>
      <c r="Z58" s="1">
        <f>5+4+6+4+5+4+5+6.5+1+9+7+2+6+1+2+9</f>
        <v>76.5</v>
      </c>
    </row>
    <row r="59" spans="1:26" x14ac:dyDescent="0.25">
      <c r="A59" s="80">
        <v>11412</v>
      </c>
      <c r="B59" s="104" t="s">
        <v>51</v>
      </c>
      <c r="C59" s="81"/>
      <c r="D59" s="82"/>
      <c r="E59" s="83"/>
      <c r="F59" s="81"/>
      <c r="G59" s="82"/>
      <c r="H59" s="83"/>
      <c r="I59" s="81"/>
      <c r="J59" s="82"/>
      <c r="K59" s="83"/>
      <c r="L59" s="81"/>
      <c r="M59" s="82"/>
      <c r="N59" s="83"/>
      <c r="O59" s="86"/>
      <c r="P59" s="87"/>
      <c r="Q59" s="88"/>
      <c r="R59" s="81">
        <f t="shared" si="8"/>
        <v>0</v>
      </c>
      <c r="S59" s="82">
        <f t="shared" si="8"/>
        <v>0</v>
      </c>
      <c r="T59" s="83">
        <f t="shared" si="8"/>
        <v>0</v>
      </c>
      <c r="U59" s="132">
        <f t="shared" si="9"/>
        <v>0</v>
      </c>
      <c r="V59" s="133">
        <f t="shared" si="9"/>
        <v>0</v>
      </c>
      <c r="W59" s="134">
        <f t="shared" si="10"/>
        <v>0</v>
      </c>
      <c r="X59" s="5">
        <f t="shared" si="11"/>
        <v>0</v>
      </c>
    </row>
    <row r="60" spans="1:26" x14ac:dyDescent="0.25">
      <c r="A60" s="80">
        <v>11418</v>
      </c>
      <c r="B60" s="104" t="s">
        <v>52</v>
      </c>
      <c r="C60" s="81"/>
      <c r="D60" s="82"/>
      <c r="E60" s="83"/>
      <c r="F60" s="81"/>
      <c r="G60" s="82"/>
      <c r="H60" s="83"/>
      <c r="I60" s="81"/>
      <c r="J60" s="82"/>
      <c r="K60" s="83"/>
      <c r="L60" s="81"/>
      <c r="M60" s="82"/>
      <c r="N60" s="83"/>
      <c r="O60" s="86"/>
      <c r="P60" s="87"/>
      <c r="Q60" s="88"/>
      <c r="R60" s="81">
        <f t="shared" si="8"/>
        <v>0</v>
      </c>
      <c r="S60" s="82">
        <f t="shared" si="8"/>
        <v>0</v>
      </c>
      <c r="T60" s="83">
        <f t="shared" si="8"/>
        <v>0</v>
      </c>
      <c r="U60" s="132">
        <f t="shared" si="9"/>
        <v>0</v>
      </c>
      <c r="V60" s="133">
        <f t="shared" si="9"/>
        <v>0</v>
      </c>
      <c r="W60" s="134">
        <f t="shared" si="10"/>
        <v>0</v>
      </c>
      <c r="X60" s="5">
        <f t="shared" si="11"/>
        <v>0</v>
      </c>
    </row>
    <row r="61" spans="1:26" x14ac:dyDescent="0.25">
      <c r="C61" s="4">
        <f t="shared" ref="C61:X61" si="12">SUM(C26:C60)</f>
        <v>0</v>
      </c>
      <c r="D61" s="4">
        <f t="shared" si="12"/>
        <v>0</v>
      </c>
      <c r="E61" s="4">
        <f t="shared" si="12"/>
        <v>0</v>
      </c>
      <c r="F61" s="4">
        <f t="shared" si="12"/>
        <v>0</v>
      </c>
      <c r="G61" s="4">
        <f t="shared" si="12"/>
        <v>0</v>
      </c>
      <c r="H61" s="4">
        <f t="shared" si="12"/>
        <v>0</v>
      </c>
      <c r="I61" s="4">
        <f t="shared" si="12"/>
        <v>0</v>
      </c>
      <c r="J61" s="4">
        <f t="shared" si="12"/>
        <v>0</v>
      </c>
      <c r="K61" s="4">
        <f t="shared" si="12"/>
        <v>0</v>
      </c>
      <c r="L61" s="4">
        <f t="shared" si="12"/>
        <v>0</v>
      </c>
      <c r="M61" s="4">
        <f t="shared" si="12"/>
        <v>0</v>
      </c>
      <c r="N61" s="4">
        <f t="shared" si="12"/>
        <v>0</v>
      </c>
      <c r="O61" s="89">
        <f t="shared" si="12"/>
        <v>0</v>
      </c>
      <c r="P61" s="89">
        <f t="shared" si="12"/>
        <v>0</v>
      </c>
      <c r="Q61" s="89">
        <f t="shared" si="12"/>
        <v>0</v>
      </c>
      <c r="R61" s="4">
        <f t="shared" si="12"/>
        <v>0</v>
      </c>
      <c r="S61" s="4">
        <f t="shared" si="12"/>
        <v>0</v>
      </c>
      <c r="T61" s="4">
        <f t="shared" si="12"/>
        <v>0</v>
      </c>
      <c r="U61" s="135">
        <f t="shared" si="12"/>
        <v>0</v>
      </c>
      <c r="V61" s="135">
        <f t="shared" si="12"/>
        <v>0</v>
      </c>
      <c r="W61" s="135">
        <f t="shared" si="12"/>
        <v>0</v>
      </c>
      <c r="X61" s="5">
        <f t="shared" si="12"/>
        <v>0</v>
      </c>
    </row>
    <row r="62" spans="1:26" x14ac:dyDescent="0.25">
      <c r="L62" s="2">
        <f>94+83.5+88+88+88-L21-L61-M21-M61</f>
        <v>441.5</v>
      </c>
      <c r="N62" s="2">
        <f>76.5-N21-N61</f>
        <v>76.5</v>
      </c>
      <c r="R62" s="2">
        <f>+R61-R27-R28-R30-R31-R35-R42-R47-R49-R59</f>
        <v>0</v>
      </c>
    </row>
    <row r="64" spans="1:26" ht="18.75" x14ac:dyDescent="0.25">
      <c r="A64" s="203" t="s">
        <v>82</v>
      </c>
      <c r="B64" s="204"/>
      <c r="C64" s="197" t="s">
        <v>8</v>
      </c>
      <c r="D64" s="197"/>
      <c r="E64" s="197"/>
      <c r="F64" s="197" t="s">
        <v>8</v>
      </c>
      <c r="G64" s="197"/>
      <c r="H64" s="197"/>
      <c r="I64" s="197" t="s">
        <v>8</v>
      </c>
      <c r="J64" s="197"/>
      <c r="K64" s="197"/>
      <c r="L64" s="197" t="s">
        <v>8</v>
      </c>
      <c r="M64" s="197"/>
      <c r="N64" s="197"/>
      <c r="O64" s="198" t="s">
        <v>8</v>
      </c>
      <c r="P64" s="198"/>
      <c r="Q64" s="198"/>
      <c r="R64" s="197" t="s">
        <v>13</v>
      </c>
      <c r="S64" s="197"/>
      <c r="T64" s="197"/>
      <c r="U64" s="197" t="s">
        <v>12</v>
      </c>
      <c r="V64" s="197"/>
      <c r="W64" s="197"/>
      <c r="X64" s="197"/>
    </row>
    <row r="65" spans="1:25" ht="15" customHeight="1" x14ac:dyDescent="0.25">
      <c r="A65" s="78" t="s">
        <v>0</v>
      </c>
      <c r="B65" s="4" t="s">
        <v>1</v>
      </c>
      <c r="C65" s="202" t="s">
        <v>139</v>
      </c>
      <c r="D65" s="202"/>
      <c r="E65" s="202"/>
      <c r="F65" s="202" t="s">
        <v>140</v>
      </c>
      <c r="G65" s="202"/>
      <c r="H65" s="202"/>
      <c r="I65" s="197" t="s">
        <v>141</v>
      </c>
      <c r="J65" s="197"/>
      <c r="K65" s="197"/>
      <c r="L65" s="198" t="s">
        <v>142</v>
      </c>
      <c r="M65" s="198"/>
      <c r="N65" s="198"/>
      <c r="O65" s="198" t="s">
        <v>143</v>
      </c>
      <c r="P65" s="198"/>
      <c r="Q65" s="198"/>
      <c r="R65" s="3" t="s">
        <v>11</v>
      </c>
      <c r="S65" s="3" t="s">
        <v>10</v>
      </c>
      <c r="T65" s="3" t="s">
        <v>9</v>
      </c>
      <c r="U65" s="3" t="s">
        <v>11</v>
      </c>
      <c r="V65" s="3" t="s">
        <v>10</v>
      </c>
      <c r="W65" s="3" t="s">
        <v>9</v>
      </c>
      <c r="X65" s="4" t="s">
        <v>14</v>
      </c>
    </row>
    <row r="66" spans="1:25" x14ac:dyDescent="0.25">
      <c r="A66" s="78">
        <v>11494</v>
      </c>
      <c r="B66" s="130" t="s">
        <v>85</v>
      </c>
      <c r="C66" s="81">
        <v>20</v>
      </c>
      <c r="D66" s="82">
        <v>10</v>
      </c>
      <c r="E66" s="83">
        <v>7</v>
      </c>
      <c r="F66" s="81">
        <v>20</v>
      </c>
      <c r="G66" s="82">
        <v>10</v>
      </c>
      <c r="H66" s="83">
        <v>7</v>
      </c>
      <c r="I66" s="81"/>
      <c r="J66" s="82"/>
      <c r="K66" s="83"/>
      <c r="L66" s="81"/>
      <c r="M66" s="82"/>
      <c r="N66" s="83"/>
      <c r="O66" s="98"/>
      <c r="P66" s="100"/>
      <c r="Q66" s="99"/>
      <c r="R66" s="81">
        <f t="shared" ref="R66:T96" si="13">C66+F66+I66+L66+O66</f>
        <v>40</v>
      </c>
      <c r="S66" s="82">
        <f t="shared" si="13"/>
        <v>20</v>
      </c>
      <c r="T66" s="83">
        <f t="shared" si="13"/>
        <v>14</v>
      </c>
      <c r="U66" s="132">
        <f>R66*8.9</f>
        <v>356</v>
      </c>
      <c r="V66" s="133">
        <f>S66*8.9</f>
        <v>178</v>
      </c>
      <c r="W66" s="134">
        <f>T66*11.12</f>
        <v>155.67999999999998</v>
      </c>
      <c r="X66" s="5">
        <f t="shared" ref="X66:X96" si="14">SUM(U66:W66)</f>
        <v>689.68</v>
      </c>
    </row>
    <row r="67" spans="1:25" x14ac:dyDescent="0.25">
      <c r="A67" s="78">
        <v>11449</v>
      </c>
      <c r="B67" s="7" t="s">
        <v>59</v>
      </c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8"/>
      <c r="Q67" s="108"/>
      <c r="R67" s="81">
        <f t="shared" si="13"/>
        <v>0</v>
      </c>
      <c r="S67" s="82">
        <f t="shared" si="13"/>
        <v>0</v>
      </c>
      <c r="T67" s="83">
        <f t="shared" si="13"/>
        <v>0</v>
      </c>
      <c r="U67" s="132">
        <f>R67*8.9</f>
        <v>0</v>
      </c>
      <c r="V67" s="133">
        <f>S67*8.9</f>
        <v>0</v>
      </c>
      <c r="W67" s="134">
        <f>T67*11.12</f>
        <v>0</v>
      </c>
      <c r="X67" s="5">
        <f t="shared" si="14"/>
        <v>0</v>
      </c>
    </row>
    <row r="68" spans="1:25" x14ac:dyDescent="0.25">
      <c r="A68" s="94">
        <v>11290</v>
      </c>
      <c r="B68" s="103" t="s">
        <v>3</v>
      </c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8"/>
      <c r="Q68" s="108"/>
      <c r="R68" s="81">
        <f t="shared" si="13"/>
        <v>0</v>
      </c>
      <c r="S68" s="82">
        <f t="shared" si="13"/>
        <v>0</v>
      </c>
      <c r="T68" s="83">
        <f t="shared" si="13"/>
        <v>0</v>
      </c>
      <c r="U68" s="132">
        <f>R68*9.56</f>
        <v>0</v>
      </c>
      <c r="V68" s="133">
        <f>S68*9.56</f>
        <v>0</v>
      </c>
      <c r="W68" s="134">
        <f>T68*11.95</f>
        <v>0</v>
      </c>
      <c r="X68" s="5">
        <f t="shared" si="14"/>
        <v>0</v>
      </c>
    </row>
    <row r="69" spans="1:25" x14ac:dyDescent="0.25">
      <c r="A69" s="78">
        <v>11401</v>
      </c>
      <c r="B69" s="130" t="s">
        <v>109</v>
      </c>
      <c r="C69" s="81">
        <v>20</v>
      </c>
      <c r="D69" s="82">
        <v>10</v>
      </c>
      <c r="E69" s="83">
        <v>12</v>
      </c>
      <c r="F69" s="81">
        <v>20</v>
      </c>
      <c r="G69" s="82">
        <v>10</v>
      </c>
      <c r="H69" s="83">
        <v>12</v>
      </c>
      <c r="I69" s="81"/>
      <c r="J69" s="82"/>
      <c r="K69" s="83"/>
      <c r="L69" s="81"/>
      <c r="M69" s="82"/>
      <c r="N69" s="83"/>
      <c r="O69" s="98"/>
      <c r="P69" s="100"/>
      <c r="Q69" s="99"/>
      <c r="R69" s="98">
        <f t="shared" si="13"/>
        <v>40</v>
      </c>
      <c r="S69" s="82">
        <f t="shared" si="13"/>
        <v>20</v>
      </c>
      <c r="T69" s="83">
        <f t="shared" si="13"/>
        <v>24</v>
      </c>
      <c r="U69" s="132">
        <f>R69*8.9</f>
        <v>356</v>
      </c>
      <c r="V69" s="133">
        <f>S69*8.9</f>
        <v>178</v>
      </c>
      <c r="W69" s="134">
        <f>T69*11.12</f>
        <v>266.88</v>
      </c>
      <c r="X69" s="5">
        <f t="shared" si="14"/>
        <v>800.88</v>
      </c>
    </row>
    <row r="70" spans="1:25" x14ac:dyDescent="0.25">
      <c r="A70" s="78">
        <v>11499</v>
      </c>
      <c r="B70" s="130" t="s">
        <v>90</v>
      </c>
      <c r="C70" s="81">
        <v>20</v>
      </c>
      <c r="D70" s="82">
        <v>10</v>
      </c>
      <c r="E70" s="83">
        <v>12</v>
      </c>
      <c r="F70" s="81">
        <v>20</v>
      </c>
      <c r="G70" s="82">
        <v>10</v>
      </c>
      <c r="H70" s="83">
        <v>12</v>
      </c>
      <c r="I70" s="81"/>
      <c r="J70" s="82"/>
      <c r="K70" s="83"/>
      <c r="L70" s="81"/>
      <c r="M70" s="82"/>
      <c r="N70" s="83"/>
      <c r="O70" s="98"/>
      <c r="P70" s="100"/>
      <c r="Q70" s="99"/>
      <c r="R70" s="81">
        <f t="shared" si="13"/>
        <v>40</v>
      </c>
      <c r="S70" s="82">
        <f t="shared" si="13"/>
        <v>20</v>
      </c>
      <c r="T70" s="83">
        <f t="shared" si="13"/>
        <v>24</v>
      </c>
      <c r="U70" s="132">
        <f>R70*8.9</f>
        <v>356</v>
      </c>
      <c r="V70" s="133">
        <f>S70*8.9</f>
        <v>178</v>
      </c>
      <c r="W70" s="134">
        <f>T70*11.12</f>
        <v>266.88</v>
      </c>
      <c r="X70" s="5">
        <f t="shared" si="14"/>
        <v>800.88</v>
      </c>
    </row>
    <row r="71" spans="1:25" x14ac:dyDescent="0.25">
      <c r="A71" s="94">
        <v>11363</v>
      </c>
      <c r="B71" s="103" t="s">
        <v>5</v>
      </c>
      <c r="C71" s="81"/>
      <c r="D71" s="82"/>
      <c r="E71" s="83"/>
      <c r="F71" s="81"/>
      <c r="G71" s="82"/>
      <c r="H71" s="83"/>
      <c r="I71" s="81"/>
      <c r="J71" s="82"/>
      <c r="K71" s="83"/>
      <c r="L71" s="81"/>
      <c r="M71" s="82"/>
      <c r="N71" s="83"/>
      <c r="O71" s="81"/>
      <c r="P71" s="87"/>
      <c r="Q71" s="88"/>
      <c r="R71" s="81">
        <f t="shared" si="13"/>
        <v>0</v>
      </c>
      <c r="S71" s="82">
        <f t="shared" si="13"/>
        <v>0</v>
      </c>
      <c r="T71" s="83">
        <f t="shared" si="13"/>
        <v>0</v>
      </c>
      <c r="U71" s="132">
        <f>R71*9.56</f>
        <v>0</v>
      </c>
      <c r="V71" s="133">
        <f>S71*9.56</f>
        <v>0</v>
      </c>
      <c r="W71" s="134">
        <f>T71*11.95</f>
        <v>0</v>
      </c>
      <c r="X71" s="5">
        <f t="shared" si="14"/>
        <v>0</v>
      </c>
    </row>
    <row r="72" spans="1:25" x14ac:dyDescent="0.25">
      <c r="A72" s="94">
        <v>11291</v>
      </c>
      <c r="B72" s="103" t="s">
        <v>6</v>
      </c>
      <c r="C72" s="81">
        <v>20</v>
      </c>
      <c r="D72" s="82">
        <v>0</v>
      </c>
      <c r="E72" s="83">
        <v>0</v>
      </c>
      <c r="F72" s="81">
        <v>20</v>
      </c>
      <c r="G72" s="82">
        <v>0</v>
      </c>
      <c r="H72" s="83">
        <v>0</v>
      </c>
      <c r="I72" s="81"/>
      <c r="J72" s="82"/>
      <c r="K72" s="83"/>
      <c r="L72" s="81"/>
      <c r="M72" s="82"/>
      <c r="N72" s="83"/>
      <c r="O72" s="81"/>
      <c r="P72" s="87"/>
      <c r="Q72" s="88"/>
      <c r="R72" s="81">
        <f t="shared" si="13"/>
        <v>40</v>
      </c>
      <c r="S72" s="82">
        <f t="shared" si="13"/>
        <v>0</v>
      </c>
      <c r="T72" s="83">
        <f t="shared" si="13"/>
        <v>0</v>
      </c>
      <c r="U72" s="132">
        <f>R72*9.56</f>
        <v>382.40000000000003</v>
      </c>
      <c r="V72" s="133">
        <f>S72*9.56</f>
        <v>0</v>
      </c>
      <c r="W72" s="134">
        <f>T72*11.95</f>
        <v>0</v>
      </c>
      <c r="X72" s="5">
        <f t="shared" si="14"/>
        <v>382.40000000000003</v>
      </c>
      <c r="Y72" s="14" t="s">
        <v>128</v>
      </c>
    </row>
    <row r="73" spans="1:25" x14ac:dyDescent="0.25">
      <c r="A73" s="78">
        <v>11502</v>
      </c>
      <c r="B73" s="130" t="s">
        <v>92</v>
      </c>
      <c r="C73" s="81">
        <v>20</v>
      </c>
      <c r="D73" s="82">
        <v>10</v>
      </c>
      <c r="E73" s="83">
        <v>12</v>
      </c>
      <c r="F73" s="81">
        <v>20</v>
      </c>
      <c r="G73" s="82">
        <v>10</v>
      </c>
      <c r="H73" s="83">
        <v>12</v>
      </c>
      <c r="I73" s="81"/>
      <c r="J73" s="82"/>
      <c r="K73" s="83"/>
      <c r="L73" s="81"/>
      <c r="M73" s="82"/>
      <c r="N73" s="83"/>
      <c r="O73" s="98"/>
      <c r="P73" s="100"/>
      <c r="Q73" s="99"/>
      <c r="R73" s="81">
        <f t="shared" si="13"/>
        <v>40</v>
      </c>
      <c r="S73" s="82">
        <f t="shared" si="13"/>
        <v>20</v>
      </c>
      <c r="T73" s="83">
        <f t="shared" si="13"/>
        <v>24</v>
      </c>
      <c r="U73" s="132">
        <f t="shared" ref="U73:V87" si="15">R73*8.9</f>
        <v>356</v>
      </c>
      <c r="V73" s="133">
        <f t="shared" si="15"/>
        <v>178</v>
      </c>
      <c r="W73" s="134">
        <f t="shared" ref="W73:W87" si="16">T73*11.12</f>
        <v>266.88</v>
      </c>
      <c r="X73" s="5">
        <f t="shared" si="14"/>
        <v>800.88</v>
      </c>
    </row>
    <row r="74" spans="1:25" x14ac:dyDescent="0.25">
      <c r="A74" s="78">
        <v>11408</v>
      </c>
      <c r="B74" s="130" t="s">
        <v>65</v>
      </c>
      <c r="C74" s="81">
        <v>20</v>
      </c>
      <c r="D74" s="82">
        <v>10</v>
      </c>
      <c r="E74" s="83">
        <v>12</v>
      </c>
      <c r="F74" s="81">
        <v>20</v>
      </c>
      <c r="G74" s="82">
        <v>10</v>
      </c>
      <c r="H74" s="83">
        <v>12</v>
      </c>
      <c r="I74" s="81"/>
      <c r="J74" s="82"/>
      <c r="K74" s="83"/>
      <c r="L74" s="81"/>
      <c r="M74" s="82"/>
      <c r="N74" s="83"/>
      <c r="O74" s="98"/>
      <c r="P74" s="87"/>
      <c r="Q74" s="88"/>
      <c r="R74" s="81">
        <f t="shared" si="13"/>
        <v>40</v>
      </c>
      <c r="S74" s="82">
        <f t="shared" si="13"/>
        <v>20</v>
      </c>
      <c r="T74" s="83">
        <f t="shared" si="13"/>
        <v>24</v>
      </c>
      <c r="U74" s="132">
        <f t="shared" si="15"/>
        <v>356</v>
      </c>
      <c r="V74" s="133">
        <f t="shared" si="15"/>
        <v>178</v>
      </c>
      <c r="W74" s="134">
        <f t="shared" si="16"/>
        <v>266.88</v>
      </c>
      <c r="X74" s="5">
        <f t="shared" si="14"/>
        <v>800.88</v>
      </c>
    </row>
    <row r="75" spans="1:25" x14ac:dyDescent="0.25">
      <c r="A75" s="78">
        <v>11428</v>
      </c>
      <c r="B75" s="130" t="s">
        <v>66</v>
      </c>
      <c r="C75" s="81">
        <v>20</v>
      </c>
      <c r="D75" s="82">
        <v>10</v>
      </c>
      <c r="E75" s="83">
        <v>12</v>
      </c>
      <c r="F75" s="81">
        <v>20</v>
      </c>
      <c r="G75" s="82">
        <v>10</v>
      </c>
      <c r="H75" s="83">
        <v>12</v>
      </c>
      <c r="I75" s="81"/>
      <c r="J75" s="82"/>
      <c r="K75" s="83"/>
      <c r="L75" s="81"/>
      <c r="M75" s="82"/>
      <c r="N75" s="83"/>
      <c r="O75" s="98"/>
      <c r="P75" s="87"/>
      <c r="Q75" s="88"/>
      <c r="R75" s="81">
        <f t="shared" si="13"/>
        <v>40</v>
      </c>
      <c r="S75" s="82">
        <f t="shared" si="13"/>
        <v>20</v>
      </c>
      <c r="T75" s="83">
        <f t="shared" si="13"/>
        <v>24</v>
      </c>
      <c r="U75" s="132">
        <f t="shared" si="15"/>
        <v>356</v>
      </c>
      <c r="V75" s="133">
        <f t="shared" si="15"/>
        <v>178</v>
      </c>
      <c r="W75" s="134">
        <f t="shared" si="16"/>
        <v>266.88</v>
      </c>
      <c r="X75" s="5">
        <f t="shared" si="14"/>
        <v>800.88</v>
      </c>
    </row>
    <row r="76" spans="1:25" x14ac:dyDescent="0.25">
      <c r="A76" s="78">
        <v>11529</v>
      </c>
      <c r="B76" s="111" t="s">
        <v>133</v>
      </c>
      <c r="C76" s="81"/>
      <c r="D76" s="82"/>
      <c r="E76" s="83"/>
      <c r="F76" s="81"/>
      <c r="G76" s="82"/>
      <c r="H76" s="83"/>
      <c r="I76" s="81"/>
      <c r="J76" s="82"/>
      <c r="K76" s="83"/>
      <c r="L76" s="81"/>
      <c r="M76" s="82"/>
      <c r="N76" s="83"/>
      <c r="O76" s="98"/>
      <c r="P76" s="100"/>
      <c r="Q76" s="99"/>
      <c r="R76" s="98">
        <f t="shared" si="13"/>
        <v>0</v>
      </c>
      <c r="S76" s="82">
        <f t="shared" si="13"/>
        <v>0</v>
      </c>
      <c r="T76" s="83">
        <f t="shared" si="13"/>
        <v>0</v>
      </c>
      <c r="U76" s="132">
        <f t="shared" si="15"/>
        <v>0</v>
      </c>
      <c r="V76" s="133">
        <f t="shared" si="15"/>
        <v>0</v>
      </c>
      <c r="W76" s="134">
        <f t="shared" si="16"/>
        <v>0</v>
      </c>
      <c r="X76" s="5">
        <f t="shared" si="14"/>
        <v>0</v>
      </c>
    </row>
    <row r="77" spans="1:25" x14ac:dyDescent="0.25">
      <c r="A77" s="78">
        <v>11480</v>
      </c>
      <c r="B77" s="7" t="s">
        <v>67</v>
      </c>
      <c r="C77" s="81"/>
      <c r="D77" s="82"/>
      <c r="E77" s="83"/>
      <c r="F77" s="81"/>
      <c r="G77" s="82"/>
      <c r="H77" s="83"/>
      <c r="I77" s="81"/>
      <c r="J77" s="82"/>
      <c r="K77" s="83"/>
      <c r="L77" s="81"/>
      <c r="M77" s="82"/>
      <c r="N77" s="83"/>
      <c r="O77" s="86"/>
      <c r="P77" s="87"/>
      <c r="Q77" s="88"/>
      <c r="R77" s="81">
        <f t="shared" si="13"/>
        <v>0</v>
      </c>
      <c r="S77" s="82">
        <f t="shared" si="13"/>
        <v>0</v>
      </c>
      <c r="T77" s="83">
        <f t="shared" si="13"/>
        <v>0</v>
      </c>
      <c r="U77" s="132">
        <f t="shared" si="15"/>
        <v>0</v>
      </c>
      <c r="V77" s="133">
        <f t="shared" si="15"/>
        <v>0</v>
      </c>
      <c r="W77" s="134">
        <f t="shared" si="16"/>
        <v>0</v>
      </c>
      <c r="X77" s="5">
        <f t="shared" si="14"/>
        <v>0</v>
      </c>
    </row>
    <row r="78" spans="1:25" x14ac:dyDescent="0.25">
      <c r="A78" s="78">
        <v>11517</v>
      </c>
      <c r="B78" s="130" t="s">
        <v>106</v>
      </c>
      <c r="C78" s="81">
        <v>15</v>
      </c>
      <c r="D78" s="82">
        <v>10</v>
      </c>
      <c r="E78" s="83">
        <v>14</v>
      </c>
      <c r="F78" s="81">
        <v>15</v>
      </c>
      <c r="G78" s="82">
        <v>10</v>
      </c>
      <c r="H78" s="83">
        <v>14</v>
      </c>
      <c r="I78" s="81"/>
      <c r="J78" s="82"/>
      <c r="K78" s="83"/>
      <c r="L78" s="81"/>
      <c r="M78" s="82"/>
      <c r="N78" s="83"/>
      <c r="O78" s="98"/>
      <c r="P78" s="100"/>
      <c r="Q78" s="99"/>
      <c r="R78" s="98">
        <f t="shared" si="13"/>
        <v>30</v>
      </c>
      <c r="S78" s="82">
        <f t="shared" si="13"/>
        <v>20</v>
      </c>
      <c r="T78" s="83">
        <f t="shared" si="13"/>
        <v>28</v>
      </c>
      <c r="U78" s="132">
        <f t="shared" si="15"/>
        <v>267</v>
      </c>
      <c r="V78" s="133">
        <f t="shared" si="15"/>
        <v>178</v>
      </c>
      <c r="W78" s="134">
        <f t="shared" si="16"/>
        <v>311.35999999999996</v>
      </c>
      <c r="X78" s="5">
        <f t="shared" si="14"/>
        <v>756.3599999999999</v>
      </c>
    </row>
    <row r="79" spans="1:25" x14ac:dyDescent="0.25">
      <c r="A79" s="78">
        <v>11514</v>
      </c>
      <c r="B79" s="130" t="s">
        <v>108</v>
      </c>
      <c r="C79" s="128">
        <v>20</v>
      </c>
      <c r="D79" s="128">
        <v>8</v>
      </c>
      <c r="E79" s="128">
        <v>5</v>
      </c>
      <c r="F79" s="81">
        <v>20</v>
      </c>
      <c r="G79" s="82">
        <v>8</v>
      </c>
      <c r="H79" s="83">
        <v>5</v>
      </c>
      <c r="I79" s="81"/>
      <c r="J79" s="82"/>
      <c r="K79" s="83"/>
      <c r="L79" s="81"/>
      <c r="M79" s="82"/>
      <c r="N79" s="83"/>
      <c r="O79" s="98"/>
      <c r="P79" s="100"/>
      <c r="Q79" s="99"/>
      <c r="R79" s="98">
        <f t="shared" si="13"/>
        <v>40</v>
      </c>
      <c r="S79" s="82">
        <f t="shared" si="13"/>
        <v>16</v>
      </c>
      <c r="T79" s="83">
        <f t="shared" si="13"/>
        <v>10</v>
      </c>
      <c r="U79" s="132">
        <f t="shared" si="15"/>
        <v>356</v>
      </c>
      <c r="V79" s="133">
        <f t="shared" si="15"/>
        <v>142.4</v>
      </c>
      <c r="W79" s="134">
        <f t="shared" si="16"/>
        <v>111.19999999999999</v>
      </c>
      <c r="X79" s="5">
        <f t="shared" si="14"/>
        <v>609.59999999999991</v>
      </c>
    </row>
    <row r="80" spans="1:25" x14ac:dyDescent="0.25">
      <c r="A80" s="78">
        <v>11500</v>
      </c>
      <c r="B80" s="130" t="s">
        <v>91</v>
      </c>
      <c r="C80" s="81">
        <v>20</v>
      </c>
      <c r="D80" s="82">
        <v>10</v>
      </c>
      <c r="E80" s="83">
        <v>12</v>
      </c>
      <c r="F80" s="81">
        <v>20</v>
      </c>
      <c r="G80" s="82">
        <v>10</v>
      </c>
      <c r="H80" s="83">
        <v>12</v>
      </c>
      <c r="I80" s="81"/>
      <c r="J80" s="82"/>
      <c r="K80" s="83"/>
      <c r="L80" s="81"/>
      <c r="M80" s="82"/>
      <c r="N80" s="83"/>
      <c r="O80" s="98"/>
      <c r="P80" s="87"/>
      <c r="Q80" s="88"/>
      <c r="R80" s="81">
        <f t="shared" si="13"/>
        <v>40</v>
      </c>
      <c r="S80" s="82">
        <f t="shared" si="13"/>
        <v>20</v>
      </c>
      <c r="T80" s="83">
        <f t="shared" si="13"/>
        <v>24</v>
      </c>
      <c r="U80" s="132">
        <f t="shared" si="15"/>
        <v>356</v>
      </c>
      <c r="V80" s="133">
        <f t="shared" si="15"/>
        <v>178</v>
      </c>
      <c r="W80" s="134">
        <f t="shared" si="16"/>
        <v>266.88</v>
      </c>
      <c r="X80" s="5">
        <f t="shared" si="14"/>
        <v>800.88</v>
      </c>
    </row>
    <row r="81" spans="1:25" x14ac:dyDescent="0.25">
      <c r="A81" s="78">
        <v>11501</v>
      </c>
      <c r="B81" s="130" t="s">
        <v>86</v>
      </c>
      <c r="C81" s="81">
        <v>20</v>
      </c>
      <c r="D81" s="82">
        <v>10</v>
      </c>
      <c r="E81" s="83">
        <v>7</v>
      </c>
      <c r="F81" s="81">
        <v>20</v>
      </c>
      <c r="G81" s="82">
        <v>10</v>
      </c>
      <c r="H81" s="83">
        <v>7</v>
      </c>
      <c r="I81" s="81"/>
      <c r="J81" s="82"/>
      <c r="K81" s="83"/>
      <c r="L81" s="81"/>
      <c r="M81" s="82"/>
      <c r="N81" s="83"/>
      <c r="O81" s="98"/>
      <c r="P81" s="100"/>
      <c r="Q81" s="99"/>
      <c r="R81" s="81">
        <f t="shared" si="13"/>
        <v>40</v>
      </c>
      <c r="S81" s="82">
        <f t="shared" si="13"/>
        <v>20</v>
      </c>
      <c r="T81" s="83">
        <f t="shared" si="13"/>
        <v>14</v>
      </c>
      <c r="U81" s="132">
        <f t="shared" si="15"/>
        <v>356</v>
      </c>
      <c r="V81" s="133">
        <f t="shared" si="15"/>
        <v>178</v>
      </c>
      <c r="W81" s="134">
        <f t="shared" si="16"/>
        <v>155.67999999999998</v>
      </c>
      <c r="X81" s="5">
        <f t="shared" si="14"/>
        <v>689.68</v>
      </c>
    </row>
    <row r="82" spans="1:25" x14ac:dyDescent="0.25">
      <c r="A82" s="78">
        <v>11495</v>
      </c>
      <c r="B82" s="130" t="s">
        <v>93</v>
      </c>
      <c r="C82" s="81">
        <v>15</v>
      </c>
      <c r="D82" s="82">
        <v>8</v>
      </c>
      <c r="E82" s="83">
        <v>12</v>
      </c>
      <c r="F82" s="81">
        <v>15</v>
      </c>
      <c r="G82" s="82">
        <v>8</v>
      </c>
      <c r="H82" s="83">
        <v>12</v>
      </c>
      <c r="I82" s="81"/>
      <c r="J82" s="82"/>
      <c r="K82" s="83"/>
      <c r="L82" s="81"/>
      <c r="M82" s="82"/>
      <c r="N82" s="83"/>
      <c r="O82" s="98"/>
      <c r="P82" s="100"/>
      <c r="Q82" s="99"/>
      <c r="R82" s="81">
        <f t="shared" si="13"/>
        <v>30</v>
      </c>
      <c r="S82" s="82">
        <f t="shared" si="13"/>
        <v>16</v>
      </c>
      <c r="T82" s="83">
        <f t="shared" si="13"/>
        <v>24</v>
      </c>
      <c r="U82" s="132">
        <f t="shared" si="15"/>
        <v>267</v>
      </c>
      <c r="V82" s="133">
        <f t="shared" si="15"/>
        <v>142.4</v>
      </c>
      <c r="W82" s="134">
        <f t="shared" si="16"/>
        <v>266.88</v>
      </c>
      <c r="X82" s="5">
        <f t="shared" si="14"/>
        <v>676.28</v>
      </c>
    </row>
    <row r="83" spans="1:25" x14ac:dyDescent="0.25">
      <c r="A83" s="78">
        <v>11496</v>
      </c>
      <c r="B83" s="130" t="s">
        <v>87</v>
      </c>
      <c r="C83" s="81">
        <v>15</v>
      </c>
      <c r="D83" s="82">
        <v>8</v>
      </c>
      <c r="E83" s="83">
        <v>7</v>
      </c>
      <c r="F83" s="81">
        <v>15</v>
      </c>
      <c r="G83" s="82">
        <v>8</v>
      </c>
      <c r="H83" s="83">
        <v>7</v>
      </c>
      <c r="I83" s="81"/>
      <c r="J83" s="82"/>
      <c r="K83" s="83"/>
      <c r="L83" s="81"/>
      <c r="M83" s="82"/>
      <c r="N83" s="83"/>
      <c r="O83" s="98"/>
      <c r="P83" s="100"/>
      <c r="Q83" s="99"/>
      <c r="R83" s="81">
        <f t="shared" si="13"/>
        <v>30</v>
      </c>
      <c r="S83" s="82">
        <f t="shared" si="13"/>
        <v>16</v>
      </c>
      <c r="T83" s="83">
        <f t="shared" si="13"/>
        <v>14</v>
      </c>
      <c r="U83" s="132">
        <f t="shared" si="15"/>
        <v>267</v>
      </c>
      <c r="V83" s="133">
        <f t="shared" si="15"/>
        <v>142.4</v>
      </c>
      <c r="W83" s="134">
        <f t="shared" si="16"/>
        <v>155.67999999999998</v>
      </c>
      <c r="X83" s="5">
        <f t="shared" si="14"/>
        <v>565.07999999999993</v>
      </c>
    </row>
    <row r="84" spans="1:25" x14ac:dyDescent="0.25">
      <c r="A84" s="78">
        <v>11530</v>
      </c>
      <c r="B84" s="111" t="s">
        <v>134</v>
      </c>
      <c r="C84" s="81"/>
      <c r="D84" s="82"/>
      <c r="E84" s="83"/>
      <c r="F84" s="81"/>
      <c r="G84" s="82"/>
      <c r="H84" s="83"/>
      <c r="I84" s="81"/>
      <c r="J84" s="82"/>
      <c r="K84" s="83"/>
      <c r="L84" s="81"/>
      <c r="M84" s="82"/>
      <c r="N84" s="83"/>
      <c r="O84" s="98"/>
      <c r="P84" s="100"/>
      <c r="Q84" s="99"/>
      <c r="R84" s="98">
        <f t="shared" si="13"/>
        <v>0</v>
      </c>
      <c r="S84" s="82">
        <f t="shared" si="13"/>
        <v>0</v>
      </c>
      <c r="T84" s="83">
        <f t="shared" si="13"/>
        <v>0</v>
      </c>
      <c r="U84" s="132">
        <f t="shared" si="15"/>
        <v>0</v>
      </c>
      <c r="V84" s="133">
        <f t="shared" si="15"/>
        <v>0</v>
      </c>
      <c r="W84" s="134">
        <f t="shared" si="16"/>
        <v>0</v>
      </c>
      <c r="X84" s="5">
        <f t="shared" si="14"/>
        <v>0</v>
      </c>
    </row>
    <row r="85" spans="1:25" x14ac:dyDescent="0.25">
      <c r="A85" s="78">
        <v>11493</v>
      </c>
      <c r="B85" s="130" t="s">
        <v>84</v>
      </c>
      <c r="C85" s="81">
        <v>15</v>
      </c>
      <c r="D85" s="82">
        <v>6</v>
      </c>
      <c r="E85" s="83">
        <v>0</v>
      </c>
      <c r="F85" s="81">
        <v>15</v>
      </c>
      <c r="G85" s="82">
        <v>6</v>
      </c>
      <c r="H85" s="83">
        <v>0</v>
      </c>
      <c r="I85" s="128"/>
      <c r="J85" s="128"/>
      <c r="K85" s="128"/>
      <c r="L85" s="128"/>
      <c r="M85" s="82"/>
      <c r="N85" s="83"/>
      <c r="O85" s="98"/>
      <c r="P85" s="87"/>
      <c r="Q85" s="88"/>
      <c r="R85" s="81">
        <f t="shared" si="13"/>
        <v>30</v>
      </c>
      <c r="S85" s="82">
        <f t="shared" si="13"/>
        <v>12</v>
      </c>
      <c r="T85" s="83">
        <f t="shared" si="13"/>
        <v>0</v>
      </c>
      <c r="U85" s="132">
        <f t="shared" si="15"/>
        <v>267</v>
      </c>
      <c r="V85" s="133">
        <f t="shared" si="15"/>
        <v>106.80000000000001</v>
      </c>
      <c r="W85" s="134">
        <f t="shared" si="16"/>
        <v>0</v>
      </c>
      <c r="X85" s="5">
        <f t="shared" si="14"/>
        <v>373.8</v>
      </c>
      <c r="Y85" s="14" t="s">
        <v>150</v>
      </c>
    </row>
    <row r="86" spans="1:25" x14ac:dyDescent="0.25">
      <c r="A86" s="78">
        <v>11406</v>
      </c>
      <c r="B86" s="130" t="s">
        <v>74</v>
      </c>
      <c r="C86" s="81">
        <v>20</v>
      </c>
      <c r="D86" s="82">
        <v>10</v>
      </c>
      <c r="E86" s="83">
        <v>12</v>
      </c>
      <c r="F86" s="81">
        <v>20</v>
      </c>
      <c r="G86" s="82">
        <v>10</v>
      </c>
      <c r="H86" s="83">
        <v>12</v>
      </c>
      <c r="I86" s="81"/>
      <c r="J86" s="82"/>
      <c r="K86" s="83"/>
      <c r="L86" s="81"/>
      <c r="M86" s="82"/>
      <c r="N86" s="83"/>
      <c r="O86" s="98"/>
      <c r="P86" s="87"/>
      <c r="Q86" s="88"/>
      <c r="R86" s="81">
        <f t="shared" si="13"/>
        <v>40</v>
      </c>
      <c r="S86" s="82">
        <f t="shared" si="13"/>
        <v>20</v>
      </c>
      <c r="T86" s="83">
        <f t="shared" si="13"/>
        <v>24</v>
      </c>
      <c r="U86" s="132">
        <f t="shared" si="15"/>
        <v>356</v>
      </c>
      <c r="V86" s="133">
        <f t="shared" si="15"/>
        <v>178</v>
      </c>
      <c r="W86" s="134">
        <f t="shared" si="16"/>
        <v>266.88</v>
      </c>
      <c r="X86" s="5">
        <f t="shared" si="14"/>
        <v>800.88</v>
      </c>
    </row>
    <row r="87" spans="1:25" x14ac:dyDescent="0.25">
      <c r="A87" s="78">
        <v>11497</v>
      </c>
      <c r="B87" s="130" t="s">
        <v>88</v>
      </c>
      <c r="C87" s="81">
        <v>15</v>
      </c>
      <c r="D87" s="82">
        <v>8</v>
      </c>
      <c r="E87" s="83">
        <v>12</v>
      </c>
      <c r="F87" s="81">
        <v>15</v>
      </c>
      <c r="G87" s="82">
        <v>8</v>
      </c>
      <c r="H87" s="83">
        <v>12</v>
      </c>
      <c r="I87" s="81"/>
      <c r="J87" s="82"/>
      <c r="K87" s="83"/>
      <c r="L87" s="81"/>
      <c r="M87" s="82"/>
      <c r="N87" s="83"/>
      <c r="O87" s="98"/>
      <c r="P87" s="100"/>
      <c r="Q87" s="99"/>
      <c r="R87" s="81">
        <f t="shared" si="13"/>
        <v>30</v>
      </c>
      <c r="S87" s="82">
        <f t="shared" si="13"/>
        <v>16</v>
      </c>
      <c r="T87" s="83">
        <f t="shared" si="13"/>
        <v>24</v>
      </c>
      <c r="U87" s="132">
        <f t="shared" si="15"/>
        <v>267</v>
      </c>
      <c r="V87" s="133">
        <f t="shared" si="15"/>
        <v>142.4</v>
      </c>
      <c r="W87" s="134">
        <f t="shared" si="16"/>
        <v>266.88</v>
      </c>
      <c r="X87" s="5">
        <f t="shared" si="14"/>
        <v>676.28</v>
      </c>
    </row>
    <row r="88" spans="1:25" x14ac:dyDescent="0.25">
      <c r="A88" s="94">
        <v>11469</v>
      </c>
      <c r="B88" s="131" t="s">
        <v>75</v>
      </c>
      <c r="C88" s="81">
        <v>40</v>
      </c>
      <c r="D88" s="82">
        <v>0</v>
      </c>
      <c r="E88" s="83">
        <v>30</v>
      </c>
      <c r="F88" s="81">
        <v>40</v>
      </c>
      <c r="G88" s="82">
        <v>0</v>
      </c>
      <c r="H88" s="83">
        <v>30</v>
      </c>
      <c r="I88" s="81"/>
      <c r="J88" s="82"/>
      <c r="K88" s="83"/>
      <c r="L88" s="81"/>
      <c r="M88" s="82"/>
      <c r="N88" s="83"/>
      <c r="O88" s="98"/>
      <c r="P88" s="100"/>
      <c r="Q88" s="99"/>
      <c r="R88" s="81">
        <f t="shared" si="13"/>
        <v>80</v>
      </c>
      <c r="S88" s="82">
        <f t="shared" si="13"/>
        <v>0</v>
      </c>
      <c r="T88" s="83">
        <f t="shared" si="13"/>
        <v>60</v>
      </c>
      <c r="U88" s="132">
        <f>R88*9.56</f>
        <v>764.80000000000007</v>
      </c>
      <c r="V88" s="133">
        <f>S88*9.56</f>
        <v>0</v>
      </c>
      <c r="W88" s="134">
        <f>T88*11.95</f>
        <v>717</v>
      </c>
      <c r="X88" s="5">
        <f t="shared" si="14"/>
        <v>1481.8000000000002</v>
      </c>
    </row>
    <row r="89" spans="1:25" x14ac:dyDescent="0.25">
      <c r="A89" s="78">
        <v>11498</v>
      </c>
      <c r="B89" s="130" t="s">
        <v>89</v>
      </c>
      <c r="C89" s="81">
        <v>20</v>
      </c>
      <c r="D89" s="82">
        <v>12</v>
      </c>
      <c r="E89" s="83">
        <v>13</v>
      </c>
      <c r="F89" s="81">
        <v>20</v>
      </c>
      <c r="G89" s="82">
        <v>12</v>
      </c>
      <c r="H89" s="83">
        <v>13</v>
      </c>
      <c r="I89" s="81"/>
      <c r="J89" s="82"/>
      <c r="K89" s="83"/>
      <c r="L89" s="81"/>
      <c r="M89" s="82"/>
      <c r="N89" s="83"/>
      <c r="O89" s="98"/>
      <c r="P89" s="100"/>
      <c r="Q89" s="99"/>
      <c r="R89" s="81">
        <f t="shared" si="13"/>
        <v>40</v>
      </c>
      <c r="S89" s="82">
        <f t="shared" si="13"/>
        <v>24</v>
      </c>
      <c r="T89" s="83">
        <f t="shared" si="13"/>
        <v>26</v>
      </c>
      <c r="U89" s="132">
        <f>R89*8.9</f>
        <v>356</v>
      </c>
      <c r="V89" s="133">
        <f>S89*8.9</f>
        <v>213.60000000000002</v>
      </c>
      <c r="W89" s="134">
        <f>T89*11.12</f>
        <v>289.12</v>
      </c>
      <c r="X89" s="5">
        <f t="shared" si="14"/>
        <v>858.72</v>
      </c>
    </row>
    <row r="90" spans="1:25" x14ac:dyDescent="0.25">
      <c r="A90" s="94">
        <v>11504</v>
      </c>
      <c r="B90" s="131" t="s">
        <v>79</v>
      </c>
      <c r="C90" s="81">
        <v>20</v>
      </c>
      <c r="D90" s="82">
        <v>0</v>
      </c>
      <c r="E90" s="83">
        <v>8</v>
      </c>
      <c r="F90" s="81">
        <v>20</v>
      </c>
      <c r="G90" s="82">
        <v>0</v>
      </c>
      <c r="H90" s="83">
        <v>8</v>
      </c>
      <c r="I90" s="81"/>
      <c r="J90" s="82"/>
      <c r="K90" s="83"/>
      <c r="L90" s="81"/>
      <c r="M90" s="82"/>
      <c r="N90" s="83"/>
      <c r="O90" s="98"/>
      <c r="P90" s="100"/>
      <c r="Q90" s="99"/>
      <c r="R90" s="81">
        <f t="shared" si="13"/>
        <v>40</v>
      </c>
      <c r="S90" s="82">
        <f t="shared" si="13"/>
        <v>0</v>
      </c>
      <c r="T90" s="83">
        <f t="shared" si="13"/>
        <v>16</v>
      </c>
      <c r="U90" s="132">
        <f>R90*9.56</f>
        <v>382.40000000000003</v>
      </c>
      <c r="V90" s="133">
        <f>S90*9.56</f>
        <v>0</v>
      </c>
      <c r="W90" s="134">
        <f>T90*11.95</f>
        <v>191.2</v>
      </c>
      <c r="X90" s="5">
        <f t="shared" si="14"/>
        <v>573.6</v>
      </c>
    </row>
    <row r="91" spans="1:25" x14ac:dyDescent="0.25">
      <c r="A91" s="78">
        <v>11528</v>
      </c>
      <c r="B91" s="130" t="s">
        <v>135</v>
      </c>
      <c r="C91" s="81">
        <v>20</v>
      </c>
      <c r="D91" s="82">
        <v>10</v>
      </c>
      <c r="E91" s="83">
        <v>12</v>
      </c>
      <c r="F91" s="81">
        <v>20</v>
      </c>
      <c r="G91" s="82">
        <v>10</v>
      </c>
      <c r="H91" s="83">
        <v>12</v>
      </c>
      <c r="I91" s="81"/>
      <c r="J91" s="82"/>
      <c r="K91" s="83"/>
      <c r="L91" s="81"/>
      <c r="M91" s="82"/>
      <c r="N91" s="83"/>
      <c r="O91" s="98"/>
      <c r="P91" s="100"/>
      <c r="Q91" s="99"/>
      <c r="R91" s="98">
        <f t="shared" si="13"/>
        <v>40</v>
      </c>
      <c r="S91" s="82">
        <f t="shared" si="13"/>
        <v>20</v>
      </c>
      <c r="T91" s="83">
        <f t="shared" si="13"/>
        <v>24</v>
      </c>
      <c r="U91" s="132">
        <f t="shared" ref="U91:V96" si="17">R91*8.9</f>
        <v>356</v>
      </c>
      <c r="V91" s="133">
        <f t="shared" si="17"/>
        <v>178</v>
      </c>
      <c r="W91" s="134">
        <f t="shared" ref="W91:W96" si="18">T91*11.12</f>
        <v>266.88</v>
      </c>
      <c r="X91" s="5">
        <f t="shared" si="14"/>
        <v>800.88</v>
      </c>
    </row>
    <row r="92" spans="1:25" x14ac:dyDescent="0.25">
      <c r="A92" s="78">
        <v>11531</v>
      </c>
      <c r="B92" s="130" t="s">
        <v>138</v>
      </c>
      <c r="C92" s="81">
        <v>20</v>
      </c>
      <c r="D92" s="82">
        <v>10</v>
      </c>
      <c r="E92" s="83">
        <v>12</v>
      </c>
      <c r="F92" s="81">
        <v>20</v>
      </c>
      <c r="G92" s="82">
        <v>10</v>
      </c>
      <c r="H92" s="83">
        <v>12</v>
      </c>
      <c r="I92" s="81"/>
      <c r="J92" s="82"/>
      <c r="K92" s="83"/>
      <c r="L92" s="81"/>
      <c r="M92" s="82"/>
      <c r="N92" s="83"/>
      <c r="O92" s="98"/>
      <c r="P92" s="100"/>
      <c r="Q92" s="99"/>
      <c r="R92" s="98">
        <f t="shared" si="13"/>
        <v>40</v>
      </c>
      <c r="S92" s="82">
        <f t="shared" si="13"/>
        <v>20</v>
      </c>
      <c r="T92" s="83">
        <f t="shared" si="13"/>
        <v>24</v>
      </c>
      <c r="U92" s="132">
        <f t="shared" si="17"/>
        <v>356</v>
      </c>
      <c r="V92" s="133">
        <f t="shared" si="17"/>
        <v>178</v>
      </c>
      <c r="W92" s="134">
        <f t="shared" si="18"/>
        <v>266.88</v>
      </c>
      <c r="X92" s="5">
        <f t="shared" si="14"/>
        <v>800.88</v>
      </c>
      <c r="Y92" s="1" t="s">
        <v>137</v>
      </c>
    </row>
    <row r="93" spans="1:25" x14ac:dyDescent="0.25">
      <c r="A93" s="78">
        <v>11526</v>
      </c>
      <c r="B93" s="130" t="s">
        <v>123</v>
      </c>
      <c r="C93" s="81">
        <v>20</v>
      </c>
      <c r="D93" s="82">
        <v>10</v>
      </c>
      <c r="E93" s="83">
        <v>12</v>
      </c>
      <c r="F93" s="81">
        <v>20</v>
      </c>
      <c r="G93" s="82">
        <v>10</v>
      </c>
      <c r="H93" s="83">
        <v>12</v>
      </c>
      <c r="I93" s="81"/>
      <c r="J93" s="82"/>
      <c r="K93" s="83"/>
      <c r="L93" s="81"/>
      <c r="M93" s="82"/>
      <c r="N93" s="83"/>
      <c r="O93" s="98"/>
      <c r="P93" s="100"/>
      <c r="Q93" s="99"/>
      <c r="R93" s="98">
        <f t="shared" si="13"/>
        <v>40</v>
      </c>
      <c r="S93" s="82">
        <f t="shared" si="13"/>
        <v>20</v>
      </c>
      <c r="T93" s="83">
        <f t="shared" si="13"/>
        <v>24</v>
      </c>
      <c r="U93" s="132">
        <f t="shared" si="17"/>
        <v>356</v>
      </c>
      <c r="V93" s="133">
        <f t="shared" si="17"/>
        <v>178</v>
      </c>
      <c r="W93" s="134">
        <f t="shared" si="18"/>
        <v>266.88</v>
      </c>
      <c r="X93" s="5">
        <f t="shared" si="14"/>
        <v>800.88</v>
      </c>
      <c r="Y93" s="1" t="s">
        <v>136</v>
      </c>
    </row>
    <row r="94" spans="1:25" x14ac:dyDescent="0.25">
      <c r="A94" s="78">
        <v>11527</v>
      </c>
      <c r="B94" s="130" t="s">
        <v>124</v>
      </c>
      <c r="C94" s="128">
        <v>20</v>
      </c>
      <c r="D94" s="128">
        <v>10</v>
      </c>
      <c r="E94" s="128">
        <v>7</v>
      </c>
      <c r="F94" s="128">
        <v>20</v>
      </c>
      <c r="G94" s="128">
        <v>10</v>
      </c>
      <c r="H94" s="128">
        <v>7</v>
      </c>
      <c r="I94" s="128"/>
      <c r="J94" s="128"/>
      <c r="K94" s="128"/>
      <c r="L94" s="128"/>
      <c r="M94" s="128"/>
      <c r="N94" s="128"/>
      <c r="O94" s="129"/>
      <c r="P94" s="129"/>
      <c r="Q94" s="129"/>
      <c r="R94" s="98">
        <f t="shared" si="13"/>
        <v>40</v>
      </c>
      <c r="S94" s="82">
        <f t="shared" si="13"/>
        <v>20</v>
      </c>
      <c r="T94" s="83">
        <f t="shared" si="13"/>
        <v>14</v>
      </c>
      <c r="U94" s="132">
        <f t="shared" si="17"/>
        <v>356</v>
      </c>
      <c r="V94" s="133">
        <f t="shared" si="17"/>
        <v>178</v>
      </c>
      <c r="W94" s="134">
        <f t="shared" si="18"/>
        <v>155.67999999999998</v>
      </c>
      <c r="X94" s="5">
        <f t="shared" si="14"/>
        <v>689.68</v>
      </c>
      <c r="Y94" s="14" t="s">
        <v>146</v>
      </c>
    </row>
    <row r="95" spans="1:25" s="14" customFormat="1" x14ac:dyDescent="0.25">
      <c r="A95" s="94">
        <v>11521</v>
      </c>
      <c r="B95" s="103" t="s">
        <v>122</v>
      </c>
      <c r="C95" s="116"/>
      <c r="D95" s="118"/>
      <c r="E95" s="119"/>
      <c r="F95" s="116"/>
      <c r="G95" s="118"/>
      <c r="H95" s="119"/>
      <c r="I95" s="116"/>
      <c r="J95" s="118"/>
      <c r="K95" s="119"/>
      <c r="L95" s="117"/>
      <c r="M95" s="117"/>
      <c r="N95" s="117"/>
      <c r="O95" s="117"/>
      <c r="P95" s="117"/>
      <c r="Q95" s="117"/>
      <c r="R95" s="123">
        <f t="shared" si="13"/>
        <v>0</v>
      </c>
      <c r="S95" s="118">
        <f t="shared" si="13"/>
        <v>0</v>
      </c>
      <c r="T95" s="119">
        <f t="shared" si="13"/>
        <v>0</v>
      </c>
      <c r="U95" s="136">
        <f t="shared" si="17"/>
        <v>0</v>
      </c>
      <c r="V95" s="137">
        <f t="shared" si="17"/>
        <v>0</v>
      </c>
      <c r="W95" s="138">
        <f t="shared" si="18"/>
        <v>0</v>
      </c>
      <c r="X95" s="16">
        <f t="shared" si="14"/>
        <v>0</v>
      </c>
      <c r="Y95" s="14" t="s">
        <v>132</v>
      </c>
    </row>
    <row r="96" spans="1:25" x14ac:dyDescent="0.25">
      <c r="A96" s="78">
        <v>11407</v>
      </c>
      <c r="B96" s="130" t="s">
        <v>81</v>
      </c>
      <c r="C96" s="81">
        <v>15</v>
      </c>
      <c r="D96" s="82">
        <v>8</v>
      </c>
      <c r="E96" s="83">
        <v>12</v>
      </c>
      <c r="F96" s="81">
        <v>15</v>
      </c>
      <c r="G96" s="82">
        <v>8</v>
      </c>
      <c r="H96" s="83">
        <v>12</v>
      </c>
      <c r="I96" s="81"/>
      <c r="J96" s="82"/>
      <c r="K96" s="83"/>
      <c r="L96" s="81"/>
      <c r="M96" s="82"/>
      <c r="N96" s="83"/>
      <c r="O96" s="98"/>
      <c r="P96" s="87"/>
      <c r="Q96" s="88"/>
      <c r="R96" s="81">
        <f t="shared" si="13"/>
        <v>30</v>
      </c>
      <c r="S96" s="82">
        <f t="shared" si="13"/>
        <v>16</v>
      </c>
      <c r="T96" s="83">
        <f t="shared" si="13"/>
        <v>24</v>
      </c>
      <c r="U96" s="132">
        <f t="shared" si="17"/>
        <v>267</v>
      </c>
      <c r="V96" s="133">
        <f t="shared" si="17"/>
        <v>142.4</v>
      </c>
      <c r="W96" s="134">
        <f t="shared" si="18"/>
        <v>266.88</v>
      </c>
      <c r="X96" s="5">
        <f t="shared" si="14"/>
        <v>676.28</v>
      </c>
    </row>
    <row r="97" spans="1:25" x14ac:dyDescent="0.25">
      <c r="C97" s="4">
        <f t="shared" ref="C97:E97" si="19">SUM(C66:C96)</f>
        <v>470</v>
      </c>
      <c r="D97" s="4">
        <f t="shared" si="19"/>
        <v>198</v>
      </c>
      <c r="E97" s="4">
        <f t="shared" si="19"/>
        <v>254</v>
      </c>
      <c r="F97" s="4">
        <f>SUM(F66:F96)</f>
        <v>470</v>
      </c>
      <c r="G97" s="4">
        <f>SUM(G66:G96)</f>
        <v>198</v>
      </c>
      <c r="H97" s="4">
        <f>SUM(H66:H96)</f>
        <v>254</v>
      </c>
      <c r="I97" s="4">
        <f t="shared" ref="I97:X97" si="20">SUM(I66:I96)</f>
        <v>0</v>
      </c>
      <c r="J97" s="4">
        <f t="shared" si="20"/>
        <v>0</v>
      </c>
      <c r="K97" s="4">
        <f t="shared" si="20"/>
        <v>0</v>
      </c>
      <c r="L97" s="4">
        <f t="shared" si="20"/>
        <v>0</v>
      </c>
      <c r="M97" s="4">
        <f t="shared" si="20"/>
        <v>0</v>
      </c>
      <c r="N97" s="4">
        <f t="shared" si="20"/>
        <v>0</v>
      </c>
      <c r="O97" s="4">
        <f t="shared" si="20"/>
        <v>0</v>
      </c>
      <c r="P97" s="4">
        <f t="shared" si="20"/>
        <v>0</v>
      </c>
      <c r="Q97" s="4">
        <f t="shared" si="20"/>
        <v>0</v>
      </c>
      <c r="R97" s="4">
        <f t="shared" si="20"/>
        <v>940</v>
      </c>
      <c r="S97" s="4">
        <f t="shared" si="20"/>
        <v>396</v>
      </c>
      <c r="T97" s="4">
        <f t="shared" si="20"/>
        <v>508</v>
      </c>
      <c r="U97" s="5">
        <f t="shared" si="20"/>
        <v>8471.5999999999985</v>
      </c>
      <c r="V97" s="5">
        <f t="shared" si="20"/>
        <v>3524.4000000000005</v>
      </c>
      <c r="W97" s="5">
        <f t="shared" si="20"/>
        <v>5712.0400000000009</v>
      </c>
      <c r="X97" s="5">
        <f t="shared" si="20"/>
        <v>17708.039999999994</v>
      </c>
    </row>
    <row r="100" spans="1:25" ht="18.75" x14ac:dyDescent="0.25">
      <c r="A100" s="203" t="s">
        <v>83</v>
      </c>
      <c r="B100" s="204"/>
      <c r="C100" s="197" t="s">
        <v>8</v>
      </c>
      <c r="D100" s="197"/>
      <c r="E100" s="197"/>
      <c r="F100" s="197" t="s">
        <v>8</v>
      </c>
      <c r="G100" s="197"/>
      <c r="H100" s="197"/>
      <c r="I100" s="197" t="s">
        <v>8</v>
      </c>
      <c r="J100" s="197"/>
      <c r="K100" s="197"/>
      <c r="L100" s="197" t="s">
        <v>8</v>
      </c>
      <c r="M100" s="197"/>
      <c r="N100" s="197"/>
      <c r="O100" s="198" t="s">
        <v>8</v>
      </c>
      <c r="P100" s="198"/>
      <c r="Q100" s="198"/>
      <c r="R100" s="197" t="s">
        <v>13</v>
      </c>
      <c r="S100" s="197"/>
      <c r="T100" s="197"/>
      <c r="U100" s="197" t="s">
        <v>12</v>
      </c>
      <c r="V100" s="197"/>
      <c r="W100" s="197"/>
      <c r="X100" s="197"/>
    </row>
    <row r="101" spans="1:25" ht="15" customHeight="1" x14ac:dyDescent="0.25">
      <c r="A101" s="78" t="s">
        <v>0</v>
      </c>
      <c r="B101" s="4" t="s">
        <v>1</v>
      </c>
      <c r="C101" s="202" t="s">
        <v>139</v>
      </c>
      <c r="D101" s="202"/>
      <c r="E101" s="202"/>
      <c r="F101" s="202" t="s">
        <v>140</v>
      </c>
      <c r="G101" s="202"/>
      <c r="H101" s="202"/>
      <c r="I101" s="197" t="s">
        <v>141</v>
      </c>
      <c r="J101" s="197"/>
      <c r="K101" s="197"/>
      <c r="L101" s="198" t="s">
        <v>142</v>
      </c>
      <c r="M101" s="198"/>
      <c r="N101" s="198"/>
      <c r="O101" s="198" t="s">
        <v>143</v>
      </c>
      <c r="P101" s="198"/>
      <c r="Q101" s="198"/>
      <c r="R101" s="3" t="s">
        <v>11</v>
      </c>
      <c r="S101" s="3" t="s">
        <v>10</v>
      </c>
      <c r="T101" s="3" t="s">
        <v>9</v>
      </c>
      <c r="U101" s="3" t="s">
        <v>11</v>
      </c>
      <c r="V101" s="3" t="s">
        <v>10</v>
      </c>
      <c r="W101" s="3" t="s">
        <v>9</v>
      </c>
      <c r="X101" s="4" t="s">
        <v>14</v>
      </c>
    </row>
    <row r="102" spans="1:25" x14ac:dyDescent="0.25">
      <c r="A102" s="78">
        <v>11515</v>
      </c>
      <c r="B102" s="130" t="s">
        <v>110</v>
      </c>
      <c r="C102" s="81"/>
      <c r="D102" s="82"/>
      <c r="E102" s="83"/>
      <c r="F102" s="81"/>
      <c r="G102" s="82"/>
      <c r="H102" s="83"/>
      <c r="I102" s="81"/>
      <c r="J102" s="82"/>
      <c r="K102" s="83"/>
      <c r="L102" s="81"/>
      <c r="M102" s="82"/>
      <c r="N102" s="83"/>
      <c r="O102" s="98"/>
      <c r="P102" s="100"/>
      <c r="Q102" s="99"/>
      <c r="R102" s="81">
        <f t="shared" ref="R102:T132" si="21">C102+F102+I102+L102+O102</f>
        <v>0</v>
      </c>
      <c r="S102" s="82">
        <f t="shared" si="21"/>
        <v>0</v>
      </c>
      <c r="T102" s="83">
        <f t="shared" si="21"/>
        <v>0</v>
      </c>
      <c r="U102" s="132">
        <f t="shared" ref="U102:V132" si="22">R102*8.9</f>
        <v>0</v>
      </c>
      <c r="V102" s="133">
        <f t="shared" si="22"/>
        <v>0</v>
      </c>
      <c r="W102" s="134">
        <f t="shared" ref="W102:W132" si="23">T102*11.12</f>
        <v>0</v>
      </c>
      <c r="X102" s="5">
        <f t="shared" ref="X102:X132" si="24">SUM(U102:W102)</f>
        <v>0</v>
      </c>
    </row>
    <row r="103" spans="1:25" x14ac:dyDescent="0.25">
      <c r="A103" s="78">
        <v>11430</v>
      </c>
      <c r="B103" s="7" t="s">
        <v>54</v>
      </c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8"/>
      <c r="Q103" s="108"/>
      <c r="R103" s="81">
        <f t="shared" si="21"/>
        <v>0</v>
      </c>
      <c r="S103" s="82">
        <f t="shared" si="21"/>
        <v>0</v>
      </c>
      <c r="T103" s="83">
        <f t="shared" si="21"/>
        <v>0</v>
      </c>
      <c r="U103" s="132">
        <f t="shared" si="22"/>
        <v>0</v>
      </c>
      <c r="V103" s="133">
        <f t="shared" si="22"/>
        <v>0</v>
      </c>
      <c r="W103" s="134">
        <f t="shared" si="23"/>
        <v>0</v>
      </c>
      <c r="X103" s="5">
        <f t="shared" si="24"/>
        <v>0</v>
      </c>
    </row>
    <row r="104" spans="1:25" x14ac:dyDescent="0.25">
      <c r="A104" s="78">
        <v>11431</v>
      </c>
      <c r="B104" s="7" t="s">
        <v>55</v>
      </c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8"/>
      <c r="Q104" s="108"/>
      <c r="R104" s="81">
        <f t="shared" si="21"/>
        <v>0</v>
      </c>
      <c r="S104" s="82">
        <f t="shared" si="21"/>
        <v>0</v>
      </c>
      <c r="T104" s="83">
        <f t="shared" si="21"/>
        <v>0</v>
      </c>
      <c r="U104" s="132">
        <f t="shared" si="22"/>
        <v>0</v>
      </c>
      <c r="V104" s="133">
        <f t="shared" si="22"/>
        <v>0</v>
      </c>
      <c r="W104" s="134">
        <f t="shared" si="23"/>
        <v>0</v>
      </c>
      <c r="X104" s="5">
        <f t="shared" si="24"/>
        <v>0</v>
      </c>
    </row>
    <row r="105" spans="1:25" x14ac:dyDescent="0.25">
      <c r="A105" s="78">
        <v>11448</v>
      </c>
      <c r="B105" s="7" t="s">
        <v>56</v>
      </c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8"/>
      <c r="Q105" s="108"/>
      <c r="R105" s="81">
        <f t="shared" si="21"/>
        <v>0</v>
      </c>
      <c r="S105" s="82">
        <f t="shared" si="21"/>
        <v>0</v>
      </c>
      <c r="T105" s="83">
        <f t="shared" si="21"/>
        <v>0</v>
      </c>
      <c r="U105" s="132">
        <f t="shared" si="22"/>
        <v>0</v>
      </c>
      <c r="V105" s="133">
        <f t="shared" si="22"/>
        <v>0</v>
      </c>
      <c r="W105" s="134">
        <f t="shared" si="23"/>
        <v>0</v>
      </c>
      <c r="X105" s="5">
        <f t="shared" si="24"/>
        <v>0</v>
      </c>
    </row>
    <row r="106" spans="1:25" s="14" customFormat="1" x14ac:dyDescent="0.25">
      <c r="A106" s="94">
        <v>11516</v>
      </c>
      <c r="B106" s="103" t="s">
        <v>105</v>
      </c>
      <c r="C106" s="116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6">
        <f t="shared" si="21"/>
        <v>0</v>
      </c>
      <c r="S106" s="118">
        <f t="shared" si="21"/>
        <v>0</v>
      </c>
      <c r="T106" s="119">
        <f t="shared" si="21"/>
        <v>0</v>
      </c>
      <c r="U106" s="136">
        <f t="shared" si="22"/>
        <v>0</v>
      </c>
      <c r="V106" s="137">
        <f t="shared" si="22"/>
        <v>0</v>
      </c>
      <c r="W106" s="138">
        <f t="shared" si="23"/>
        <v>0</v>
      </c>
      <c r="X106" s="16">
        <f t="shared" si="24"/>
        <v>0</v>
      </c>
    </row>
    <row r="107" spans="1:25" x14ac:dyDescent="0.25">
      <c r="A107" s="78">
        <v>11475</v>
      </c>
      <c r="B107" s="7" t="s">
        <v>57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9"/>
      <c r="P107" s="129"/>
      <c r="Q107" s="129"/>
      <c r="R107" s="81">
        <f t="shared" si="21"/>
        <v>0</v>
      </c>
      <c r="S107" s="82">
        <f t="shared" si="21"/>
        <v>0</v>
      </c>
      <c r="T107" s="83">
        <f t="shared" si="21"/>
        <v>0</v>
      </c>
      <c r="U107" s="132">
        <f t="shared" si="22"/>
        <v>0</v>
      </c>
      <c r="V107" s="133">
        <f t="shared" si="22"/>
        <v>0</v>
      </c>
      <c r="W107" s="134">
        <f t="shared" si="23"/>
        <v>0</v>
      </c>
      <c r="X107" s="5">
        <f t="shared" si="24"/>
        <v>0</v>
      </c>
      <c r="Y107" s="14" t="s">
        <v>147</v>
      </c>
    </row>
    <row r="108" spans="1:25" x14ac:dyDescent="0.25">
      <c r="A108" s="78">
        <v>11433</v>
      </c>
      <c r="B108" s="7" t="s">
        <v>58</v>
      </c>
      <c r="C108" s="81"/>
      <c r="D108" s="82"/>
      <c r="E108" s="83"/>
      <c r="F108" s="81"/>
      <c r="G108" s="82"/>
      <c r="H108" s="83"/>
      <c r="I108" s="81"/>
      <c r="J108" s="82"/>
      <c r="K108" s="83"/>
      <c r="L108" s="81"/>
      <c r="M108" s="82"/>
      <c r="N108" s="83"/>
      <c r="O108" s="98"/>
      <c r="P108" s="100"/>
      <c r="Q108" s="99"/>
      <c r="R108" s="81">
        <f t="shared" si="21"/>
        <v>0</v>
      </c>
      <c r="S108" s="82">
        <f t="shared" si="21"/>
        <v>0</v>
      </c>
      <c r="T108" s="83">
        <f t="shared" si="21"/>
        <v>0</v>
      </c>
      <c r="U108" s="132">
        <f t="shared" si="22"/>
        <v>0</v>
      </c>
      <c r="V108" s="133">
        <f t="shared" si="22"/>
        <v>0</v>
      </c>
      <c r="W108" s="134">
        <f t="shared" si="23"/>
        <v>0</v>
      </c>
      <c r="X108" s="5">
        <f t="shared" si="24"/>
        <v>0</v>
      </c>
    </row>
    <row r="109" spans="1:25" x14ac:dyDescent="0.25">
      <c r="A109" s="78">
        <v>11511</v>
      </c>
      <c r="B109" s="130" t="s">
        <v>104</v>
      </c>
      <c r="C109" s="81"/>
      <c r="D109" s="82"/>
      <c r="E109" s="83"/>
      <c r="F109" s="81"/>
      <c r="G109" s="82"/>
      <c r="H109" s="83"/>
      <c r="I109" s="81"/>
      <c r="J109" s="82"/>
      <c r="K109" s="83"/>
      <c r="L109" s="81"/>
      <c r="M109" s="82"/>
      <c r="N109" s="83"/>
      <c r="O109" s="98"/>
      <c r="P109" s="100"/>
      <c r="Q109" s="99"/>
      <c r="R109" s="81">
        <f t="shared" si="21"/>
        <v>0</v>
      </c>
      <c r="S109" s="82">
        <f t="shared" si="21"/>
        <v>0</v>
      </c>
      <c r="T109" s="83">
        <f t="shared" si="21"/>
        <v>0</v>
      </c>
      <c r="U109" s="132">
        <f t="shared" si="22"/>
        <v>0</v>
      </c>
      <c r="V109" s="133">
        <f t="shared" si="22"/>
        <v>0</v>
      </c>
      <c r="W109" s="134">
        <f t="shared" si="23"/>
        <v>0</v>
      </c>
      <c r="X109" s="5">
        <f t="shared" si="24"/>
        <v>0</v>
      </c>
    </row>
    <row r="110" spans="1:25" x14ac:dyDescent="0.25">
      <c r="A110" s="78">
        <v>11485</v>
      </c>
      <c r="B110" s="130" t="s">
        <v>60</v>
      </c>
      <c r="C110" s="81"/>
      <c r="D110" s="82"/>
      <c r="E110" s="83"/>
      <c r="F110" s="81"/>
      <c r="G110" s="82"/>
      <c r="H110" s="83"/>
      <c r="I110" s="81"/>
      <c r="J110" s="82"/>
      <c r="K110" s="83"/>
      <c r="L110" s="81"/>
      <c r="M110" s="82"/>
      <c r="N110" s="83"/>
      <c r="O110" s="98"/>
      <c r="P110" s="100"/>
      <c r="Q110" s="99"/>
      <c r="R110" s="81">
        <f t="shared" si="21"/>
        <v>0</v>
      </c>
      <c r="S110" s="82">
        <f t="shared" si="21"/>
        <v>0</v>
      </c>
      <c r="T110" s="83">
        <f t="shared" si="21"/>
        <v>0</v>
      </c>
      <c r="U110" s="132">
        <f t="shared" si="22"/>
        <v>0</v>
      </c>
      <c r="V110" s="133">
        <f t="shared" si="22"/>
        <v>0</v>
      </c>
      <c r="W110" s="134">
        <f t="shared" si="23"/>
        <v>0</v>
      </c>
      <c r="X110" s="5">
        <f t="shared" si="24"/>
        <v>0</v>
      </c>
    </row>
    <row r="111" spans="1:25" x14ac:dyDescent="0.25">
      <c r="A111" s="78">
        <v>11458</v>
      </c>
      <c r="B111" s="103" t="s">
        <v>61</v>
      </c>
      <c r="C111" s="117"/>
      <c r="D111" s="117"/>
      <c r="E111" s="117"/>
      <c r="F111" s="117"/>
      <c r="G111" s="107"/>
      <c r="H111" s="107"/>
      <c r="I111" s="107"/>
      <c r="J111" s="107"/>
      <c r="K111" s="107"/>
      <c r="L111" s="107"/>
      <c r="M111" s="107"/>
      <c r="N111" s="107"/>
      <c r="O111" s="109"/>
      <c r="P111" s="109"/>
      <c r="Q111" s="109"/>
      <c r="R111" s="81">
        <f t="shared" si="21"/>
        <v>0</v>
      </c>
      <c r="S111" s="82">
        <f t="shared" si="21"/>
        <v>0</v>
      </c>
      <c r="T111" s="83">
        <f t="shared" si="21"/>
        <v>0</v>
      </c>
      <c r="U111" s="132">
        <f t="shared" si="22"/>
        <v>0</v>
      </c>
      <c r="V111" s="133">
        <f t="shared" si="22"/>
        <v>0</v>
      </c>
      <c r="W111" s="134">
        <f t="shared" si="23"/>
        <v>0</v>
      </c>
      <c r="X111" s="5">
        <f t="shared" si="24"/>
        <v>0</v>
      </c>
      <c r="Y111" s="14" t="s">
        <v>148</v>
      </c>
    </row>
    <row r="112" spans="1:25" x14ac:dyDescent="0.25">
      <c r="A112" s="78">
        <v>11457</v>
      </c>
      <c r="B112" s="103" t="s">
        <v>62</v>
      </c>
      <c r="C112" s="117"/>
      <c r="D112" s="117"/>
      <c r="E112" s="117"/>
      <c r="F112" s="117"/>
      <c r="G112" s="107"/>
      <c r="H112" s="107"/>
      <c r="I112" s="107"/>
      <c r="J112" s="107"/>
      <c r="K112" s="107"/>
      <c r="L112" s="107"/>
      <c r="M112" s="107"/>
      <c r="N112" s="107"/>
      <c r="O112" s="109"/>
      <c r="P112" s="109"/>
      <c r="Q112" s="109"/>
      <c r="R112" s="81">
        <f t="shared" si="21"/>
        <v>0</v>
      </c>
      <c r="S112" s="82">
        <f t="shared" si="21"/>
        <v>0</v>
      </c>
      <c r="T112" s="83">
        <f t="shared" si="21"/>
        <v>0</v>
      </c>
      <c r="U112" s="132">
        <f t="shared" si="22"/>
        <v>0</v>
      </c>
      <c r="V112" s="133">
        <f t="shared" si="22"/>
        <v>0</v>
      </c>
      <c r="W112" s="134">
        <f t="shared" si="23"/>
        <v>0</v>
      </c>
      <c r="X112" s="5">
        <f t="shared" si="24"/>
        <v>0</v>
      </c>
      <c r="Y112" s="14" t="s">
        <v>148</v>
      </c>
    </row>
    <row r="113" spans="1:24" x14ac:dyDescent="0.25">
      <c r="A113" s="78">
        <v>11509</v>
      </c>
      <c r="B113" s="130" t="s">
        <v>103</v>
      </c>
      <c r="C113" s="81"/>
      <c r="D113" s="82"/>
      <c r="E113" s="83"/>
      <c r="F113" s="81"/>
      <c r="G113" s="82"/>
      <c r="H113" s="83"/>
      <c r="I113" s="81"/>
      <c r="J113" s="82"/>
      <c r="K113" s="83"/>
      <c r="L113" s="81"/>
      <c r="M113" s="82"/>
      <c r="N113" s="83"/>
      <c r="O113" s="98"/>
      <c r="P113" s="100"/>
      <c r="Q113" s="99"/>
      <c r="R113" s="81">
        <f t="shared" si="21"/>
        <v>0</v>
      </c>
      <c r="S113" s="82">
        <f t="shared" si="21"/>
        <v>0</v>
      </c>
      <c r="T113" s="83">
        <f t="shared" si="21"/>
        <v>0</v>
      </c>
      <c r="U113" s="132">
        <f t="shared" si="22"/>
        <v>0</v>
      </c>
      <c r="V113" s="133">
        <f t="shared" si="22"/>
        <v>0</v>
      </c>
      <c r="W113" s="134">
        <f t="shared" si="23"/>
        <v>0</v>
      </c>
      <c r="X113" s="5">
        <f t="shared" si="24"/>
        <v>0</v>
      </c>
    </row>
    <row r="114" spans="1:24" x14ac:dyDescent="0.25">
      <c r="A114" s="78">
        <v>11518</v>
      </c>
      <c r="B114" s="130" t="s">
        <v>107</v>
      </c>
      <c r="C114" s="81"/>
      <c r="D114" s="82"/>
      <c r="E114" s="83"/>
      <c r="F114" s="81"/>
      <c r="G114" s="82"/>
      <c r="H114" s="83"/>
      <c r="I114" s="81"/>
      <c r="J114" s="82"/>
      <c r="K114" s="83"/>
      <c r="L114" s="81"/>
      <c r="M114" s="82"/>
      <c r="N114" s="83"/>
      <c r="O114" s="98"/>
      <c r="P114" s="100"/>
      <c r="Q114" s="99"/>
      <c r="R114" s="81">
        <f t="shared" si="21"/>
        <v>0</v>
      </c>
      <c r="S114" s="82">
        <f t="shared" si="21"/>
        <v>0</v>
      </c>
      <c r="T114" s="83">
        <f t="shared" si="21"/>
        <v>0</v>
      </c>
      <c r="U114" s="132">
        <f t="shared" si="22"/>
        <v>0</v>
      </c>
      <c r="V114" s="133">
        <f t="shared" si="22"/>
        <v>0</v>
      </c>
      <c r="W114" s="134">
        <f t="shared" si="23"/>
        <v>0</v>
      </c>
      <c r="X114" s="5">
        <f t="shared" si="24"/>
        <v>0</v>
      </c>
    </row>
    <row r="115" spans="1:24" x14ac:dyDescent="0.25">
      <c r="A115" s="78">
        <v>11421</v>
      </c>
      <c r="B115" s="7" t="s">
        <v>63</v>
      </c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8"/>
      <c r="Q115" s="108"/>
      <c r="R115" s="81">
        <f t="shared" si="21"/>
        <v>0</v>
      </c>
      <c r="S115" s="82">
        <f t="shared" si="21"/>
        <v>0</v>
      </c>
      <c r="T115" s="83">
        <f t="shared" si="21"/>
        <v>0</v>
      </c>
      <c r="U115" s="132">
        <f t="shared" si="22"/>
        <v>0</v>
      </c>
      <c r="V115" s="133">
        <f t="shared" si="22"/>
        <v>0</v>
      </c>
      <c r="W115" s="134">
        <f t="shared" si="23"/>
        <v>0</v>
      </c>
      <c r="X115" s="5">
        <f t="shared" si="24"/>
        <v>0</v>
      </c>
    </row>
    <row r="116" spans="1:24" x14ac:dyDescent="0.25">
      <c r="A116" s="78">
        <v>11484</v>
      </c>
      <c r="B116" s="130" t="s">
        <v>64</v>
      </c>
      <c r="C116" s="81"/>
      <c r="D116" s="82"/>
      <c r="E116" s="83"/>
      <c r="F116" s="81"/>
      <c r="G116" s="82"/>
      <c r="H116" s="83"/>
      <c r="I116" s="81"/>
      <c r="J116" s="82"/>
      <c r="K116" s="83"/>
      <c r="L116" s="81"/>
      <c r="M116" s="82"/>
      <c r="N116" s="83"/>
      <c r="O116" s="98"/>
      <c r="P116" s="100"/>
      <c r="Q116" s="99"/>
      <c r="R116" s="81">
        <f t="shared" si="21"/>
        <v>0</v>
      </c>
      <c r="S116" s="82">
        <f t="shared" si="21"/>
        <v>0</v>
      </c>
      <c r="T116" s="83">
        <f t="shared" si="21"/>
        <v>0</v>
      </c>
      <c r="U116" s="132">
        <f t="shared" si="22"/>
        <v>0</v>
      </c>
      <c r="V116" s="133">
        <f t="shared" si="22"/>
        <v>0</v>
      </c>
      <c r="W116" s="134">
        <f t="shared" si="23"/>
        <v>0</v>
      </c>
      <c r="X116" s="5">
        <f t="shared" si="24"/>
        <v>0</v>
      </c>
    </row>
    <row r="117" spans="1:24" x14ac:dyDescent="0.25">
      <c r="A117" s="78">
        <v>11510</v>
      </c>
      <c r="B117" s="130" t="s">
        <v>102</v>
      </c>
      <c r="C117" s="81"/>
      <c r="D117" s="82"/>
      <c r="E117" s="83"/>
      <c r="F117" s="81"/>
      <c r="G117" s="82"/>
      <c r="H117" s="83"/>
      <c r="I117" s="81"/>
      <c r="J117" s="82"/>
      <c r="K117" s="83"/>
      <c r="L117" s="81"/>
      <c r="M117" s="82"/>
      <c r="N117" s="83"/>
      <c r="O117" s="98"/>
      <c r="P117" s="100"/>
      <c r="Q117" s="99"/>
      <c r="R117" s="81">
        <f t="shared" si="21"/>
        <v>0</v>
      </c>
      <c r="S117" s="82">
        <f t="shared" si="21"/>
        <v>0</v>
      </c>
      <c r="T117" s="83">
        <f t="shared" si="21"/>
        <v>0</v>
      </c>
      <c r="U117" s="132">
        <f t="shared" si="22"/>
        <v>0</v>
      </c>
      <c r="V117" s="133">
        <f t="shared" si="22"/>
        <v>0</v>
      </c>
      <c r="W117" s="134">
        <f t="shared" si="23"/>
        <v>0</v>
      </c>
      <c r="X117" s="5">
        <f t="shared" si="24"/>
        <v>0</v>
      </c>
    </row>
    <row r="118" spans="1:24" x14ac:dyDescent="0.25">
      <c r="A118" s="78">
        <v>11507</v>
      </c>
      <c r="B118" s="130" t="s">
        <v>98</v>
      </c>
      <c r="C118" s="81"/>
      <c r="D118" s="82"/>
      <c r="E118" s="83"/>
      <c r="F118" s="81"/>
      <c r="G118" s="82"/>
      <c r="H118" s="83"/>
      <c r="I118" s="81"/>
      <c r="J118" s="82"/>
      <c r="K118" s="83"/>
      <c r="L118" s="81"/>
      <c r="M118" s="82"/>
      <c r="N118" s="83"/>
      <c r="O118" s="98"/>
      <c r="P118" s="100"/>
      <c r="Q118" s="99"/>
      <c r="R118" s="81">
        <f t="shared" si="21"/>
        <v>0</v>
      </c>
      <c r="S118" s="82">
        <f t="shared" si="21"/>
        <v>0</v>
      </c>
      <c r="T118" s="83">
        <f t="shared" si="21"/>
        <v>0</v>
      </c>
      <c r="U118" s="132">
        <f t="shared" si="22"/>
        <v>0</v>
      </c>
      <c r="V118" s="133">
        <f t="shared" si="22"/>
        <v>0</v>
      </c>
      <c r="W118" s="134">
        <f t="shared" si="23"/>
        <v>0</v>
      </c>
      <c r="X118" s="5">
        <f t="shared" si="24"/>
        <v>0</v>
      </c>
    </row>
    <row r="119" spans="1:24" x14ac:dyDescent="0.25">
      <c r="A119" s="78">
        <v>11445</v>
      </c>
      <c r="B119" s="7" t="s">
        <v>68</v>
      </c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8"/>
      <c r="Q119" s="108"/>
      <c r="R119" s="81">
        <f t="shared" si="21"/>
        <v>0</v>
      </c>
      <c r="S119" s="82">
        <f t="shared" si="21"/>
        <v>0</v>
      </c>
      <c r="T119" s="83">
        <f t="shared" si="21"/>
        <v>0</v>
      </c>
      <c r="U119" s="132">
        <f t="shared" si="22"/>
        <v>0</v>
      </c>
      <c r="V119" s="133">
        <f t="shared" si="22"/>
        <v>0</v>
      </c>
      <c r="W119" s="134">
        <f t="shared" si="23"/>
        <v>0</v>
      </c>
      <c r="X119" s="5">
        <f t="shared" si="24"/>
        <v>0</v>
      </c>
    </row>
    <row r="120" spans="1:24" x14ac:dyDescent="0.25">
      <c r="A120" s="78">
        <v>11432</v>
      </c>
      <c r="B120" s="7" t="s">
        <v>69</v>
      </c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8"/>
      <c r="Q120" s="108"/>
      <c r="R120" s="81">
        <f t="shared" si="21"/>
        <v>0</v>
      </c>
      <c r="S120" s="82">
        <f t="shared" si="21"/>
        <v>0</v>
      </c>
      <c r="T120" s="83">
        <f t="shared" si="21"/>
        <v>0</v>
      </c>
      <c r="U120" s="132">
        <f t="shared" si="22"/>
        <v>0</v>
      </c>
      <c r="V120" s="133">
        <f t="shared" si="22"/>
        <v>0</v>
      </c>
      <c r="W120" s="134">
        <f t="shared" si="23"/>
        <v>0</v>
      </c>
      <c r="X120" s="5">
        <f t="shared" si="24"/>
        <v>0</v>
      </c>
    </row>
    <row r="121" spans="1:24" x14ac:dyDescent="0.25">
      <c r="A121" s="78">
        <v>11422</v>
      </c>
      <c r="B121" s="7" t="s">
        <v>70</v>
      </c>
      <c r="C121" s="81"/>
      <c r="D121" s="82"/>
      <c r="E121" s="83"/>
      <c r="F121" s="81"/>
      <c r="G121" s="82"/>
      <c r="H121" s="83"/>
      <c r="I121" s="81"/>
      <c r="J121" s="82"/>
      <c r="K121" s="83"/>
      <c r="L121" s="81"/>
      <c r="M121" s="82"/>
      <c r="N121" s="83"/>
      <c r="O121" s="81"/>
      <c r="P121" s="87"/>
      <c r="Q121" s="88"/>
      <c r="R121" s="81">
        <f t="shared" si="21"/>
        <v>0</v>
      </c>
      <c r="S121" s="82">
        <f t="shared" si="21"/>
        <v>0</v>
      </c>
      <c r="T121" s="83">
        <f t="shared" si="21"/>
        <v>0</v>
      </c>
      <c r="U121" s="132">
        <f t="shared" si="22"/>
        <v>0</v>
      </c>
      <c r="V121" s="133">
        <f t="shared" si="22"/>
        <v>0</v>
      </c>
      <c r="W121" s="134">
        <f t="shared" si="23"/>
        <v>0</v>
      </c>
      <c r="X121" s="5">
        <f t="shared" si="24"/>
        <v>0</v>
      </c>
    </row>
    <row r="122" spans="1:24" s="14" customFormat="1" x14ac:dyDescent="0.25">
      <c r="A122" s="120">
        <v>11522</v>
      </c>
      <c r="B122" s="122" t="s">
        <v>121</v>
      </c>
      <c r="C122" s="116"/>
      <c r="D122" s="118"/>
      <c r="E122" s="119"/>
      <c r="F122" s="116"/>
      <c r="G122" s="118"/>
      <c r="H122" s="119"/>
      <c r="I122" s="116"/>
      <c r="J122" s="118"/>
      <c r="K122" s="119"/>
      <c r="L122" s="117"/>
      <c r="M122" s="117"/>
      <c r="N122" s="117"/>
      <c r="O122" s="117"/>
      <c r="P122" s="117"/>
      <c r="Q122" s="117"/>
      <c r="R122" s="116">
        <f t="shared" si="21"/>
        <v>0</v>
      </c>
      <c r="S122" s="118">
        <f t="shared" si="21"/>
        <v>0</v>
      </c>
      <c r="T122" s="119">
        <f t="shared" si="21"/>
        <v>0</v>
      </c>
      <c r="U122" s="136">
        <f t="shared" si="22"/>
        <v>0</v>
      </c>
      <c r="V122" s="137">
        <f t="shared" si="22"/>
        <v>0</v>
      </c>
      <c r="W122" s="138">
        <f t="shared" si="23"/>
        <v>0</v>
      </c>
      <c r="X122" s="16">
        <f t="shared" si="24"/>
        <v>0</v>
      </c>
    </row>
    <row r="123" spans="1:24" x14ac:dyDescent="0.25">
      <c r="A123" s="78">
        <v>11506</v>
      </c>
      <c r="B123" s="130" t="s">
        <v>101</v>
      </c>
      <c r="C123" s="81"/>
      <c r="D123" s="82"/>
      <c r="E123" s="83"/>
      <c r="F123" s="81"/>
      <c r="G123" s="82"/>
      <c r="H123" s="83"/>
      <c r="I123" s="81"/>
      <c r="J123" s="82"/>
      <c r="K123" s="83"/>
      <c r="L123" s="81"/>
      <c r="M123" s="82"/>
      <c r="N123" s="83"/>
      <c r="O123" s="98"/>
      <c r="P123" s="100"/>
      <c r="Q123" s="99"/>
      <c r="R123" s="81">
        <f t="shared" si="21"/>
        <v>0</v>
      </c>
      <c r="S123" s="82">
        <f t="shared" si="21"/>
        <v>0</v>
      </c>
      <c r="T123" s="83">
        <f t="shared" si="21"/>
        <v>0</v>
      </c>
      <c r="U123" s="132">
        <f t="shared" si="22"/>
        <v>0</v>
      </c>
      <c r="V123" s="133">
        <f t="shared" si="22"/>
        <v>0</v>
      </c>
      <c r="W123" s="134">
        <f t="shared" si="23"/>
        <v>0</v>
      </c>
      <c r="X123" s="5">
        <f t="shared" si="24"/>
        <v>0</v>
      </c>
    </row>
    <row r="124" spans="1:24" x14ac:dyDescent="0.25">
      <c r="A124" s="78">
        <v>11478</v>
      </c>
      <c r="B124" s="7" t="s">
        <v>71</v>
      </c>
      <c r="C124" s="81"/>
      <c r="D124" s="82"/>
      <c r="E124" s="83"/>
      <c r="F124" s="81"/>
      <c r="G124" s="82"/>
      <c r="H124" s="83"/>
      <c r="I124" s="81"/>
      <c r="J124" s="82"/>
      <c r="K124" s="83"/>
      <c r="L124" s="81"/>
      <c r="M124" s="82"/>
      <c r="N124" s="83"/>
      <c r="O124" s="98"/>
      <c r="P124" s="100"/>
      <c r="Q124" s="99"/>
      <c r="R124" s="81">
        <f t="shared" si="21"/>
        <v>0</v>
      </c>
      <c r="S124" s="82">
        <f t="shared" si="21"/>
        <v>0</v>
      </c>
      <c r="T124" s="83">
        <f t="shared" si="21"/>
        <v>0</v>
      </c>
      <c r="U124" s="132">
        <f t="shared" si="22"/>
        <v>0</v>
      </c>
      <c r="V124" s="133">
        <f t="shared" si="22"/>
        <v>0</v>
      </c>
      <c r="W124" s="134">
        <f t="shared" si="23"/>
        <v>0</v>
      </c>
      <c r="X124" s="5">
        <f t="shared" si="24"/>
        <v>0</v>
      </c>
    </row>
    <row r="125" spans="1:24" x14ac:dyDescent="0.25">
      <c r="A125" s="78">
        <v>11477</v>
      </c>
      <c r="B125" s="130" t="s">
        <v>72</v>
      </c>
      <c r="C125" s="81"/>
      <c r="D125" s="82"/>
      <c r="E125" s="83"/>
      <c r="F125" s="81"/>
      <c r="G125" s="82"/>
      <c r="H125" s="83"/>
      <c r="I125" s="81"/>
      <c r="J125" s="82"/>
      <c r="K125" s="83"/>
      <c r="L125" s="81"/>
      <c r="M125" s="82"/>
      <c r="N125" s="83"/>
      <c r="O125" s="98"/>
      <c r="P125" s="100"/>
      <c r="Q125" s="99"/>
      <c r="R125" s="81">
        <f t="shared" si="21"/>
        <v>0</v>
      </c>
      <c r="S125" s="82">
        <f t="shared" si="21"/>
        <v>0</v>
      </c>
      <c r="T125" s="83">
        <f t="shared" si="21"/>
        <v>0</v>
      </c>
      <c r="U125" s="132">
        <f t="shared" si="22"/>
        <v>0</v>
      </c>
      <c r="V125" s="133">
        <f t="shared" si="22"/>
        <v>0</v>
      </c>
      <c r="W125" s="134">
        <f t="shared" si="23"/>
        <v>0</v>
      </c>
      <c r="X125" s="5">
        <f t="shared" si="24"/>
        <v>0</v>
      </c>
    </row>
    <row r="126" spans="1:24" x14ac:dyDescent="0.25">
      <c r="A126" s="78">
        <v>11520</v>
      </c>
      <c r="B126" s="130" t="s">
        <v>120</v>
      </c>
      <c r="C126" s="81"/>
      <c r="D126" s="82"/>
      <c r="E126" s="83"/>
      <c r="F126" s="81"/>
      <c r="G126" s="82"/>
      <c r="H126" s="83"/>
      <c r="I126" s="81"/>
      <c r="J126" s="82"/>
      <c r="K126" s="83"/>
      <c r="L126" s="81"/>
      <c r="M126" s="82"/>
      <c r="N126" s="83"/>
      <c r="O126" s="98"/>
      <c r="P126" s="100"/>
      <c r="Q126" s="99"/>
      <c r="R126" s="81">
        <f t="shared" si="21"/>
        <v>0</v>
      </c>
      <c r="S126" s="82">
        <f t="shared" si="21"/>
        <v>0</v>
      </c>
      <c r="T126" s="83">
        <f t="shared" si="21"/>
        <v>0</v>
      </c>
      <c r="U126" s="132">
        <f t="shared" si="22"/>
        <v>0</v>
      </c>
      <c r="V126" s="133">
        <f t="shared" si="22"/>
        <v>0</v>
      </c>
      <c r="W126" s="134">
        <f t="shared" si="23"/>
        <v>0</v>
      </c>
      <c r="X126" s="5">
        <f t="shared" si="24"/>
        <v>0</v>
      </c>
    </row>
    <row r="127" spans="1:24" s="14" customFormat="1" x14ac:dyDescent="0.25">
      <c r="A127" s="120"/>
      <c r="B127" s="121" t="s">
        <v>119</v>
      </c>
      <c r="C127" s="116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6">
        <f t="shared" si="21"/>
        <v>0</v>
      </c>
      <c r="S127" s="118">
        <f t="shared" si="21"/>
        <v>0</v>
      </c>
      <c r="T127" s="119">
        <f t="shared" si="21"/>
        <v>0</v>
      </c>
      <c r="U127" s="136">
        <f t="shared" si="22"/>
        <v>0</v>
      </c>
      <c r="V127" s="137">
        <f t="shared" si="22"/>
        <v>0</v>
      </c>
      <c r="W127" s="138">
        <f t="shared" si="23"/>
        <v>0</v>
      </c>
      <c r="X127" s="16">
        <f t="shared" si="24"/>
        <v>0</v>
      </c>
    </row>
    <row r="128" spans="1:24" x14ac:dyDescent="0.25">
      <c r="A128" s="78">
        <v>11456</v>
      </c>
      <c r="B128" s="7" t="s">
        <v>73</v>
      </c>
      <c r="C128" s="107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8"/>
      <c r="Q128" s="108"/>
      <c r="R128" s="81">
        <f t="shared" si="21"/>
        <v>0</v>
      </c>
      <c r="S128" s="82">
        <f t="shared" si="21"/>
        <v>0</v>
      </c>
      <c r="T128" s="83">
        <f t="shared" si="21"/>
        <v>0</v>
      </c>
      <c r="U128" s="132">
        <f t="shared" si="22"/>
        <v>0</v>
      </c>
      <c r="V128" s="133">
        <f t="shared" si="22"/>
        <v>0</v>
      </c>
      <c r="W128" s="134">
        <f t="shared" si="23"/>
        <v>0</v>
      </c>
      <c r="X128" s="5">
        <f t="shared" si="24"/>
        <v>0</v>
      </c>
    </row>
    <row r="129" spans="1:24" x14ac:dyDescent="0.25">
      <c r="A129" s="78">
        <v>11444</v>
      </c>
      <c r="B129" s="7" t="s">
        <v>76</v>
      </c>
      <c r="C129" s="107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8"/>
      <c r="Q129" s="108"/>
      <c r="R129" s="81">
        <f t="shared" si="21"/>
        <v>0</v>
      </c>
      <c r="S129" s="82">
        <f t="shared" si="21"/>
        <v>0</v>
      </c>
      <c r="T129" s="83">
        <f t="shared" si="21"/>
        <v>0</v>
      </c>
      <c r="U129" s="132">
        <f t="shared" si="22"/>
        <v>0</v>
      </c>
      <c r="V129" s="133">
        <f t="shared" si="22"/>
        <v>0</v>
      </c>
      <c r="W129" s="134">
        <f t="shared" si="23"/>
        <v>0</v>
      </c>
      <c r="X129" s="5">
        <f t="shared" si="24"/>
        <v>0</v>
      </c>
    </row>
    <row r="130" spans="1:24" x14ac:dyDescent="0.25">
      <c r="A130" s="78">
        <v>11434</v>
      </c>
      <c r="B130" s="7" t="s">
        <v>77</v>
      </c>
      <c r="C130" s="107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8"/>
      <c r="Q130" s="108"/>
      <c r="R130" s="81">
        <f t="shared" si="21"/>
        <v>0</v>
      </c>
      <c r="S130" s="82">
        <f t="shared" si="21"/>
        <v>0</v>
      </c>
      <c r="T130" s="83">
        <f t="shared" si="21"/>
        <v>0</v>
      </c>
      <c r="U130" s="132">
        <f t="shared" si="22"/>
        <v>0</v>
      </c>
      <c r="V130" s="133">
        <f t="shared" si="22"/>
        <v>0</v>
      </c>
      <c r="W130" s="134">
        <f t="shared" si="23"/>
        <v>0</v>
      </c>
      <c r="X130" s="5">
        <f t="shared" si="24"/>
        <v>0</v>
      </c>
    </row>
    <row r="131" spans="1:24" x14ac:dyDescent="0.25">
      <c r="A131" s="78">
        <v>11455</v>
      </c>
      <c r="B131" s="7" t="s">
        <v>78</v>
      </c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8"/>
      <c r="Q131" s="108"/>
      <c r="R131" s="81">
        <f t="shared" si="21"/>
        <v>0</v>
      </c>
      <c r="S131" s="82">
        <f t="shared" si="21"/>
        <v>0</v>
      </c>
      <c r="T131" s="83">
        <f t="shared" si="21"/>
        <v>0</v>
      </c>
      <c r="U131" s="132">
        <f t="shared" si="22"/>
        <v>0</v>
      </c>
      <c r="V131" s="133">
        <f t="shared" si="22"/>
        <v>0</v>
      </c>
      <c r="W131" s="134">
        <f t="shared" si="23"/>
        <v>0</v>
      </c>
      <c r="X131" s="5">
        <f t="shared" si="24"/>
        <v>0</v>
      </c>
    </row>
    <row r="132" spans="1:24" x14ac:dyDescent="0.25">
      <c r="A132" s="78">
        <v>11463</v>
      </c>
      <c r="B132" s="7" t="s">
        <v>80</v>
      </c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8"/>
      <c r="Q132" s="108"/>
      <c r="R132" s="81">
        <f t="shared" si="21"/>
        <v>0</v>
      </c>
      <c r="S132" s="82">
        <f t="shared" si="21"/>
        <v>0</v>
      </c>
      <c r="T132" s="83">
        <f t="shared" si="21"/>
        <v>0</v>
      </c>
      <c r="U132" s="132">
        <f t="shared" si="22"/>
        <v>0</v>
      </c>
      <c r="V132" s="133">
        <f t="shared" si="22"/>
        <v>0</v>
      </c>
      <c r="W132" s="134">
        <f t="shared" si="23"/>
        <v>0</v>
      </c>
      <c r="X132" s="5">
        <f t="shared" si="24"/>
        <v>0</v>
      </c>
    </row>
    <row r="133" spans="1:24" x14ac:dyDescent="0.25">
      <c r="A133" s="78"/>
      <c r="B133" s="4"/>
      <c r="C133" s="4">
        <f t="shared" ref="C133:X133" si="25">SUM(C102:C132)</f>
        <v>0</v>
      </c>
      <c r="D133" s="4">
        <f t="shared" si="25"/>
        <v>0</v>
      </c>
      <c r="E133" s="4">
        <f t="shared" si="25"/>
        <v>0</v>
      </c>
      <c r="F133" s="4">
        <f t="shared" si="25"/>
        <v>0</v>
      </c>
      <c r="G133" s="4">
        <f t="shared" si="25"/>
        <v>0</v>
      </c>
      <c r="H133" s="4">
        <f t="shared" si="25"/>
        <v>0</v>
      </c>
      <c r="I133" s="4">
        <f t="shared" si="25"/>
        <v>0</v>
      </c>
      <c r="J133" s="4">
        <f t="shared" si="25"/>
        <v>0</v>
      </c>
      <c r="K133" s="4">
        <f t="shared" si="25"/>
        <v>0</v>
      </c>
      <c r="L133" s="4">
        <f t="shared" si="25"/>
        <v>0</v>
      </c>
      <c r="M133" s="4">
        <f t="shared" si="25"/>
        <v>0</v>
      </c>
      <c r="N133" s="4">
        <f t="shared" si="25"/>
        <v>0</v>
      </c>
      <c r="O133" s="4">
        <f t="shared" si="25"/>
        <v>0</v>
      </c>
      <c r="P133" s="4">
        <f t="shared" si="25"/>
        <v>0</v>
      </c>
      <c r="Q133" s="4">
        <f t="shared" si="25"/>
        <v>0</v>
      </c>
      <c r="R133" s="4">
        <f t="shared" si="25"/>
        <v>0</v>
      </c>
      <c r="S133" s="4">
        <f t="shared" si="25"/>
        <v>0</v>
      </c>
      <c r="T133" s="4">
        <f t="shared" si="25"/>
        <v>0</v>
      </c>
      <c r="U133" s="4">
        <f t="shared" si="25"/>
        <v>0</v>
      </c>
      <c r="V133" s="4">
        <f t="shared" si="25"/>
        <v>0</v>
      </c>
      <c r="W133" s="4">
        <f t="shared" si="25"/>
        <v>0</v>
      </c>
      <c r="X133" s="4">
        <f t="shared" si="25"/>
        <v>0</v>
      </c>
    </row>
    <row r="135" spans="1:24" x14ac:dyDescent="0.25">
      <c r="R135" s="91">
        <f t="shared" ref="R135:X135" si="26">+R21+R61+R97+R133</f>
        <v>940</v>
      </c>
      <c r="S135" s="91">
        <f t="shared" si="26"/>
        <v>396</v>
      </c>
      <c r="T135" s="91">
        <f t="shared" si="26"/>
        <v>508</v>
      </c>
      <c r="U135" s="92">
        <f t="shared" si="26"/>
        <v>8471.5999999999985</v>
      </c>
      <c r="V135" s="92">
        <f t="shared" si="26"/>
        <v>3524.4000000000005</v>
      </c>
      <c r="W135" s="92">
        <f t="shared" si="26"/>
        <v>5712.0400000000009</v>
      </c>
      <c r="X135" s="92">
        <f t="shared" si="26"/>
        <v>17708.039999999994</v>
      </c>
    </row>
    <row r="136" spans="1:24" x14ac:dyDescent="0.25">
      <c r="R136" s="93"/>
      <c r="S136" s="93"/>
      <c r="T136" s="93"/>
      <c r="U136" s="93"/>
      <c r="V136" s="93"/>
      <c r="W136" s="93"/>
      <c r="X136" s="93"/>
    </row>
    <row r="137" spans="1:24" x14ac:dyDescent="0.25">
      <c r="A137" s="1">
        <f>COUNT(A66:A87,A102:A123)</f>
        <v>44</v>
      </c>
      <c r="R137" s="114">
        <f>+R135/SUM($R$135:$T$135)</f>
        <v>0.50976138828633411</v>
      </c>
      <c r="S137" s="114">
        <f t="shared" ref="S137:T137" si="27">+S135/SUM($R$135:$T$135)</f>
        <v>0.21475054229934923</v>
      </c>
      <c r="T137" s="114">
        <f t="shared" si="27"/>
        <v>0.27548806941431669</v>
      </c>
    </row>
    <row r="138" spans="1:24" x14ac:dyDescent="0.25">
      <c r="F138" s="91"/>
      <c r="R138" s="90"/>
      <c r="V138" s="90"/>
      <c r="W138" s="90"/>
    </row>
    <row r="139" spans="1:24" x14ac:dyDescent="0.25">
      <c r="C139" s="182" t="s">
        <v>205</v>
      </c>
      <c r="D139" s="182" t="s">
        <v>206</v>
      </c>
      <c r="E139" s="182" t="s">
        <v>207</v>
      </c>
      <c r="F139" s="182" t="s">
        <v>208</v>
      </c>
      <c r="G139" s="182" t="s">
        <v>209</v>
      </c>
      <c r="R139" s="2">
        <f>+R97+R133</f>
        <v>940</v>
      </c>
      <c r="S139" s="2">
        <f t="shared" ref="S139:T139" si="28">+S97+S133</f>
        <v>396</v>
      </c>
      <c r="T139" s="2">
        <f t="shared" si="28"/>
        <v>508</v>
      </c>
      <c r="V139" s="2">
        <f t="shared" ref="V139:W139" si="29">+V97+V133</f>
        <v>3524.4000000000005</v>
      </c>
      <c r="W139" s="2">
        <f t="shared" si="29"/>
        <v>5712.0400000000009</v>
      </c>
    </row>
    <row r="140" spans="1:24" x14ac:dyDescent="0.25">
      <c r="B140" s="179" t="s">
        <v>200</v>
      </c>
      <c r="C140" s="91">
        <f>SUM(C22:E22)</f>
        <v>0</v>
      </c>
      <c r="D140" s="91">
        <f>SUM(F22:H22)</f>
        <v>0</v>
      </c>
      <c r="E140" s="91">
        <f>SUM(I22:K22)</f>
        <v>0</v>
      </c>
      <c r="F140" s="91">
        <f>SUM(L22:N22)</f>
        <v>0</v>
      </c>
      <c r="G140" s="91">
        <f>SUM(O22:Q22)</f>
        <v>0</v>
      </c>
      <c r="H140" s="91">
        <f>SUM($R$21:$T$21)</f>
        <v>0</v>
      </c>
    </row>
    <row r="141" spans="1:24" x14ac:dyDescent="0.25">
      <c r="B141" s="179" t="s">
        <v>201</v>
      </c>
      <c r="C141" s="91">
        <f>SUM(C62:E62)</f>
        <v>0</v>
      </c>
      <c r="D141" s="91">
        <f>SUM(F62:H62)</f>
        <v>0</v>
      </c>
      <c r="E141" s="91">
        <f>SUM(I62:K62)</f>
        <v>0</v>
      </c>
      <c r="F141" s="91">
        <f>SUM(L62:N62)</f>
        <v>518</v>
      </c>
      <c r="G141" s="91">
        <f>SUM(O62:Q62)</f>
        <v>0</v>
      </c>
      <c r="H141" s="91">
        <f>SUM($R$61:$T$61)</f>
        <v>0</v>
      </c>
      <c r="R141" s="91">
        <f>+R139-R68-R71-R72-R90-R127-R95-R106-R122</f>
        <v>860</v>
      </c>
      <c r="S141" s="91"/>
      <c r="T141" s="91"/>
      <c r="U141" s="92"/>
      <c r="V141" s="91">
        <f t="shared" ref="V141:W141" si="30">+V139-V68-V71-V72-V90-V127-V95-V106-V122</f>
        <v>3524.4000000000005</v>
      </c>
      <c r="W141" s="115">
        <f t="shared" si="30"/>
        <v>5520.8400000000011</v>
      </c>
      <c r="X141" s="91"/>
    </row>
    <row r="142" spans="1:24" x14ac:dyDescent="0.25">
      <c r="B142" s="179" t="s">
        <v>202</v>
      </c>
      <c r="C142" s="91">
        <f>SUM(C98:E98)</f>
        <v>0</v>
      </c>
      <c r="D142" s="91">
        <f>SUM(F98:H98)</f>
        <v>0</v>
      </c>
      <c r="E142" s="91">
        <f>SUM(I98:K98)</f>
        <v>0</v>
      </c>
      <c r="F142" s="91">
        <f>SUM(L98:N98)</f>
        <v>0</v>
      </c>
      <c r="G142" s="91">
        <f>SUM(O98:Q98)</f>
        <v>0</v>
      </c>
      <c r="H142" s="91">
        <f>SUM($R$97:$T$97)</f>
        <v>1844</v>
      </c>
    </row>
    <row r="143" spans="1:24" x14ac:dyDescent="0.25">
      <c r="B143" s="183" t="s">
        <v>203</v>
      </c>
      <c r="C143" s="184">
        <f>SUM(C134:E134)</f>
        <v>0</v>
      </c>
      <c r="D143" s="184">
        <f>SUM(F134:H134)</f>
        <v>0</v>
      </c>
      <c r="E143" s="184">
        <f>SUM(I134:K134)</f>
        <v>0</v>
      </c>
      <c r="F143" s="184">
        <f>SUM(L134:N134)</f>
        <v>0</v>
      </c>
      <c r="G143" s="184">
        <f>SUM(O134:Q134)</f>
        <v>0</v>
      </c>
      <c r="H143" s="184">
        <f>SUM($R$133:$T$133)</f>
        <v>0</v>
      </c>
    </row>
    <row r="144" spans="1:24" x14ac:dyDescent="0.25">
      <c r="B144" s="180" t="s">
        <v>210</v>
      </c>
      <c r="C144" s="91">
        <f>SUM(C140:C143)</f>
        <v>0</v>
      </c>
      <c r="D144" s="91">
        <f t="shared" ref="D144:G144" si="31">SUM(D140:D143)</f>
        <v>0</v>
      </c>
      <c r="E144" s="91">
        <f t="shared" si="31"/>
        <v>0</v>
      </c>
      <c r="F144" s="91">
        <f t="shared" si="31"/>
        <v>518</v>
      </c>
      <c r="G144" s="91">
        <f t="shared" si="31"/>
        <v>0</v>
      </c>
      <c r="H144" s="91"/>
    </row>
    <row r="145" spans="3:8" x14ac:dyDescent="0.25">
      <c r="C145" s="91"/>
      <c r="D145" s="91"/>
      <c r="E145" s="91"/>
      <c r="F145" s="91"/>
      <c r="G145" s="181" t="s">
        <v>204</v>
      </c>
      <c r="H145" s="91">
        <f>SUM(H140:H143)</f>
        <v>1844</v>
      </c>
    </row>
  </sheetData>
  <mergeCells count="52">
    <mergeCell ref="A5:B5"/>
    <mergeCell ref="C5:E5"/>
    <mergeCell ref="F5:H5"/>
    <mergeCell ref="I5:K5"/>
    <mergeCell ref="L5:N5"/>
    <mergeCell ref="R5:T5"/>
    <mergeCell ref="U5:X5"/>
    <mergeCell ref="C6:E6"/>
    <mergeCell ref="F6:H6"/>
    <mergeCell ref="I6:K6"/>
    <mergeCell ref="L6:N6"/>
    <mergeCell ref="O6:Q6"/>
    <mergeCell ref="O5:Q5"/>
    <mergeCell ref="A24:B24"/>
    <mergeCell ref="C24:E24"/>
    <mergeCell ref="F24:H24"/>
    <mergeCell ref="I24:K24"/>
    <mergeCell ref="L24:N24"/>
    <mergeCell ref="R24:T24"/>
    <mergeCell ref="U24:X24"/>
    <mergeCell ref="C25:E25"/>
    <mergeCell ref="F25:H25"/>
    <mergeCell ref="I25:K25"/>
    <mergeCell ref="L25:N25"/>
    <mergeCell ref="O25:Q25"/>
    <mergeCell ref="O24:Q24"/>
    <mergeCell ref="A64:B64"/>
    <mergeCell ref="C64:E64"/>
    <mergeCell ref="F64:H64"/>
    <mergeCell ref="I64:K64"/>
    <mergeCell ref="L64:N64"/>
    <mergeCell ref="R64:T64"/>
    <mergeCell ref="U64:X64"/>
    <mergeCell ref="C65:E65"/>
    <mergeCell ref="F65:H65"/>
    <mergeCell ref="I65:K65"/>
    <mergeCell ref="L65:N65"/>
    <mergeCell ref="O65:Q65"/>
    <mergeCell ref="O64:Q64"/>
    <mergeCell ref="A100:B100"/>
    <mergeCell ref="C100:E100"/>
    <mergeCell ref="F100:H100"/>
    <mergeCell ref="I100:K100"/>
    <mergeCell ref="L100:N100"/>
    <mergeCell ref="R100:T100"/>
    <mergeCell ref="U100:X100"/>
    <mergeCell ref="C101:E101"/>
    <mergeCell ref="F101:H101"/>
    <mergeCell ref="I101:K101"/>
    <mergeCell ref="L101:N101"/>
    <mergeCell ref="O101:Q101"/>
    <mergeCell ref="O100:Q100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DA8E-43AC-48C5-B0C5-09161D1DB8A8}">
  <sheetPr codeName="Hoja2"/>
  <dimension ref="A1:AF11"/>
  <sheetViews>
    <sheetView zoomScale="70" zoomScaleNormal="70" workbookViewId="0"/>
  </sheetViews>
  <sheetFormatPr defaultColWidth="11.42578125" defaultRowHeight="15" x14ac:dyDescent="0.25"/>
  <cols>
    <col min="1" max="1" width="35" bestFit="1" customWidth="1"/>
  </cols>
  <sheetData>
    <row r="1" spans="1:32" x14ac:dyDescent="0.25">
      <c r="A1" s="8"/>
      <c r="B1" s="9" t="s">
        <v>111</v>
      </c>
      <c r="C1" s="9" t="s">
        <v>112</v>
      </c>
      <c r="D1" s="9" t="s">
        <v>113</v>
      </c>
      <c r="E1" s="9" t="s">
        <v>114</v>
      </c>
      <c r="F1" s="9" t="s">
        <v>115</v>
      </c>
      <c r="G1" s="10" t="s">
        <v>116</v>
      </c>
      <c r="H1" s="10" t="s">
        <v>117</v>
      </c>
      <c r="I1" s="9" t="s">
        <v>111</v>
      </c>
      <c r="J1" s="9" t="s">
        <v>112</v>
      </c>
      <c r="K1" s="9" t="s">
        <v>113</v>
      </c>
      <c r="L1" s="9" t="s">
        <v>114</v>
      </c>
      <c r="M1" s="9" t="s">
        <v>115</v>
      </c>
      <c r="N1" s="10" t="s">
        <v>116</v>
      </c>
      <c r="O1" s="10" t="s">
        <v>117</v>
      </c>
      <c r="P1" s="9" t="s">
        <v>111</v>
      </c>
      <c r="Q1" s="9" t="s">
        <v>112</v>
      </c>
      <c r="R1" s="9" t="s">
        <v>113</v>
      </c>
      <c r="S1" s="9" t="s">
        <v>114</v>
      </c>
      <c r="T1" s="9" t="s">
        <v>115</v>
      </c>
      <c r="U1" s="10" t="s">
        <v>116</v>
      </c>
      <c r="V1" s="10" t="s">
        <v>117</v>
      </c>
      <c r="W1" s="9" t="s">
        <v>111</v>
      </c>
      <c r="X1" s="9" t="s">
        <v>112</v>
      </c>
      <c r="Y1" s="9" t="s">
        <v>113</v>
      </c>
      <c r="Z1" s="9" t="s">
        <v>114</v>
      </c>
      <c r="AA1" s="9" t="s">
        <v>115</v>
      </c>
      <c r="AB1" s="10" t="s">
        <v>116</v>
      </c>
      <c r="AC1" s="10" t="s">
        <v>117</v>
      </c>
      <c r="AD1" s="9" t="s">
        <v>111</v>
      </c>
      <c r="AE1" s="9" t="s">
        <v>112</v>
      </c>
      <c r="AF1" s="9" t="s">
        <v>113</v>
      </c>
    </row>
    <row r="2" spans="1:32" x14ac:dyDescent="0.25">
      <c r="A2" s="8"/>
      <c r="B2" s="9">
        <v>1</v>
      </c>
      <c r="C2" s="9">
        <v>2</v>
      </c>
      <c r="D2" s="9">
        <v>3</v>
      </c>
      <c r="E2" s="9">
        <v>4</v>
      </c>
      <c r="F2" s="9">
        <v>5</v>
      </c>
      <c r="G2" s="10">
        <v>6</v>
      </c>
      <c r="H2" s="10">
        <v>7</v>
      </c>
      <c r="I2" s="9">
        <v>8</v>
      </c>
      <c r="J2" s="9">
        <v>9</v>
      </c>
      <c r="K2" s="9">
        <v>10</v>
      </c>
      <c r="L2" s="9">
        <v>11</v>
      </c>
      <c r="M2" s="9">
        <v>12</v>
      </c>
      <c r="N2" s="10">
        <v>13</v>
      </c>
      <c r="O2" s="10">
        <v>14</v>
      </c>
      <c r="P2" s="9">
        <v>15</v>
      </c>
      <c r="Q2" s="9">
        <v>16</v>
      </c>
      <c r="R2" s="9">
        <v>17</v>
      </c>
      <c r="S2" s="9">
        <v>18</v>
      </c>
      <c r="T2" s="9">
        <v>19</v>
      </c>
      <c r="U2" s="10">
        <v>20</v>
      </c>
      <c r="V2" s="10">
        <v>21</v>
      </c>
      <c r="W2" s="9">
        <v>22</v>
      </c>
      <c r="X2" s="9">
        <v>23</v>
      </c>
      <c r="Y2" s="9">
        <v>24</v>
      </c>
      <c r="Z2" s="9">
        <v>25</v>
      </c>
      <c r="AA2" s="9">
        <v>26</v>
      </c>
      <c r="AB2" s="10">
        <v>27</v>
      </c>
      <c r="AC2" s="10">
        <v>28</v>
      </c>
      <c r="AD2" s="9">
        <v>29</v>
      </c>
      <c r="AE2" s="9">
        <v>30</v>
      </c>
      <c r="AF2" s="9">
        <v>31</v>
      </c>
    </row>
    <row r="3" spans="1:32" x14ac:dyDescent="0.25">
      <c r="A3" s="8" t="s">
        <v>105</v>
      </c>
      <c r="B3" s="11" t="s">
        <v>118</v>
      </c>
      <c r="C3" s="11" t="s">
        <v>118</v>
      </c>
      <c r="D3" s="11" t="s">
        <v>118</v>
      </c>
      <c r="E3" s="11" t="s">
        <v>118</v>
      </c>
      <c r="F3" s="11" t="s">
        <v>118</v>
      </c>
      <c r="G3" s="12"/>
      <c r="H3" s="12"/>
      <c r="I3" s="11"/>
      <c r="J3" s="11"/>
      <c r="K3" s="11"/>
      <c r="L3" s="11"/>
      <c r="M3" s="11"/>
      <c r="N3" s="12"/>
      <c r="O3" s="12"/>
      <c r="P3" s="11"/>
      <c r="Q3" s="11"/>
      <c r="R3" s="11"/>
      <c r="S3" s="11"/>
      <c r="T3" s="11"/>
      <c r="U3" s="12"/>
      <c r="V3" s="12"/>
      <c r="W3" s="11"/>
      <c r="X3" s="11"/>
      <c r="Y3" s="11"/>
      <c r="Z3" s="11"/>
      <c r="AA3" s="11"/>
      <c r="AB3" s="12"/>
      <c r="AC3" s="12"/>
      <c r="AD3" s="11"/>
      <c r="AE3" s="11"/>
      <c r="AF3" s="11"/>
    </row>
    <row r="4" spans="1:32" x14ac:dyDescent="0.25">
      <c r="A4" s="8" t="s">
        <v>121</v>
      </c>
      <c r="B4" s="11"/>
      <c r="C4" s="11"/>
      <c r="D4" s="11"/>
      <c r="E4" s="11"/>
      <c r="F4" s="11" t="s">
        <v>118</v>
      </c>
      <c r="G4" s="12"/>
      <c r="H4" s="12"/>
      <c r="I4" s="11" t="s">
        <v>118</v>
      </c>
      <c r="J4" s="11" t="s">
        <v>118</v>
      </c>
      <c r="K4" s="11" t="s">
        <v>118</v>
      </c>
      <c r="L4" s="11" t="s">
        <v>118</v>
      </c>
      <c r="M4" s="11" t="s">
        <v>118</v>
      </c>
      <c r="N4" s="12"/>
      <c r="O4" s="12"/>
      <c r="P4" s="11" t="s">
        <v>118</v>
      </c>
      <c r="Q4" s="11" t="s">
        <v>118</v>
      </c>
      <c r="R4" s="11" t="s">
        <v>118</v>
      </c>
      <c r="S4" s="11" t="s">
        <v>118</v>
      </c>
      <c r="T4" s="11" t="s">
        <v>118</v>
      </c>
      <c r="U4" s="12"/>
      <c r="V4" s="12"/>
      <c r="W4" s="11"/>
      <c r="X4" s="11"/>
      <c r="Y4" s="11"/>
      <c r="Z4" s="11"/>
      <c r="AA4" s="11"/>
      <c r="AB4" s="12"/>
      <c r="AC4" s="12"/>
      <c r="AD4" s="11"/>
      <c r="AE4" s="11"/>
      <c r="AF4" s="11"/>
    </row>
    <row r="5" spans="1:32" ht="15.75" x14ac:dyDescent="0.25">
      <c r="A5" s="7" t="s">
        <v>122</v>
      </c>
      <c r="B5" s="11"/>
      <c r="C5" s="11"/>
      <c r="D5" s="11"/>
      <c r="E5" s="11"/>
      <c r="F5" s="11"/>
      <c r="G5" s="12"/>
      <c r="H5" s="12"/>
      <c r="I5" s="11"/>
      <c r="J5" s="11" t="s">
        <v>118</v>
      </c>
      <c r="K5" s="11" t="s">
        <v>118</v>
      </c>
      <c r="L5" s="11" t="s">
        <v>118</v>
      </c>
      <c r="M5" s="11" t="s">
        <v>118</v>
      </c>
      <c r="N5" s="12"/>
      <c r="O5" s="12"/>
      <c r="P5" s="11" t="s">
        <v>118</v>
      </c>
      <c r="Q5" s="11"/>
      <c r="R5" s="11" t="s">
        <v>118</v>
      </c>
      <c r="S5" s="11" t="s">
        <v>118</v>
      </c>
      <c r="T5" s="11" t="s">
        <v>118</v>
      </c>
      <c r="U5" s="12"/>
      <c r="V5" s="12"/>
      <c r="W5" s="11"/>
      <c r="X5" s="11"/>
      <c r="Y5" s="11"/>
      <c r="Z5" s="11"/>
      <c r="AA5" s="11"/>
      <c r="AB5" s="12"/>
      <c r="AC5" s="12"/>
      <c r="AD5" s="11"/>
      <c r="AE5" s="11"/>
      <c r="AF5" s="11"/>
    </row>
    <row r="6" spans="1:32" x14ac:dyDescent="0.25">
      <c r="A6" s="8"/>
      <c r="B6" s="11"/>
      <c r="C6" s="11"/>
      <c r="D6" s="11"/>
      <c r="E6" s="11"/>
      <c r="F6" s="11"/>
      <c r="G6" s="12"/>
      <c r="H6" s="12"/>
      <c r="I6" s="11"/>
      <c r="J6" s="11"/>
      <c r="K6" s="11"/>
      <c r="L6" s="11"/>
      <c r="M6" s="11"/>
      <c r="N6" s="12"/>
      <c r="O6" s="12"/>
      <c r="P6" s="11"/>
      <c r="Q6" s="11"/>
      <c r="R6" s="11"/>
      <c r="S6" s="11"/>
      <c r="T6" s="11"/>
      <c r="U6" s="12"/>
      <c r="V6" s="12"/>
      <c r="W6" s="11"/>
      <c r="X6" s="11"/>
      <c r="Y6" s="11"/>
      <c r="Z6" s="11"/>
      <c r="AA6" s="11"/>
      <c r="AB6" s="12"/>
      <c r="AC6" s="12"/>
      <c r="AD6" s="11"/>
      <c r="AE6" s="11"/>
      <c r="AF6" s="11"/>
    </row>
    <row r="7" spans="1:32" x14ac:dyDescent="0.25">
      <c r="A7" s="8"/>
      <c r="B7" s="8"/>
      <c r="C7" s="8"/>
      <c r="D7" s="8"/>
      <c r="E7" s="8"/>
      <c r="F7" s="8"/>
      <c r="G7" s="13"/>
      <c r="H7" s="13"/>
      <c r="I7" s="8"/>
      <c r="J7" s="8"/>
      <c r="K7" s="8"/>
      <c r="L7" s="8"/>
      <c r="M7" s="8"/>
      <c r="N7" s="13"/>
      <c r="O7" s="13"/>
      <c r="P7" s="8"/>
      <c r="Q7" s="8"/>
      <c r="R7" s="8"/>
      <c r="S7" s="8"/>
      <c r="T7" s="8"/>
      <c r="U7" s="13"/>
      <c r="V7" s="13"/>
      <c r="W7" s="8"/>
      <c r="X7" s="8"/>
      <c r="Y7" s="8"/>
      <c r="Z7" s="8"/>
      <c r="AA7" s="8"/>
      <c r="AB7" s="13"/>
      <c r="AC7" s="13"/>
      <c r="AD7" s="8"/>
      <c r="AE7" s="8"/>
      <c r="AF7" s="8"/>
    </row>
    <row r="8" spans="1:32" x14ac:dyDescent="0.25">
      <c r="A8" s="8"/>
      <c r="B8" s="8"/>
      <c r="C8" s="8"/>
      <c r="D8" s="8"/>
      <c r="E8" s="8"/>
      <c r="F8" s="8"/>
      <c r="G8" s="13"/>
      <c r="H8" s="13"/>
      <c r="I8" s="8"/>
      <c r="J8" s="8"/>
      <c r="K8" s="8"/>
      <c r="L8" s="8"/>
      <c r="M8" s="8"/>
      <c r="N8" s="13"/>
      <c r="O8" s="13"/>
      <c r="P8" s="8"/>
      <c r="Q8" s="8"/>
      <c r="R8" s="8"/>
      <c r="S8" s="8"/>
      <c r="T8" s="8"/>
      <c r="U8" s="13"/>
      <c r="V8" s="13"/>
      <c r="W8" s="8"/>
      <c r="X8" s="8"/>
      <c r="Y8" s="8"/>
      <c r="Z8" s="8"/>
      <c r="AA8" s="8"/>
      <c r="AB8" s="13"/>
      <c r="AC8" s="13"/>
      <c r="AD8" s="8"/>
      <c r="AE8" s="8"/>
      <c r="AF8" s="8"/>
    </row>
    <row r="9" spans="1:32" x14ac:dyDescent="0.25">
      <c r="A9" s="8"/>
      <c r="B9" s="8"/>
      <c r="C9" s="8"/>
      <c r="D9" s="8"/>
      <c r="E9" s="8"/>
      <c r="F9" s="8"/>
      <c r="G9" s="13"/>
      <c r="H9" s="13"/>
      <c r="I9" s="8"/>
      <c r="J9" s="8"/>
      <c r="K9" s="8"/>
      <c r="L9" s="8"/>
      <c r="M9" s="8"/>
      <c r="N9" s="13"/>
      <c r="O9" s="13"/>
      <c r="P9" s="8"/>
      <c r="Q9" s="8"/>
      <c r="R9" s="8"/>
      <c r="S9" s="8"/>
      <c r="T9" s="8"/>
      <c r="U9" s="13"/>
      <c r="V9" s="13"/>
      <c r="W9" s="8"/>
      <c r="X9" s="8"/>
      <c r="Y9" s="8"/>
      <c r="Z9" s="8"/>
      <c r="AA9" s="8"/>
      <c r="AB9" s="13"/>
      <c r="AC9" s="13"/>
      <c r="AD9" s="8"/>
      <c r="AE9" s="8"/>
      <c r="AF9" s="8"/>
    </row>
    <row r="10" spans="1:32" x14ac:dyDescent="0.25">
      <c r="A10" s="8"/>
      <c r="B10" s="8"/>
      <c r="C10" s="8"/>
      <c r="D10" s="8"/>
      <c r="E10" s="8"/>
      <c r="F10" s="8"/>
      <c r="G10" s="13"/>
      <c r="H10" s="13"/>
      <c r="I10" s="8"/>
      <c r="J10" s="8"/>
      <c r="K10" s="8"/>
      <c r="L10" s="8"/>
      <c r="M10" s="8"/>
      <c r="N10" s="13"/>
      <c r="O10" s="13"/>
      <c r="P10" s="8"/>
      <c r="Q10" s="8"/>
      <c r="R10" s="8"/>
      <c r="S10" s="8"/>
      <c r="T10" s="8"/>
      <c r="U10" s="13"/>
      <c r="V10" s="13"/>
      <c r="W10" s="8"/>
      <c r="X10" s="8"/>
      <c r="Y10" s="8"/>
      <c r="Z10" s="8"/>
      <c r="AA10" s="8"/>
      <c r="AB10" s="13"/>
      <c r="AC10" s="13"/>
      <c r="AD10" s="8"/>
      <c r="AE10" s="8"/>
      <c r="AF10" s="8"/>
    </row>
    <row r="11" spans="1:32" x14ac:dyDescent="0.25">
      <c r="A11" s="8"/>
      <c r="B11" s="8"/>
      <c r="C11" s="8"/>
      <c r="D11" s="8"/>
      <c r="E11" s="8"/>
      <c r="F11" s="8"/>
      <c r="G11" s="13"/>
      <c r="H11" s="13"/>
      <c r="I11" s="8"/>
      <c r="J11" s="8"/>
      <c r="K11" s="8"/>
      <c r="L11" s="8"/>
      <c r="M11" s="8"/>
      <c r="N11" s="13"/>
      <c r="O11" s="13"/>
      <c r="P11" s="8"/>
      <c r="Q11" s="8"/>
      <c r="R11" s="8"/>
      <c r="S11" s="8"/>
      <c r="T11" s="8"/>
      <c r="U11" s="13"/>
      <c r="V11" s="13"/>
      <c r="W11" s="8"/>
      <c r="X11" s="8"/>
      <c r="Y11" s="8"/>
      <c r="Z11" s="8"/>
      <c r="AA11" s="8"/>
      <c r="AB11" s="13"/>
      <c r="AC11" s="13"/>
      <c r="AD11" s="8"/>
      <c r="AE11" s="8"/>
      <c r="AF11" s="8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71B6-2712-4E8F-B59E-BE1FA3A18696}">
  <sheetPr codeName="Sheet5"/>
  <dimension ref="A1:AJ115"/>
  <sheetViews>
    <sheetView zoomScale="85" zoomScaleNormal="85" workbookViewId="0"/>
  </sheetViews>
  <sheetFormatPr defaultColWidth="9.140625" defaultRowHeight="15" x14ac:dyDescent="0.25"/>
  <cols>
    <col min="1" max="1" width="4.140625" style="18" customWidth="1"/>
    <col min="2" max="2" width="28.28515625" style="1" bestFit="1" customWidth="1"/>
    <col min="3" max="3" width="40" style="1" bestFit="1" customWidth="1"/>
    <col min="4" max="4" width="6.7109375" style="1" bestFit="1" customWidth="1"/>
    <col min="5" max="5" width="5.7109375" style="1" customWidth="1"/>
    <col min="6" max="8" width="5.28515625" style="1" customWidth="1"/>
    <col min="9" max="9" width="6.5703125" style="1" bestFit="1" customWidth="1"/>
    <col min="10" max="11" width="5.28515625" style="1" customWidth="1"/>
    <col min="12" max="12" width="6.7109375" style="1" bestFit="1" customWidth="1"/>
    <col min="13" max="13" width="6.5703125" style="1" bestFit="1" customWidth="1"/>
    <col min="14" max="15" width="5.28515625" style="1" customWidth="1"/>
    <col min="16" max="16" width="5.7109375" style="1" bestFit="1" customWidth="1"/>
    <col min="17" max="17" width="6.42578125" style="1" bestFit="1" customWidth="1"/>
    <col min="18" max="19" width="5.28515625" style="1" customWidth="1"/>
    <col min="20" max="20" width="5.85546875" style="1" customWidth="1"/>
    <col min="21" max="21" width="6.42578125" style="1" bestFit="1" customWidth="1"/>
    <col min="22" max="22" width="5.28515625" style="1" customWidth="1"/>
    <col min="23" max="23" width="6" style="1" bestFit="1" customWidth="1"/>
    <col min="24" max="25" width="6.140625" style="1" customWidth="1"/>
    <col min="26" max="26" width="6" style="151" customWidth="1"/>
    <col min="27" max="29" width="5.28515625" style="1" customWidth="1"/>
    <col min="30" max="30" width="5.28515625" style="151" customWidth="1"/>
    <col min="31" max="31" width="12.7109375" style="1" customWidth="1"/>
    <col min="32" max="32" width="15.85546875" style="1" bestFit="1" customWidth="1"/>
    <col min="33" max="33" width="5.140625" style="1" customWidth="1"/>
    <col min="34" max="16384" width="9.140625" style="1"/>
  </cols>
  <sheetData>
    <row r="1" spans="1:36" ht="18" customHeight="1" thickBot="1" x14ac:dyDescent="0.3">
      <c r="B1" s="207" t="s">
        <v>195</v>
      </c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9"/>
      <c r="AD1" s="208"/>
    </row>
    <row r="2" spans="1:36" ht="18" customHeight="1" thickBot="1" x14ac:dyDescent="0.3">
      <c r="B2" s="18" t="s">
        <v>212</v>
      </c>
      <c r="C2" s="210" t="s">
        <v>151</v>
      </c>
      <c r="D2" s="212" t="str">
        <f>"LUNES " &amp; TEXT(AJ2,"DD")</f>
        <v>LUNES 29</v>
      </c>
      <c r="E2" s="213"/>
      <c r="F2" s="213"/>
      <c r="G2" s="214"/>
      <c r="H2" s="207" t="str">
        <f>"MARTES " &amp; TEXT(AJ2+1,"DD")</f>
        <v>MARTES 30</v>
      </c>
      <c r="I2" s="209"/>
      <c r="J2" s="209"/>
      <c r="K2" s="208"/>
      <c r="L2" s="207" t="str">
        <f>"MIERCOLES " &amp; TEXT(AJ2+2,"DD")</f>
        <v>MIERCOLES 31</v>
      </c>
      <c r="M2" s="209"/>
      <c r="N2" s="209"/>
      <c r="O2" s="208"/>
      <c r="P2" s="207" t="str">
        <f>"JUEVES " &amp; TEXT(AJ2+3,"DD")</f>
        <v>JUEVES 01</v>
      </c>
      <c r="Q2" s="209"/>
      <c r="R2" s="209"/>
      <c r="S2" s="208"/>
      <c r="T2" s="207" t="str">
        <f>"VIERNES " &amp; TEXT(AJ2+4,"DD")</f>
        <v>VIERNES 02</v>
      </c>
      <c r="U2" s="209"/>
      <c r="V2" s="209"/>
      <c r="W2" s="208"/>
      <c r="X2" s="207" t="str">
        <f>"SABADO " &amp; TEXT(AJ2+5,"DD")</f>
        <v>SABADO 03</v>
      </c>
      <c r="Y2" s="209"/>
      <c r="Z2" s="209"/>
      <c r="AA2" s="208"/>
      <c r="AB2" s="207" t="str">
        <f>"DOMINGO " &amp; TEXT(AJ2+6,"DD")</f>
        <v>DOMINGO 04</v>
      </c>
      <c r="AC2" s="209"/>
      <c r="AD2" s="209"/>
      <c r="AE2" s="208"/>
      <c r="AF2" s="19" t="s">
        <v>13</v>
      </c>
      <c r="AJ2" s="1" t="str" cm="1">
        <f t="array" ref="AJ2">Primer_dia_sem_mes_n(2024,Mes_Sem_H("M"),Mes_Sem_H("S"))</f>
        <v>29/07/2024</v>
      </c>
    </row>
    <row r="3" spans="1:36" ht="0.6" customHeight="1" thickBot="1" x14ac:dyDescent="0.3">
      <c r="B3" s="18"/>
      <c r="C3" s="211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6" x14ac:dyDescent="0.25">
      <c r="A4" s="153">
        <v>1</v>
      </c>
      <c r="B4" s="171">
        <v>11469</v>
      </c>
      <c r="C4" s="162" t="s">
        <v>156</v>
      </c>
      <c r="D4" s="157"/>
      <c r="E4" s="158"/>
      <c r="F4" s="158"/>
      <c r="G4" s="163"/>
      <c r="H4" s="157"/>
      <c r="I4" s="158"/>
      <c r="J4" s="158"/>
      <c r="K4" s="163"/>
      <c r="L4" s="157"/>
      <c r="M4" s="158"/>
      <c r="N4" s="158"/>
      <c r="O4" s="163"/>
      <c r="P4" s="157">
        <v>12</v>
      </c>
      <c r="Q4" s="158">
        <v>171</v>
      </c>
      <c r="R4" s="158">
        <v>5</v>
      </c>
      <c r="S4" s="163">
        <v>34</v>
      </c>
      <c r="T4" s="157">
        <v>12</v>
      </c>
      <c r="U4" s="158">
        <v>171</v>
      </c>
      <c r="V4" s="158">
        <v>5</v>
      </c>
      <c r="W4" s="163">
        <v>34</v>
      </c>
      <c r="X4" s="157">
        <v>12</v>
      </c>
      <c r="Y4" s="158">
        <v>171</v>
      </c>
      <c r="Z4" s="145">
        <v>5</v>
      </c>
      <c r="AA4" s="163">
        <v>34</v>
      </c>
      <c r="AB4" s="157">
        <v>12</v>
      </c>
      <c r="AC4" s="158">
        <v>171</v>
      </c>
      <c r="AD4" s="145">
        <v>5</v>
      </c>
      <c r="AE4" s="159">
        <v>34</v>
      </c>
      <c r="AF4" s="38">
        <f>F4+J4+N4+R4+V4+Z4+AD4</f>
        <v>20</v>
      </c>
      <c r="AH4" s="171">
        <v>11469</v>
      </c>
    </row>
    <row r="5" spans="1:36" ht="15.75" thickBot="1" x14ac:dyDescent="0.3">
      <c r="A5" s="33"/>
      <c r="B5" s="69"/>
      <c r="C5" s="34"/>
      <c r="D5" s="35"/>
      <c r="E5" s="36"/>
      <c r="F5" s="36"/>
      <c r="G5" s="37"/>
      <c r="H5" s="35"/>
      <c r="I5" s="36"/>
      <c r="J5" s="36"/>
      <c r="K5" s="37"/>
      <c r="L5" s="35"/>
      <c r="M5" s="36"/>
      <c r="N5" s="36"/>
      <c r="O5" s="37"/>
      <c r="P5" s="35">
        <v>12</v>
      </c>
      <c r="Q5" s="36">
        <v>171</v>
      </c>
      <c r="R5" s="36">
        <v>4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51">
        <v>37</v>
      </c>
      <c r="AF5" s="164">
        <f>F5+J5+N5+R5+V5+Z5+AD5</f>
        <v>19</v>
      </c>
      <c r="AH5" s="69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H6" s="71"/>
    </row>
    <row r="7" spans="1:36" ht="19.5" customHeight="1" thickBot="1" x14ac:dyDescent="0.3">
      <c r="A7" s="153">
        <v>2</v>
      </c>
      <c r="B7" s="174">
        <v>11501</v>
      </c>
      <c r="C7" s="165" t="s">
        <v>161</v>
      </c>
      <c r="D7" s="166"/>
      <c r="E7" s="167"/>
      <c r="F7" s="167"/>
      <c r="G7" s="56"/>
      <c r="H7" s="166"/>
      <c r="I7" s="167"/>
      <c r="J7" s="167"/>
      <c r="K7" s="56"/>
      <c r="L7" s="166"/>
      <c r="M7" s="167"/>
      <c r="N7" s="167"/>
      <c r="O7" s="56"/>
      <c r="P7" s="166">
        <v>12</v>
      </c>
      <c r="Q7" s="167">
        <v>143</v>
      </c>
      <c r="R7" s="167">
        <v>7</v>
      </c>
      <c r="S7" s="56">
        <v>34</v>
      </c>
      <c r="T7" s="166">
        <v>12</v>
      </c>
      <c r="U7" s="167">
        <v>143</v>
      </c>
      <c r="V7" s="167">
        <v>7</v>
      </c>
      <c r="W7" s="56">
        <v>34</v>
      </c>
      <c r="X7" s="166"/>
      <c r="Y7" s="167"/>
      <c r="Z7" s="148"/>
      <c r="AA7" s="56"/>
      <c r="AB7" s="157"/>
      <c r="AC7" s="158"/>
      <c r="AD7" s="145"/>
      <c r="AE7" s="159"/>
      <c r="AF7" s="57">
        <f>F7+J7+N7+R7+V7+Z7+AD7</f>
        <v>14</v>
      </c>
      <c r="AH7" s="174">
        <v>11501</v>
      </c>
    </row>
    <row r="8" spans="1:36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H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H9" s="39"/>
    </row>
    <row r="10" spans="1:36" ht="19.5" customHeight="1" thickBot="1" x14ac:dyDescent="0.3">
      <c r="A10" s="153">
        <v>3</v>
      </c>
      <c r="B10" s="171">
        <v>11498</v>
      </c>
      <c r="C10" s="162" t="s">
        <v>167</v>
      </c>
      <c r="D10" s="157"/>
      <c r="E10" s="158"/>
      <c r="F10" s="158"/>
      <c r="G10" s="159"/>
      <c r="H10" s="157"/>
      <c r="I10" s="158"/>
      <c r="J10" s="158"/>
      <c r="K10" s="159"/>
      <c r="L10" s="157"/>
      <c r="M10" s="158"/>
      <c r="N10" s="158"/>
      <c r="O10" s="159"/>
      <c r="P10" s="157">
        <v>12</v>
      </c>
      <c r="Q10" s="158">
        <v>106</v>
      </c>
      <c r="R10" s="158">
        <v>8</v>
      </c>
      <c r="S10" s="159">
        <v>34</v>
      </c>
      <c r="T10" s="157">
        <v>12</v>
      </c>
      <c r="U10" s="158">
        <v>106</v>
      </c>
      <c r="V10" s="158">
        <v>7</v>
      </c>
      <c r="W10" s="159">
        <v>34</v>
      </c>
      <c r="X10" s="157"/>
      <c r="Y10" s="158"/>
      <c r="Z10" s="145"/>
      <c r="AA10" s="159"/>
      <c r="AB10" s="157"/>
      <c r="AC10" s="158"/>
      <c r="AD10" s="145"/>
      <c r="AE10" s="159"/>
      <c r="AF10" s="57">
        <f>F10+J10+N10+R10+V10+Z10+AD10</f>
        <v>15</v>
      </c>
      <c r="AH10" s="171">
        <v>11498</v>
      </c>
    </row>
    <row r="11" spans="1:36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H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H12" s="39"/>
    </row>
    <row r="13" spans="1:36" ht="19.5" customHeight="1" thickBot="1" x14ac:dyDescent="0.3">
      <c r="A13" s="153">
        <v>4</v>
      </c>
      <c r="B13" s="171">
        <v>11496</v>
      </c>
      <c r="C13" s="162" t="s">
        <v>174</v>
      </c>
      <c r="D13" s="166"/>
      <c r="E13" s="167"/>
      <c r="F13" s="167"/>
      <c r="G13" s="56"/>
      <c r="H13" s="166"/>
      <c r="I13" s="167"/>
      <c r="J13" s="167"/>
      <c r="K13" s="56"/>
      <c r="L13" s="166"/>
      <c r="M13" s="167"/>
      <c r="N13" s="167"/>
      <c r="O13" s="56"/>
      <c r="P13" s="166">
        <v>12</v>
      </c>
      <c r="Q13" s="167">
        <v>143</v>
      </c>
      <c r="R13" s="167">
        <v>7</v>
      </c>
      <c r="S13" s="56">
        <v>34</v>
      </c>
      <c r="T13" s="166">
        <v>12</v>
      </c>
      <c r="U13" s="167">
        <v>143</v>
      </c>
      <c r="V13" s="167">
        <v>7</v>
      </c>
      <c r="W13" s="56">
        <v>34</v>
      </c>
      <c r="X13" s="157"/>
      <c r="Y13" s="158"/>
      <c r="Z13" s="145"/>
      <c r="AA13" s="159"/>
      <c r="AB13" s="157"/>
      <c r="AC13" s="158"/>
      <c r="AD13" s="145"/>
      <c r="AE13" s="159"/>
      <c r="AF13" s="57">
        <f>F13+J13+N13+R13+V13+Z13+AD13</f>
        <v>14</v>
      </c>
      <c r="AH13" s="171">
        <v>11496</v>
      </c>
    </row>
    <row r="14" spans="1:36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H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41"/>
      <c r="Y15" s="42"/>
      <c r="Z15" s="147"/>
      <c r="AA15" s="44"/>
      <c r="AB15" s="41"/>
      <c r="AC15" s="42"/>
      <c r="AD15" s="147"/>
      <c r="AE15" s="44"/>
      <c r="AH15" s="39"/>
    </row>
    <row r="16" spans="1:36" ht="15.75" thickBot="1" x14ac:dyDescent="0.3">
      <c r="A16" s="153">
        <v>5</v>
      </c>
      <c r="B16" s="171">
        <v>11495</v>
      </c>
      <c r="C16" s="162" t="s">
        <v>178</v>
      </c>
      <c r="D16" s="157"/>
      <c r="E16" s="158"/>
      <c r="F16" s="158"/>
      <c r="G16" s="159"/>
      <c r="H16" s="157"/>
      <c r="I16" s="158"/>
      <c r="J16" s="158"/>
      <c r="K16" s="159"/>
      <c r="L16" s="157"/>
      <c r="M16" s="158"/>
      <c r="N16" s="158"/>
      <c r="O16" s="159"/>
      <c r="P16" s="157">
        <v>12</v>
      </c>
      <c r="Q16" s="158">
        <v>143</v>
      </c>
      <c r="R16" s="158">
        <v>7</v>
      </c>
      <c r="S16" s="159">
        <v>34</v>
      </c>
      <c r="T16" s="157">
        <v>12</v>
      </c>
      <c r="U16" s="158">
        <v>143</v>
      </c>
      <c r="V16" s="158">
        <v>7</v>
      </c>
      <c r="W16" s="159">
        <v>34</v>
      </c>
      <c r="X16" s="166"/>
      <c r="Y16" s="167"/>
      <c r="Z16" s="148"/>
      <c r="AA16" s="56"/>
      <c r="AB16" s="157"/>
      <c r="AC16" s="158"/>
      <c r="AD16" s="145"/>
      <c r="AE16" s="159"/>
      <c r="AF16" s="57">
        <f>F16+J16+N16+R16+V16+Z16+AD16</f>
        <v>14</v>
      </c>
      <c r="AH16" s="171">
        <v>11495</v>
      </c>
    </row>
    <row r="17" spans="1:34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H17" s="33"/>
    </row>
    <row r="18" spans="1:34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H18" s="39"/>
    </row>
    <row r="19" spans="1:34" ht="15.75" thickBot="1" x14ac:dyDescent="0.3">
      <c r="A19" s="153">
        <v>6</v>
      </c>
      <c r="B19" s="171">
        <v>11502</v>
      </c>
      <c r="C19" s="162" t="s">
        <v>170</v>
      </c>
      <c r="D19" s="157"/>
      <c r="E19" s="167"/>
      <c r="F19" s="158"/>
      <c r="G19" s="159"/>
      <c r="H19" s="157"/>
      <c r="I19" s="167"/>
      <c r="J19" s="158"/>
      <c r="K19" s="159"/>
      <c r="L19" s="157"/>
      <c r="M19" s="167"/>
      <c r="N19" s="158"/>
      <c r="O19" s="159"/>
      <c r="P19" s="157">
        <v>12</v>
      </c>
      <c r="Q19" s="167">
        <v>143</v>
      </c>
      <c r="R19" s="158">
        <v>7</v>
      </c>
      <c r="S19" s="159">
        <v>34</v>
      </c>
      <c r="T19" s="157">
        <v>12</v>
      </c>
      <c r="U19" s="167">
        <v>143</v>
      </c>
      <c r="V19" s="158">
        <v>5</v>
      </c>
      <c r="W19" s="159">
        <v>34</v>
      </c>
      <c r="X19" s="166"/>
      <c r="Y19" s="167"/>
      <c r="Z19" s="148"/>
      <c r="AA19" s="56"/>
      <c r="AB19" s="157"/>
      <c r="AC19" s="158"/>
      <c r="AD19" s="145"/>
      <c r="AE19" s="159"/>
      <c r="AF19" s="57">
        <f>F19+J19+N19+R19+V19+Z19+AD19</f>
        <v>12</v>
      </c>
      <c r="AH19" s="171">
        <v>11502</v>
      </c>
    </row>
    <row r="20" spans="1:34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H20" s="33"/>
    </row>
    <row r="21" spans="1:34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H21" s="39"/>
    </row>
    <row r="22" spans="1:34" x14ac:dyDescent="0.25">
      <c r="A22" s="153">
        <v>7</v>
      </c>
      <c r="B22" s="171">
        <v>11497</v>
      </c>
      <c r="C22" s="162" t="s">
        <v>182</v>
      </c>
      <c r="D22" s="157"/>
      <c r="E22" s="167"/>
      <c r="F22" s="158"/>
      <c r="G22" s="159"/>
      <c r="H22" s="157"/>
      <c r="I22" s="158"/>
      <c r="J22" s="158"/>
      <c r="K22" s="159"/>
      <c r="L22" s="157"/>
      <c r="M22" s="158"/>
      <c r="N22" s="158"/>
      <c r="O22" s="159"/>
      <c r="P22" s="157">
        <v>12</v>
      </c>
      <c r="Q22" s="158">
        <v>105</v>
      </c>
      <c r="R22" s="158">
        <v>7</v>
      </c>
      <c r="S22" s="159">
        <v>34</v>
      </c>
      <c r="T22" s="157">
        <v>12</v>
      </c>
      <c r="U22" s="158">
        <v>105</v>
      </c>
      <c r="V22" s="158">
        <v>7</v>
      </c>
      <c r="W22" s="159">
        <v>34</v>
      </c>
      <c r="X22" s="157"/>
      <c r="Y22" s="158"/>
      <c r="Z22" s="145"/>
      <c r="AA22" s="159"/>
      <c r="AB22" s="157"/>
      <c r="AC22" s="158"/>
      <c r="AD22" s="145"/>
      <c r="AE22" s="159"/>
      <c r="AF22" s="168">
        <f>F22+J22+N22+R22+V22+Z22+AD22</f>
        <v>14</v>
      </c>
      <c r="AH22" s="171">
        <v>11497</v>
      </c>
    </row>
    <row r="23" spans="1:34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H23" s="69"/>
    </row>
    <row r="24" spans="1:34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H24" s="71"/>
    </row>
    <row r="25" spans="1:34" ht="15.75" thickBot="1" x14ac:dyDescent="0.3">
      <c r="A25" s="169">
        <v>8</v>
      </c>
      <c r="B25" s="174">
        <v>11499</v>
      </c>
      <c r="C25" s="162" t="s">
        <v>164</v>
      </c>
      <c r="D25" s="157"/>
      <c r="E25" s="167"/>
      <c r="F25" s="158"/>
      <c r="G25" s="159"/>
      <c r="H25" s="157"/>
      <c r="I25" s="167"/>
      <c r="J25" s="158"/>
      <c r="K25" s="159"/>
      <c r="L25" s="157"/>
      <c r="M25" s="167"/>
      <c r="N25" s="158"/>
      <c r="O25" s="159"/>
      <c r="P25" s="157">
        <v>12</v>
      </c>
      <c r="Q25" s="167">
        <v>143</v>
      </c>
      <c r="R25" s="158">
        <v>7</v>
      </c>
      <c r="S25" s="159">
        <v>34</v>
      </c>
      <c r="T25" s="157">
        <v>12</v>
      </c>
      <c r="U25" s="167">
        <v>143</v>
      </c>
      <c r="V25" s="158">
        <v>7</v>
      </c>
      <c r="W25" s="159">
        <v>34</v>
      </c>
      <c r="X25" s="166"/>
      <c r="Y25" s="167"/>
      <c r="Z25" s="148"/>
      <c r="AA25" s="56"/>
      <c r="AB25" s="157"/>
      <c r="AC25" s="158"/>
      <c r="AD25" s="145"/>
      <c r="AE25" s="159"/>
      <c r="AF25" s="57">
        <f>F25+J25+N25+R25+V25+Z25+AD25</f>
        <v>14</v>
      </c>
      <c r="AH25" s="174">
        <v>11499</v>
      </c>
    </row>
    <row r="26" spans="1:34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H26" s="33"/>
    </row>
    <row r="27" spans="1:34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H27" s="39"/>
    </row>
    <row r="28" spans="1:34" ht="15.75" thickBot="1" x14ac:dyDescent="0.3">
      <c r="A28" s="33">
        <v>9</v>
      </c>
      <c r="B28" s="69">
        <v>11493</v>
      </c>
      <c r="C28" s="162" t="s">
        <v>183</v>
      </c>
      <c r="D28" s="157"/>
      <c r="E28" s="167"/>
      <c r="F28" s="158"/>
      <c r="G28" s="159"/>
      <c r="H28" s="157"/>
      <c r="I28" s="167"/>
      <c r="J28" s="158"/>
      <c r="K28" s="159"/>
      <c r="L28" s="157"/>
      <c r="M28" s="167"/>
      <c r="N28" s="158"/>
      <c r="O28" s="159"/>
      <c r="P28" s="157">
        <v>12</v>
      </c>
      <c r="Q28" s="167">
        <v>143</v>
      </c>
      <c r="R28" s="158">
        <v>7</v>
      </c>
      <c r="S28" s="159">
        <v>34</v>
      </c>
      <c r="T28" s="157">
        <v>12</v>
      </c>
      <c r="U28" s="158">
        <v>107</v>
      </c>
      <c r="V28" s="158">
        <v>7</v>
      </c>
      <c r="W28" s="159">
        <v>34</v>
      </c>
      <c r="X28" s="157"/>
      <c r="Y28" s="167"/>
      <c r="Z28" s="145"/>
      <c r="AA28" s="159"/>
      <c r="AB28" s="157"/>
      <c r="AC28" s="158"/>
      <c r="AD28" s="145"/>
      <c r="AE28" s="159"/>
      <c r="AF28" s="57">
        <f>F28+J28+N28+R28+V28+Z28+AD28</f>
        <v>14</v>
      </c>
      <c r="AH28" s="69">
        <v>11493</v>
      </c>
    </row>
    <row r="29" spans="1:34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H29" s="33"/>
    </row>
    <row r="30" spans="1:34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H30" s="33"/>
    </row>
    <row r="31" spans="1:34" x14ac:dyDescent="0.25">
      <c r="A31" s="153">
        <v>10</v>
      </c>
      <c r="B31" s="171">
        <v>11500</v>
      </c>
      <c r="C31" s="162" t="s">
        <v>181</v>
      </c>
      <c r="D31" s="157"/>
      <c r="E31" s="167"/>
      <c r="F31" s="158"/>
      <c r="G31" s="159"/>
      <c r="H31" s="157"/>
      <c r="I31" s="167"/>
      <c r="J31" s="158"/>
      <c r="K31" s="159"/>
      <c r="L31" s="157"/>
      <c r="M31" s="167"/>
      <c r="N31" s="158"/>
      <c r="O31" s="159"/>
      <c r="P31" s="157">
        <v>12</v>
      </c>
      <c r="Q31" s="167">
        <v>143</v>
      </c>
      <c r="R31" s="158">
        <v>7</v>
      </c>
      <c r="S31" s="159">
        <v>34</v>
      </c>
      <c r="T31" s="157">
        <v>12</v>
      </c>
      <c r="U31" s="158">
        <v>107</v>
      </c>
      <c r="V31" s="158">
        <v>7</v>
      </c>
      <c r="W31" s="159">
        <v>34</v>
      </c>
      <c r="X31" s="166"/>
      <c r="Y31" s="167"/>
      <c r="Z31" s="148"/>
      <c r="AA31" s="56"/>
      <c r="AB31" s="157"/>
      <c r="AC31" s="158"/>
      <c r="AD31" s="145"/>
      <c r="AE31" s="159"/>
      <c r="AF31" s="168">
        <f>F31+J31+N31+R31+V31+Z31+AD31</f>
        <v>14</v>
      </c>
      <c r="AH31" s="171">
        <v>11500</v>
      </c>
    </row>
    <row r="32" spans="1:34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H32" s="69"/>
    </row>
    <row r="33" spans="1:34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H33" s="71"/>
    </row>
    <row r="34" spans="1:34" x14ac:dyDescent="0.25">
      <c r="A34" s="153">
        <v>11</v>
      </c>
      <c r="B34" s="171">
        <v>11494</v>
      </c>
      <c r="C34" s="162" t="s">
        <v>157</v>
      </c>
      <c r="D34" s="157"/>
      <c r="E34" s="167"/>
      <c r="F34" s="158"/>
      <c r="G34" s="159"/>
      <c r="H34" s="157"/>
      <c r="I34" s="167"/>
      <c r="J34" s="158"/>
      <c r="K34" s="159"/>
      <c r="L34" s="157"/>
      <c r="M34" s="167"/>
      <c r="N34" s="158"/>
      <c r="O34" s="159"/>
      <c r="P34" s="157"/>
      <c r="Q34" s="167"/>
      <c r="R34" s="158"/>
      <c r="S34" s="159"/>
      <c r="T34" s="157">
        <v>12</v>
      </c>
      <c r="U34" s="158">
        <v>107</v>
      </c>
      <c r="V34" s="158">
        <v>7</v>
      </c>
      <c r="W34" s="159">
        <v>34</v>
      </c>
      <c r="X34" s="166"/>
      <c r="Y34" s="167"/>
      <c r="Z34" s="148"/>
      <c r="AA34" s="56"/>
      <c r="AB34" s="157"/>
      <c r="AC34" s="158"/>
      <c r="AD34" s="145"/>
      <c r="AE34" s="159"/>
      <c r="AF34" s="168">
        <f>F34+J34+N34+R34+V34+Z34+AD34</f>
        <v>7</v>
      </c>
      <c r="AH34" s="171">
        <v>11494</v>
      </c>
    </row>
    <row r="35" spans="1:34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  <c r="AH35" s="69"/>
    </row>
    <row r="36" spans="1:34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H36" s="71"/>
    </row>
    <row r="37" spans="1:34" x14ac:dyDescent="0.25">
      <c r="A37" s="153">
        <v>12</v>
      </c>
      <c r="B37" s="171">
        <v>11514</v>
      </c>
      <c r="C37" s="162" t="s">
        <v>180</v>
      </c>
      <c r="D37" s="157"/>
      <c r="E37" s="158"/>
      <c r="F37" s="158"/>
      <c r="G37" s="159"/>
      <c r="H37" s="205"/>
      <c r="I37" s="206"/>
      <c r="J37" s="158"/>
      <c r="K37" s="159"/>
      <c r="L37" s="205"/>
      <c r="M37" s="206"/>
      <c r="N37" s="158"/>
      <c r="O37" s="159"/>
      <c r="P37" s="205" t="s">
        <v>196</v>
      </c>
      <c r="Q37" s="206"/>
      <c r="R37" s="158"/>
      <c r="S37" s="159"/>
      <c r="T37" s="205" t="s">
        <v>196</v>
      </c>
      <c r="U37" s="206"/>
      <c r="V37" s="158"/>
      <c r="W37" s="159"/>
      <c r="X37" s="166"/>
      <c r="Y37" s="167"/>
      <c r="Z37" s="148"/>
      <c r="AA37" s="56"/>
      <c r="AB37" s="157"/>
      <c r="AC37" s="158"/>
      <c r="AD37" s="145"/>
      <c r="AE37" s="159"/>
      <c r="AF37" s="168">
        <f>F37+J37+N37+R37+V37+Z37+AD37</f>
        <v>0</v>
      </c>
      <c r="AH37" s="171">
        <v>11514</v>
      </c>
    </row>
    <row r="38" spans="1:34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  <c r="AH38" s="69"/>
    </row>
    <row r="39" spans="1:34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H39" s="71"/>
    </row>
    <row r="40" spans="1:34" x14ac:dyDescent="0.25">
      <c r="A40" s="153">
        <v>13</v>
      </c>
      <c r="B40" s="171">
        <v>11401</v>
      </c>
      <c r="C40" s="162" t="s">
        <v>162</v>
      </c>
      <c r="D40" s="157"/>
      <c r="E40" s="158"/>
      <c r="F40" s="158"/>
      <c r="G40" s="159"/>
      <c r="H40" s="157"/>
      <c r="I40" s="158"/>
      <c r="J40" s="158"/>
      <c r="K40" s="159"/>
      <c r="L40" s="157"/>
      <c r="M40" s="158"/>
      <c r="N40" s="158"/>
      <c r="O40" s="159"/>
      <c r="P40" s="157">
        <v>12</v>
      </c>
      <c r="Q40" s="158">
        <v>107</v>
      </c>
      <c r="R40" s="158">
        <v>7</v>
      </c>
      <c r="S40" s="159">
        <v>34</v>
      </c>
      <c r="T40" s="157">
        <v>12</v>
      </c>
      <c r="U40" s="158">
        <v>107</v>
      </c>
      <c r="V40" s="158">
        <v>7</v>
      </c>
      <c r="W40" s="159">
        <v>34</v>
      </c>
      <c r="X40" s="166"/>
      <c r="Y40" s="167"/>
      <c r="Z40" s="148"/>
      <c r="AA40" s="56"/>
      <c r="AB40" s="157"/>
      <c r="AC40" s="158"/>
      <c r="AD40" s="145"/>
      <c r="AE40" s="159"/>
      <c r="AF40" s="168">
        <f>F40+J40+N40+R40+V40+Z40+AD40</f>
        <v>14</v>
      </c>
      <c r="AH40" s="171">
        <v>11401</v>
      </c>
    </row>
    <row r="41" spans="1:34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  <c r="AH41" s="69"/>
    </row>
    <row r="42" spans="1:34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H42" s="69"/>
    </row>
    <row r="43" spans="1:34" x14ac:dyDescent="0.25">
      <c r="A43" s="153">
        <v>14</v>
      </c>
      <c r="B43" s="171">
        <v>11408</v>
      </c>
      <c r="C43" s="162" t="s">
        <v>172</v>
      </c>
      <c r="D43" s="157"/>
      <c r="E43" s="158"/>
      <c r="F43" s="158"/>
      <c r="G43" s="159"/>
      <c r="H43" s="157"/>
      <c r="I43" s="158"/>
      <c r="J43" s="158"/>
      <c r="K43" s="159"/>
      <c r="L43" s="157"/>
      <c r="M43" s="158"/>
      <c r="N43" s="158"/>
      <c r="O43" s="159"/>
      <c r="P43" s="157">
        <v>12</v>
      </c>
      <c r="Q43" s="158">
        <v>143</v>
      </c>
      <c r="R43" s="158">
        <v>7</v>
      </c>
      <c r="S43" s="159">
        <v>34</v>
      </c>
      <c r="T43" s="157">
        <v>12</v>
      </c>
      <c r="U43" s="158">
        <v>143</v>
      </c>
      <c r="V43" s="158">
        <v>7</v>
      </c>
      <c r="W43" s="159">
        <v>34</v>
      </c>
      <c r="X43" s="166"/>
      <c r="Y43" s="167"/>
      <c r="Z43" s="148"/>
      <c r="AA43" s="56"/>
      <c r="AB43" s="157"/>
      <c r="AC43" s="158"/>
      <c r="AD43" s="145"/>
      <c r="AE43" s="159"/>
      <c r="AF43" s="168">
        <f>F43+J43+N43+R43+V43+Z43+AD43</f>
        <v>14</v>
      </c>
      <c r="AH43" s="171">
        <v>11408</v>
      </c>
    </row>
    <row r="44" spans="1:34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  <c r="AH44" s="33"/>
    </row>
    <row r="45" spans="1:34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H45" s="39"/>
    </row>
    <row r="46" spans="1:34" x14ac:dyDescent="0.25">
      <c r="A46" s="153">
        <v>15</v>
      </c>
      <c r="B46" s="171">
        <v>11406</v>
      </c>
      <c r="C46" s="162" t="s">
        <v>184</v>
      </c>
      <c r="D46" s="157"/>
      <c r="E46" s="158"/>
      <c r="F46" s="158"/>
      <c r="G46" s="159"/>
      <c r="H46" s="157"/>
      <c r="I46" s="158"/>
      <c r="J46" s="158"/>
      <c r="K46" s="159"/>
      <c r="L46" s="157"/>
      <c r="M46" s="158"/>
      <c r="N46" s="158"/>
      <c r="O46" s="159"/>
      <c r="P46" s="157">
        <v>12</v>
      </c>
      <c r="Q46" s="158">
        <v>107</v>
      </c>
      <c r="R46" s="158">
        <v>7</v>
      </c>
      <c r="S46" s="159">
        <v>34</v>
      </c>
      <c r="T46" s="157">
        <v>12</v>
      </c>
      <c r="U46" s="158">
        <v>107</v>
      </c>
      <c r="V46" s="158">
        <v>7</v>
      </c>
      <c r="W46" s="159">
        <v>34</v>
      </c>
      <c r="X46" s="166"/>
      <c r="Y46" s="167"/>
      <c r="Z46" s="148"/>
      <c r="AA46" s="56"/>
      <c r="AB46" s="157"/>
      <c r="AC46" s="158"/>
      <c r="AD46" s="145"/>
      <c r="AE46" s="159"/>
      <c r="AF46" s="168">
        <f>F46+J46+N46+R46+V46+Z46+AD46</f>
        <v>14</v>
      </c>
      <c r="AH46" s="171">
        <v>11406</v>
      </c>
    </row>
    <row r="47" spans="1:34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  <c r="AH47" s="69"/>
    </row>
    <row r="48" spans="1:34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  <c r="AH48" s="71"/>
    </row>
    <row r="49" spans="1:34" x14ac:dyDescent="0.25">
      <c r="A49" s="153">
        <v>16</v>
      </c>
      <c r="B49" s="171">
        <v>11407</v>
      </c>
      <c r="C49" s="162" t="s">
        <v>191</v>
      </c>
      <c r="D49" s="157"/>
      <c r="E49" s="158"/>
      <c r="F49" s="158"/>
      <c r="G49" s="159"/>
      <c r="H49" s="157"/>
      <c r="I49" s="158"/>
      <c r="J49" s="158"/>
      <c r="K49" s="159"/>
      <c r="L49" s="157"/>
      <c r="M49" s="158"/>
      <c r="N49" s="158"/>
      <c r="O49" s="159"/>
      <c r="P49" s="157">
        <v>12</v>
      </c>
      <c r="Q49" s="158">
        <v>107</v>
      </c>
      <c r="R49" s="158">
        <v>7</v>
      </c>
      <c r="S49" s="159">
        <v>34</v>
      </c>
      <c r="T49" s="157">
        <v>12</v>
      </c>
      <c r="U49" s="158">
        <v>107</v>
      </c>
      <c r="V49" s="158">
        <v>7</v>
      </c>
      <c r="W49" s="159">
        <v>34</v>
      </c>
      <c r="X49" s="166"/>
      <c r="Y49" s="167"/>
      <c r="Z49" s="148"/>
      <c r="AA49" s="56"/>
      <c r="AB49" s="157"/>
      <c r="AC49" s="158"/>
      <c r="AD49" s="145"/>
      <c r="AE49" s="159"/>
      <c r="AF49" s="168">
        <f>F49+J49+N49+N45+V49+Z49+AD49</f>
        <v>7</v>
      </c>
      <c r="AH49" s="171">
        <v>11407</v>
      </c>
    </row>
    <row r="50" spans="1:34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  <c r="AH50" s="33"/>
    </row>
    <row r="51" spans="1:34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H51" s="33"/>
    </row>
    <row r="52" spans="1:34" x14ac:dyDescent="0.25">
      <c r="A52" s="171">
        <v>17</v>
      </c>
      <c r="B52" s="171">
        <v>11428</v>
      </c>
      <c r="C52" s="172" t="s">
        <v>175</v>
      </c>
      <c r="D52" s="170"/>
      <c r="E52" s="167"/>
      <c r="F52" s="158"/>
      <c r="G52" s="159"/>
      <c r="H52" s="170"/>
      <c r="I52" s="167"/>
      <c r="J52" s="158"/>
      <c r="K52" s="159"/>
      <c r="L52" s="170"/>
      <c r="M52" s="167"/>
      <c r="N52" s="158"/>
      <c r="O52" s="159"/>
      <c r="P52" s="170">
        <v>12</v>
      </c>
      <c r="Q52" s="167">
        <v>107</v>
      </c>
      <c r="R52" s="158">
        <v>7</v>
      </c>
      <c r="S52" s="159">
        <v>34</v>
      </c>
      <c r="T52" s="170">
        <v>12</v>
      </c>
      <c r="U52" s="167">
        <v>107</v>
      </c>
      <c r="V52" s="158">
        <v>7</v>
      </c>
      <c r="W52" s="159">
        <v>34</v>
      </c>
      <c r="X52" s="166"/>
      <c r="Y52" s="167"/>
      <c r="Z52" s="148"/>
      <c r="AA52" s="56"/>
      <c r="AB52" s="157"/>
      <c r="AC52" s="158"/>
      <c r="AD52" s="145"/>
      <c r="AE52" s="159"/>
      <c r="AF52" s="168">
        <f>F52+J52+N52+R52+V52+Z52+AD52</f>
        <v>14</v>
      </c>
      <c r="AH52" s="171">
        <v>11428</v>
      </c>
    </row>
    <row r="53" spans="1:34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  <c r="AH53" s="69"/>
    </row>
    <row r="54" spans="1:34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/>
      <c r="AA54" s="44"/>
      <c r="AB54" s="41"/>
      <c r="AC54" s="42"/>
      <c r="AD54" s="147"/>
      <c r="AE54" s="44"/>
      <c r="AH54" s="71"/>
    </row>
    <row r="55" spans="1:34" x14ac:dyDescent="0.25">
      <c r="A55" s="153">
        <v>18</v>
      </c>
      <c r="B55" s="175">
        <v>11520</v>
      </c>
      <c r="C55" s="173" t="s">
        <v>179</v>
      </c>
      <c r="D55" s="170"/>
      <c r="E55" s="167"/>
      <c r="F55" s="158"/>
      <c r="G55" s="159"/>
      <c r="H55" s="170"/>
      <c r="I55" s="167"/>
      <c r="J55" s="158"/>
      <c r="K55" s="159"/>
      <c r="L55" s="170"/>
      <c r="M55" s="167"/>
      <c r="N55" s="158"/>
      <c r="O55" s="159"/>
      <c r="P55" s="170">
        <v>12</v>
      </c>
      <c r="Q55" s="167">
        <v>107</v>
      </c>
      <c r="R55" s="158">
        <v>7</v>
      </c>
      <c r="S55" s="159">
        <v>34</v>
      </c>
      <c r="T55" s="170">
        <v>12</v>
      </c>
      <c r="U55" s="167">
        <v>107</v>
      </c>
      <c r="V55" s="158">
        <v>7</v>
      </c>
      <c r="W55" s="159">
        <v>34</v>
      </c>
      <c r="X55" s="166"/>
      <c r="Y55" s="167"/>
      <c r="Z55" s="148"/>
      <c r="AA55" s="56"/>
      <c r="AB55" s="157"/>
      <c r="AC55" s="158"/>
      <c r="AD55" s="145"/>
      <c r="AE55" s="159"/>
      <c r="AF55" s="168">
        <f>F55+J55+N55+R55+V55+Z55+AD55</f>
        <v>14</v>
      </c>
      <c r="AH55" s="175">
        <v>11520</v>
      </c>
    </row>
    <row r="56" spans="1:34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  <c r="AH56" s="33"/>
    </row>
    <row r="57" spans="1:34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H57" s="39"/>
    </row>
    <row r="58" spans="1:34" x14ac:dyDescent="0.25">
      <c r="A58" s="153">
        <v>19</v>
      </c>
      <c r="B58" s="175">
        <v>11526</v>
      </c>
      <c r="C58" s="173" t="s">
        <v>189</v>
      </c>
      <c r="D58" s="170"/>
      <c r="E58" s="167"/>
      <c r="F58" s="158"/>
      <c r="G58" s="159"/>
      <c r="H58" s="170"/>
      <c r="I58" s="167"/>
      <c r="J58" s="158"/>
      <c r="K58" s="159"/>
      <c r="L58" s="170"/>
      <c r="M58" s="167"/>
      <c r="N58" s="158"/>
      <c r="O58" s="159"/>
      <c r="P58" s="170">
        <v>12</v>
      </c>
      <c r="Q58" s="167">
        <v>107</v>
      </c>
      <c r="R58" s="158">
        <v>7</v>
      </c>
      <c r="S58" s="159">
        <v>34</v>
      </c>
      <c r="T58" s="170">
        <v>12</v>
      </c>
      <c r="U58" s="167">
        <v>107</v>
      </c>
      <c r="V58" s="158">
        <v>7</v>
      </c>
      <c r="W58" s="159">
        <v>34</v>
      </c>
      <c r="X58" s="157"/>
      <c r="Y58" s="158"/>
      <c r="Z58" s="145"/>
      <c r="AA58" s="159"/>
      <c r="AB58" s="157"/>
      <c r="AC58" s="158"/>
      <c r="AD58" s="145"/>
      <c r="AE58" s="159"/>
      <c r="AF58" s="168">
        <f>F58+J58+N58+R58+V58+Z58+AD58</f>
        <v>14</v>
      </c>
      <c r="AH58" s="175">
        <v>11526</v>
      </c>
    </row>
    <row r="59" spans="1:34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  <c r="AH59" s="33"/>
    </row>
    <row r="60" spans="1:34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41"/>
      <c r="Y60" s="42"/>
      <c r="Z60" s="147"/>
      <c r="AA60" s="44"/>
      <c r="AB60" s="53"/>
      <c r="AC60" s="54"/>
      <c r="AD60" s="149"/>
      <c r="AE60" s="55"/>
      <c r="AF60" s="74"/>
      <c r="AH60" s="33"/>
    </row>
    <row r="61" spans="1:34" x14ac:dyDescent="0.25">
      <c r="A61" s="153">
        <v>20</v>
      </c>
      <c r="B61" s="153">
        <v>11527</v>
      </c>
      <c r="C61" s="172" t="s">
        <v>190</v>
      </c>
      <c r="D61" s="157"/>
      <c r="E61" s="158"/>
      <c r="F61" s="158"/>
      <c r="G61" s="159"/>
      <c r="H61" s="157"/>
      <c r="I61" s="158"/>
      <c r="J61" s="158"/>
      <c r="K61" s="159"/>
      <c r="L61" s="157"/>
      <c r="M61" s="158"/>
      <c r="N61" s="158"/>
      <c r="O61" s="159"/>
      <c r="P61" s="157">
        <v>12</v>
      </c>
      <c r="Q61" s="158">
        <v>105</v>
      </c>
      <c r="R61" s="158">
        <v>7</v>
      </c>
      <c r="S61" s="159">
        <v>34</v>
      </c>
      <c r="T61" s="157">
        <v>12</v>
      </c>
      <c r="U61" s="158">
        <v>105</v>
      </c>
      <c r="V61" s="158">
        <v>7</v>
      </c>
      <c r="W61" s="159">
        <v>34</v>
      </c>
      <c r="X61" s="166"/>
      <c r="Y61" s="167"/>
      <c r="Z61" s="148"/>
      <c r="AA61" s="56"/>
      <c r="AB61" s="157"/>
      <c r="AC61" s="158"/>
      <c r="AD61" s="145"/>
      <c r="AE61" s="159"/>
      <c r="AF61" s="168">
        <f>F61+J61+N61+R61+V61+Z61+AD61</f>
        <v>14</v>
      </c>
      <c r="AH61" s="153">
        <v>11527</v>
      </c>
    </row>
    <row r="62" spans="1:34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  <c r="AH62" s="33"/>
    </row>
    <row r="63" spans="1:34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  <c r="AH63" s="33"/>
    </row>
    <row r="64" spans="1:34" x14ac:dyDescent="0.25">
      <c r="A64" s="153">
        <v>21</v>
      </c>
      <c r="B64" s="153">
        <v>11528</v>
      </c>
      <c r="C64" s="172" t="s">
        <v>187</v>
      </c>
      <c r="D64" s="170"/>
      <c r="E64" s="158"/>
      <c r="F64" s="158"/>
      <c r="G64" s="159"/>
      <c r="H64" s="170"/>
      <c r="I64" s="158"/>
      <c r="J64" s="158"/>
      <c r="K64" s="159"/>
      <c r="L64" s="170"/>
      <c r="M64" s="158"/>
      <c r="N64" s="158"/>
      <c r="O64" s="159"/>
      <c r="P64" s="170">
        <v>12</v>
      </c>
      <c r="Q64" s="158">
        <v>106</v>
      </c>
      <c r="R64" s="158">
        <v>7</v>
      </c>
      <c r="S64" s="159">
        <v>34</v>
      </c>
      <c r="T64" s="170">
        <v>12</v>
      </c>
      <c r="U64" s="158">
        <v>106</v>
      </c>
      <c r="V64" s="158">
        <v>7</v>
      </c>
      <c r="W64" s="159">
        <v>34</v>
      </c>
      <c r="X64" s="170"/>
      <c r="Y64" s="158"/>
      <c r="Z64" s="145"/>
      <c r="AA64" s="159"/>
      <c r="AB64" s="157"/>
      <c r="AC64" s="158"/>
      <c r="AD64" s="145"/>
      <c r="AE64" s="159"/>
      <c r="AF64" s="168">
        <f>F64+J64+N64+R64+V64+Z64+AD64</f>
        <v>14</v>
      </c>
      <c r="AH64" s="153">
        <v>11528</v>
      </c>
    </row>
    <row r="65" spans="1:34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  <c r="AH65" s="33"/>
    </row>
    <row r="66" spans="1:34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  <c r="AH66" s="33"/>
    </row>
    <row r="67" spans="1:34" x14ac:dyDescent="0.25">
      <c r="A67" s="153">
        <v>22</v>
      </c>
      <c r="B67" s="153">
        <v>11531</v>
      </c>
      <c r="C67" s="172" t="s">
        <v>197</v>
      </c>
      <c r="D67" s="170"/>
      <c r="E67" s="158"/>
      <c r="F67" s="158"/>
      <c r="G67" s="159"/>
      <c r="H67" s="170"/>
      <c r="I67" s="158"/>
      <c r="J67" s="158"/>
      <c r="K67" s="159"/>
      <c r="L67" s="170"/>
      <c r="M67" s="158"/>
      <c r="N67" s="158"/>
      <c r="O67" s="159"/>
      <c r="P67" s="170">
        <v>12</v>
      </c>
      <c r="Q67" s="158">
        <v>107</v>
      </c>
      <c r="R67" s="158">
        <v>7</v>
      </c>
      <c r="S67" s="159">
        <v>34</v>
      </c>
      <c r="T67" s="170">
        <v>12</v>
      </c>
      <c r="U67" s="158">
        <v>107</v>
      </c>
      <c r="V67" s="158">
        <v>7</v>
      </c>
      <c r="W67" s="159">
        <v>34</v>
      </c>
      <c r="X67" s="166"/>
      <c r="Y67" s="167"/>
      <c r="Z67" s="148"/>
      <c r="AA67" s="56"/>
      <c r="AB67" s="157"/>
      <c r="AC67" s="158"/>
      <c r="AD67" s="145"/>
      <c r="AE67" s="159"/>
      <c r="AF67" s="168">
        <f>F67+J67+N67+R67+V67+Z67+AD67</f>
        <v>14</v>
      </c>
      <c r="AH67" s="153">
        <v>11531</v>
      </c>
    </row>
    <row r="68" spans="1:34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  <c r="AH68" s="33"/>
    </row>
    <row r="69" spans="1:34" ht="15.75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  <c r="AH69" s="33"/>
    </row>
    <row r="70" spans="1:34" x14ac:dyDescent="0.25">
      <c r="A70" s="153">
        <v>23</v>
      </c>
      <c r="B70" s="175">
        <v>11291</v>
      </c>
      <c r="C70" s="173" t="s">
        <v>168</v>
      </c>
      <c r="D70" s="205"/>
      <c r="E70" s="206"/>
      <c r="F70" s="167"/>
      <c r="G70" s="56"/>
      <c r="H70" s="205"/>
      <c r="I70" s="206"/>
      <c r="J70" s="167"/>
      <c r="K70" s="56"/>
      <c r="L70" s="205"/>
      <c r="M70" s="206"/>
      <c r="N70" s="167"/>
      <c r="O70" s="56"/>
      <c r="P70" s="205" t="s">
        <v>192</v>
      </c>
      <c r="Q70" s="206"/>
      <c r="R70" s="167"/>
      <c r="S70" s="56"/>
      <c r="T70" s="205" t="s">
        <v>192</v>
      </c>
      <c r="U70" s="206"/>
      <c r="V70" s="167"/>
      <c r="W70" s="56"/>
      <c r="X70" s="205"/>
      <c r="Y70" s="206"/>
      <c r="Z70" s="148"/>
      <c r="AA70" s="56"/>
      <c r="AB70" s="166"/>
      <c r="AC70" s="167"/>
      <c r="AD70" s="148"/>
      <c r="AE70" s="56"/>
      <c r="AF70" s="168">
        <f>F70+J70+N70+R70+V70+Z70+AD70</f>
        <v>0</v>
      </c>
      <c r="AH70" s="175">
        <v>11291</v>
      </c>
    </row>
    <row r="71" spans="1:34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  <c r="AH71" s="33"/>
    </row>
    <row r="72" spans="1:34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  <c r="AH72" s="39"/>
    </row>
    <row r="73" spans="1:34" ht="15" customHeight="1" x14ac:dyDescent="0.25">
      <c r="A73" s="153">
        <v>24</v>
      </c>
      <c r="B73" s="171">
        <v>11504</v>
      </c>
      <c r="C73" s="162" t="s">
        <v>186</v>
      </c>
      <c r="D73" s="154"/>
      <c r="E73" s="155"/>
      <c r="F73" s="155"/>
      <c r="G73" s="156"/>
      <c r="H73" s="154"/>
      <c r="I73" s="155"/>
      <c r="J73" s="155"/>
      <c r="K73" s="156"/>
      <c r="L73" s="154"/>
      <c r="M73" s="155"/>
      <c r="N73" s="155"/>
      <c r="O73" s="156"/>
      <c r="P73" s="154">
        <v>12</v>
      </c>
      <c r="Q73" s="155">
        <v>221</v>
      </c>
      <c r="R73" s="155">
        <v>5</v>
      </c>
      <c r="S73" s="156">
        <v>37</v>
      </c>
      <c r="T73" s="154">
        <v>12</v>
      </c>
      <c r="U73" s="155">
        <v>221</v>
      </c>
      <c r="V73" s="155">
        <v>5</v>
      </c>
      <c r="W73" s="156">
        <v>37</v>
      </c>
      <c r="X73" s="154">
        <v>12</v>
      </c>
      <c r="Y73" s="155">
        <v>221</v>
      </c>
      <c r="Z73" s="150">
        <v>3</v>
      </c>
      <c r="AA73" s="156">
        <v>37</v>
      </c>
      <c r="AB73" s="157"/>
      <c r="AC73" s="158"/>
      <c r="AD73" s="145"/>
      <c r="AE73" s="159"/>
      <c r="AF73" s="168">
        <f>F73+J73+N73+R73+V73+Z73+AD73</f>
        <v>13</v>
      </c>
      <c r="AH73" s="171">
        <v>11504</v>
      </c>
    </row>
    <row r="74" spans="1:34" ht="15.75" thickBot="1" x14ac:dyDescent="0.3">
      <c r="A74" s="33"/>
      <c r="B74" s="69"/>
      <c r="C74" s="34"/>
      <c r="D74" s="35"/>
      <c r="E74" s="36"/>
      <c r="F74" s="36"/>
      <c r="G74" s="51"/>
      <c r="H74" s="35"/>
      <c r="I74" s="36"/>
      <c r="J74" s="36"/>
      <c r="K74" s="51"/>
      <c r="L74" s="35"/>
      <c r="M74" s="36"/>
      <c r="N74" s="36"/>
      <c r="O74" s="51"/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2</v>
      </c>
      <c r="AA74" s="51">
        <v>34</v>
      </c>
      <c r="AB74" s="35"/>
      <c r="AC74" s="36"/>
      <c r="AD74" s="146"/>
      <c r="AE74" s="51"/>
      <c r="AF74" s="59">
        <f>F74+J74+N74+R74+V74+Z74+AD74</f>
        <v>10</v>
      </c>
      <c r="AH74" s="69"/>
    </row>
    <row r="75" spans="1:34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  <c r="AH75" s="71"/>
    </row>
    <row r="76" spans="1:34" ht="15.75" thickBot="1" x14ac:dyDescent="0.3">
      <c r="A76" s="153">
        <v>1</v>
      </c>
      <c r="B76" s="153">
        <v>11457</v>
      </c>
      <c r="C76" s="172" t="s">
        <v>198</v>
      </c>
      <c r="D76" s="157"/>
      <c r="E76" s="158"/>
      <c r="F76" s="158"/>
      <c r="G76" s="159"/>
      <c r="H76" s="157"/>
      <c r="I76" s="158"/>
      <c r="J76" s="158"/>
      <c r="K76" s="159"/>
      <c r="L76" s="157"/>
      <c r="M76" s="158"/>
      <c r="N76" s="158"/>
      <c r="O76" s="159"/>
      <c r="P76" s="157">
        <v>12</v>
      </c>
      <c r="Q76" s="158">
        <v>106</v>
      </c>
      <c r="R76" s="158">
        <v>7</v>
      </c>
      <c r="S76" s="159">
        <v>37</v>
      </c>
      <c r="T76" s="157">
        <v>12</v>
      </c>
      <c r="U76" s="158">
        <v>106</v>
      </c>
      <c r="V76" s="158">
        <v>7</v>
      </c>
      <c r="W76" s="159">
        <v>37</v>
      </c>
      <c r="X76" s="157"/>
      <c r="Y76" s="158"/>
      <c r="Z76" s="145"/>
      <c r="AA76" s="159"/>
      <c r="AB76" s="157"/>
      <c r="AC76" s="158"/>
      <c r="AD76" s="145"/>
      <c r="AE76" s="159"/>
      <c r="AF76" s="161">
        <f>F76+J76+N76+R76+V76+Z76+AD76</f>
        <v>14</v>
      </c>
      <c r="AH76" s="153">
        <v>11457</v>
      </c>
    </row>
    <row r="77" spans="1:34" x14ac:dyDescent="0.25">
      <c r="A77" s="33"/>
      <c r="B77" s="33"/>
      <c r="C77" s="50"/>
      <c r="D77" s="35"/>
      <c r="E77" s="36"/>
      <c r="F77" s="36"/>
      <c r="G77" s="51"/>
      <c r="H77" s="35"/>
      <c r="I77" s="36"/>
      <c r="J77" s="36"/>
      <c r="K77" s="51"/>
      <c r="L77" s="35"/>
      <c r="M77" s="36"/>
      <c r="N77" s="36"/>
      <c r="O77" s="51"/>
      <c r="P77" s="35"/>
      <c r="Q77" s="36"/>
      <c r="R77" s="36"/>
      <c r="S77" s="51"/>
      <c r="T77" s="35"/>
      <c r="U77" s="36"/>
      <c r="V77" s="36"/>
      <c r="W77" s="51"/>
      <c r="X77" s="35"/>
      <c r="Y77" s="36"/>
      <c r="Z77" s="146"/>
      <c r="AA77" s="51"/>
      <c r="AB77" s="35"/>
      <c r="AC77" s="36"/>
      <c r="AD77" s="146"/>
      <c r="AE77" s="51"/>
      <c r="AH77" s="33"/>
    </row>
    <row r="78" spans="1:34" ht="15.75" thickBot="1" x14ac:dyDescent="0.3">
      <c r="A78" s="39"/>
      <c r="B78" s="39"/>
      <c r="C78" s="52"/>
      <c r="D78" s="41"/>
      <c r="E78" s="42"/>
      <c r="F78" s="42"/>
      <c r="G78" s="44"/>
      <c r="H78" s="41"/>
      <c r="I78" s="42"/>
      <c r="J78" s="42"/>
      <c r="K78" s="44"/>
      <c r="L78" s="41"/>
      <c r="M78" s="42"/>
      <c r="N78" s="42"/>
      <c r="O78" s="44"/>
      <c r="P78" s="41"/>
      <c r="Q78" s="42"/>
      <c r="R78" s="42"/>
      <c r="S78" s="44"/>
      <c r="T78" s="41"/>
      <c r="U78" s="42"/>
      <c r="V78" s="42"/>
      <c r="W78" s="44"/>
      <c r="X78" s="41"/>
      <c r="Y78" s="42"/>
      <c r="Z78" s="147"/>
      <c r="AA78" s="44"/>
      <c r="AB78" s="41"/>
      <c r="AC78" s="42"/>
      <c r="AD78" s="147"/>
      <c r="AE78" s="44"/>
      <c r="AH78" s="39"/>
    </row>
    <row r="79" spans="1:34" ht="15.75" thickBot="1" x14ac:dyDescent="0.3">
      <c r="A79" s="153">
        <v>2</v>
      </c>
      <c r="B79" s="171">
        <v>11458</v>
      </c>
      <c r="C79" s="162" t="s">
        <v>199</v>
      </c>
      <c r="D79" s="157"/>
      <c r="E79" s="158"/>
      <c r="F79" s="158"/>
      <c r="G79" s="159"/>
      <c r="H79" s="157"/>
      <c r="I79" s="158"/>
      <c r="J79" s="158"/>
      <c r="K79" s="159"/>
      <c r="L79" s="157"/>
      <c r="M79" s="158"/>
      <c r="N79" s="158"/>
      <c r="O79" s="159"/>
      <c r="P79" s="166">
        <v>12</v>
      </c>
      <c r="Q79" s="167">
        <v>105</v>
      </c>
      <c r="R79" s="167">
        <v>3</v>
      </c>
      <c r="S79" s="56">
        <v>34</v>
      </c>
      <c r="T79" s="166">
        <v>12</v>
      </c>
      <c r="U79" s="167">
        <v>105</v>
      </c>
      <c r="V79" s="167">
        <v>3</v>
      </c>
      <c r="W79" s="56">
        <v>34</v>
      </c>
      <c r="X79" s="166"/>
      <c r="Y79" s="167"/>
      <c r="Z79" s="148"/>
      <c r="AA79" s="56"/>
      <c r="AB79" s="157"/>
      <c r="AC79" s="158"/>
      <c r="AD79" s="145"/>
      <c r="AE79" s="159"/>
      <c r="AF79" s="161">
        <f>F79+J79+N79+R79+V79+Z79+AD79</f>
        <v>6</v>
      </c>
      <c r="AH79" s="171">
        <v>11458</v>
      </c>
    </row>
    <row r="80" spans="1:34" ht="15.75" thickBot="1" x14ac:dyDescent="0.3">
      <c r="A80" s="33"/>
      <c r="B80" s="69"/>
      <c r="C80" s="34"/>
      <c r="D80" s="35"/>
      <c r="E80" s="36"/>
      <c r="F80" s="36"/>
      <c r="G80" s="51"/>
      <c r="H80" s="35"/>
      <c r="I80" s="36"/>
      <c r="J80" s="36"/>
      <c r="K80" s="51"/>
      <c r="L80" s="35"/>
      <c r="M80" s="36"/>
      <c r="N80" s="36"/>
      <c r="O80" s="51"/>
      <c r="P80" s="35">
        <v>12</v>
      </c>
      <c r="Q80" s="36">
        <v>105</v>
      </c>
      <c r="R80" s="36">
        <v>3</v>
      </c>
      <c r="S80" s="51">
        <v>37</v>
      </c>
      <c r="T80" s="35">
        <v>12</v>
      </c>
      <c r="U80" s="36">
        <v>105</v>
      </c>
      <c r="V80" s="36">
        <v>3</v>
      </c>
      <c r="W80" s="51">
        <v>37</v>
      </c>
      <c r="X80" s="35"/>
      <c r="Y80" s="36"/>
      <c r="Z80" s="146"/>
      <c r="AA80" s="51"/>
      <c r="AB80" s="35"/>
      <c r="AC80" s="36"/>
      <c r="AD80" s="146"/>
      <c r="AE80" s="51"/>
      <c r="AF80" s="161">
        <f>F80+J80+N80+R80+V80+Z80+AD80</f>
        <v>6</v>
      </c>
      <c r="AH80" s="69"/>
    </row>
    <row r="81" spans="1:34" ht="15.75" thickBot="1" x14ac:dyDescent="0.3">
      <c r="A81" s="39"/>
      <c r="B81" s="71"/>
      <c r="C81" s="40"/>
      <c r="D81" s="41"/>
      <c r="E81" s="42"/>
      <c r="F81" s="42"/>
      <c r="G81" s="44"/>
      <c r="H81" s="41"/>
      <c r="I81" s="42"/>
      <c r="J81" s="42"/>
      <c r="K81" s="44"/>
      <c r="L81" s="41"/>
      <c r="M81" s="42"/>
      <c r="N81" s="42"/>
      <c r="O81" s="44"/>
      <c r="P81" s="41">
        <v>12</v>
      </c>
      <c r="Q81" s="42">
        <v>121</v>
      </c>
      <c r="R81" s="42">
        <v>1</v>
      </c>
      <c r="S81" s="44">
        <v>37</v>
      </c>
      <c r="T81" s="41">
        <v>12</v>
      </c>
      <c r="U81" s="42">
        <v>121</v>
      </c>
      <c r="V81" s="42">
        <v>1</v>
      </c>
      <c r="W81" s="44">
        <v>37</v>
      </c>
      <c r="X81" s="41"/>
      <c r="Y81" s="42"/>
      <c r="Z81" s="147"/>
      <c r="AA81" s="44"/>
      <c r="AB81" s="41"/>
      <c r="AC81" s="42"/>
      <c r="AD81" s="147"/>
      <c r="AE81" s="44"/>
      <c r="AF81" s="161">
        <f>F81+J81+N81+R81+V81+Z81+AD81</f>
        <v>2</v>
      </c>
      <c r="AH81" s="71"/>
    </row>
    <row r="82" spans="1:34" ht="15.75" thickBot="1" x14ac:dyDescent="0.3">
      <c r="A82" s="153">
        <v>3</v>
      </c>
      <c r="B82" s="153">
        <v>11477</v>
      </c>
      <c r="C82" s="172" t="s">
        <v>166</v>
      </c>
      <c r="D82" s="157"/>
      <c r="E82" s="158"/>
      <c r="F82" s="158"/>
      <c r="G82" s="159"/>
      <c r="H82" s="157"/>
      <c r="I82" s="158"/>
      <c r="J82" s="158"/>
      <c r="K82" s="159"/>
      <c r="L82" s="157"/>
      <c r="M82" s="158"/>
      <c r="N82" s="158"/>
      <c r="O82" s="159"/>
      <c r="P82" s="157">
        <v>12</v>
      </c>
      <c r="Q82" s="158">
        <v>107</v>
      </c>
      <c r="R82" s="158">
        <v>7</v>
      </c>
      <c r="S82" s="159">
        <v>37</v>
      </c>
      <c r="T82" s="157">
        <v>12</v>
      </c>
      <c r="U82" s="158">
        <v>107</v>
      </c>
      <c r="V82" s="158">
        <v>7</v>
      </c>
      <c r="W82" s="159">
        <v>37</v>
      </c>
      <c r="X82" s="157"/>
      <c r="Y82" s="158"/>
      <c r="Z82" s="145"/>
      <c r="AA82" s="159"/>
      <c r="AB82" s="157"/>
      <c r="AC82" s="158"/>
      <c r="AD82" s="145"/>
      <c r="AE82" s="159"/>
      <c r="AF82" s="161">
        <f>F82+J82+N82+R82+V82+Z82+AD82</f>
        <v>14</v>
      </c>
      <c r="AH82" s="153">
        <v>11477</v>
      </c>
    </row>
    <row r="83" spans="1:34" x14ac:dyDescent="0.25">
      <c r="A83" s="33"/>
      <c r="B83" s="33"/>
      <c r="C83" s="173"/>
      <c r="D83" s="166"/>
      <c r="E83" s="167"/>
      <c r="F83" s="167"/>
      <c r="G83" s="56"/>
      <c r="H83" s="166"/>
      <c r="I83" s="167"/>
      <c r="J83" s="167"/>
      <c r="K83" s="56"/>
      <c r="L83" s="166"/>
      <c r="M83" s="167"/>
      <c r="N83" s="167"/>
      <c r="O83" s="56"/>
      <c r="P83" s="166"/>
      <c r="Q83" s="167"/>
      <c r="R83" s="167"/>
      <c r="S83" s="56"/>
      <c r="T83" s="166"/>
      <c r="U83" s="167"/>
      <c r="V83" s="167"/>
      <c r="W83" s="56"/>
      <c r="X83" s="166"/>
      <c r="Y83" s="167"/>
      <c r="Z83" s="148"/>
      <c r="AA83" s="56"/>
      <c r="AB83" s="166"/>
      <c r="AC83" s="167"/>
      <c r="AD83" s="148"/>
      <c r="AE83" s="56"/>
      <c r="AF83" s="74"/>
      <c r="AH83" s="33"/>
    </row>
    <row r="84" spans="1:34" ht="15.75" thickBot="1" x14ac:dyDescent="0.3">
      <c r="A84" s="33"/>
      <c r="B84" s="33"/>
      <c r="C84" s="50"/>
      <c r="D84" s="35"/>
      <c r="E84" s="36"/>
      <c r="F84" s="36"/>
      <c r="G84" s="51"/>
      <c r="H84" s="35"/>
      <c r="I84" s="36"/>
      <c r="J84" s="36"/>
      <c r="K84" s="51"/>
      <c r="L84" s="35"/>
      <c r="M84" s="36"/>
      <c r="N84" s="36"/>
      <c r="O84" s="51"/>
      <c r="P84" s="35"/>
      <c r="Q84" s="36"/>
      <c r="R84" s="36"/>
      <c r="S84" s="51"/>
      <c r="T84" s="35"/>
      <c r="U84" s="36"/>
      <c r="V84" s="36"/>
      <c r="W84" s="51"/>
      <c r="X84" s="35"/>
      <c r="Y84" s="36"/>
      <c r="Z84" s="146"/>
      <c r="AA84" s="51"/>
      <c r="AB84" s="35"/>
      <c r="AC84" s="36"/>
      <c r="AD84" s="146"/>
      <c r="AE84" s="51"/>
      <c r="AH84" s="33"/>
    </row>
    <row r="85" spans="1:34" ht="15.75" thickBot="1" x14ac:dyDescent="0.3">
      <c r="A85" s="171">
        <v>4</v>
      </c>
      <c r="B85" s="171">
        <v>11484</v>
      </c>
      <c r="C85" s="172" t="s">
        <v>173</v>
      </c>
      <c r="D85" s="157"/>
      <c r="E85" s="158"/>
      <c r="F85" s="158"/>
      <c r="G85" s="159"/>
      <c r="H85" s="157"/>
      <c r="I85" s="158"/>
      <c r="J85" s="158"/>
      <c r="K85" s="159"/>
      <c r="L85" s="157"/>
      <c r="M85" s="158"/>
      <c r="N85" s="158"/>
      <c r="O85" s="159"/>
      <c r="P85" s="157">
        <v>12</v>
      </c>
      <c r="Q85" s="158">
        <v>107</v>
      </c>
      <c r="R85" s="158">
        <v>7</v>
      </c>
      <c r="S85" s="159">
        <v>37</v>
      </c>
      <c r="T85" s="157">
        <v>12</v>
      </c>
      <c r="U85" s="158">
        <v>107</v>
      </c>
      <c r="V85" s="158">
        <v>7</v>
      </c>
      <c r="W85" s="159">
        <v>34</v>
      </c>
      <c r="X85" s="157"/>
      <c r="Y85" s="158"/>
      <c r="Z85" s="145"/>
      <c r="AA85" s="159"/>
      <c r="AB85" s="157"/>
      <c r="AC85" s="158"/>
      <c r="AD85" s="145"/>
      <c r="AE85" s="159"/>
      <c r="AF85" s="161">
        <f>F85+J85+N85+R85+V85+Z85+AD85</f>
        <v>14</v>
      </c>
      <c r="AH85" s="171">
        <v>11484</v>
      </c>
    </row>
    <row r="86" spans="1:34" x14ac:dyDescent="0.25">
      <c r="A86" s="69"/>
      <c r="B86" s="69"/>
      <c r="C86" s="50"/>
      <c r="D86" s="35"/>
      <c r="E86" s="36"/>
      <c r="F86" s="36"/>
      <c r="G86" s="51"/>
      <c r="H86" s="35"/>
      <c r="I86" s="36"/>
      <c r="J86" s="36"/>
      <c r="K86" s="51"/>
      <c r="L86" s="35"/>
      <c r="M86" s="36"/>
      <c r="N86" s="36"/>
      <c r="O86" s="51"/>
      <c r="P86" s="35"/>
      <c r="Q86" s="36"/>
      <c r="R86" s="36"/>
      <c r="S86" s="51"/>
      <c r="T86" s="35"/>
      <c r="U86" s="36"/>
      <c r="V86" s="36"/>
      <c r="W86" s="51"/>
      <c r="X86" s="35"/>
      <c r="Y86" s="36"/>
      <c r="Z86" s="146"/>
      <c r="AA86" s="51"/>
      <c r="AB86" s="35"/>
      <c r="AC86" s="36"/>
      <c r="AD86" s="146"/>
      <c r="AE86" s="51"/>
      <c r="AH86" s="69"/>
    </row>
    <row r="87" spans="1:34" ht="15.75" thickBot="1" x14ac:dyDescent="0.3">
      <c r="A87" s="71"/>
      <c r="B87" s="71"/>
      <c r="C87" s="52"/>
      <c r="D87" s="41"/>
      <c r="E87" s="42"/>
      <c r="F87" s="42"/>
      <c r="G87" s="44"/>
      <c r="H87" s="41"/>
      <c r="I87" s="42"/>
      <c r="J87" s="42"/>
      <c r="K87" s="44"/>
      <c r="L87" s="41"/>
      <c r="M87" s="42"/>
      <c r="N87" s="42"/>
      <c r="O87" s="44"/>
      <c r="P87" s="41"/>
      <c r="Q87" s="42"/>
      <c r="R87" s="42"/>
      <c r="S87" s="44"/>
      <c r="T87" s="41"/>
      <c r="U87" s="42"/>
      <c r="V87" s="42"/>
      <c r="W87" s="44"/>
      <c r="X87" s="41"/>
      <c r="Y87" s="42"/>
      <c r="Z87" s="147"/>
      <c r="AA87" s="44"/>
      <c r="AB87" s="41"/>
      <c r="AC87" s="42"/>
      <c r="AD87" s="147"/>
      <c r="AE87" s="44"/>
      <c r="AH87" s="71"/>
    </row>
    <row r="88" spans="1:34" ht="15.75" thickBot="1" x14ac:dyDescent="0.3">
      <c r="A88" s="171">
        <v>5</v>
      </c>
      <c r="B88" s="171">
        <v>11485</v>
      </c>
      <c r="C88" s="172" t="s">
        <v>169</v>
      </c>
      <c r="D88" s="157"/>
      <c r="E88" s="158"/>
      <c r="F88" s="158"/>
      <c r="G88" s="159"/>
      <c r="H88" s="157"/>
      <c r="I88" s="158"/>
      <c r="J88" s="158"/>
      <c r="K88" s="159"/>
      <c r="L88" s="157"/>
      <c r="M88" s="158"/>
      <c r="N88" s="158"/>
      <c r="O88" s="159"/>
      <c r="P88" s="157">
        <v>12</v>
      </c>
      <c r="Q88" s="158">
        <v>107</v>
      </c>
      <c r="R88" s="158">
        <v>7</v>
      </c>
      <c r="S88" s="159">
        <v>37</v>
      </c>
      <c r="T88" s="157">
        <v>12</v>
      </c>
      <c r="U88" s="158">
        <v>107</v>
      </c>
      <c r="V88" s="158">
        <v>7</v>
      </c>
      <c r="W88" s="159">
        <v>34</v>
      </c>
      <c r="X88" s="157"/>
      <c r="Y88" s="158"/>
      <c r="Z88" s="145"/>
      <c r="AA88" s="159"/>
      <c r="AB88" s="157"/>
      <c r="AC88" s="158"/>
      <c r="AD88" s="145"/>
      <c r="AE88" s="159"/>
      <c r="AF88" s="161">
        <f>F88+J88+N88+R88+V88+Z88+AD88</f>
        <v>14</v>
      </c>
      <c r="AH88" s="171">
        <v>11485</v>
      </c>
    </row>
    <row r="89" spans="1:34" x14ac:dyDescent="0.25">
      <c r="A89" s="69"/>
      <c r="B89" s="69"/>
      <c r="C89" s="50"/>
      <c r="D89" s="35"/>
      <c r="E89" s="36"/>
      <c r="F89" s="36"/>
      <c r="G89" s="51"/>
      <c r="H89" s="35"/>
      <c r="I89" s="36"/>
      <c r="J89" s="36"/>
      <c r="K89" s="51"/>
      <c r="L89" s="35"/>
      <c r="M89" s="36"/>
      <c r="N89" s="36"/>
      <c r="O89" s="51"/>
      <c r="P89" s="35"/>
      <c r="Q89" s="36"/>
      <c r="R89" s="36"/>
      <c r="S89" s="51"/>
      <c r="T89" s="35"/>
      <c r="U89" s="36"/>
      <c r="V89" s="36"/>
      <c r="W89" s="51"/>
      <c r="X89" s="35"/>
      <c r="Y89" s="36"/>
      <c r="Z89" s="146"/>
      <c r="AA89" s="51"/>
      <c r="AB89" s="35"/>
      <c r="AC89" s="36"/>
      <c r="AD89" s="146"/>
      <c r="AE89" s="51"/>
      <c r="AH89" s="69"/>
    </row>
    <row r="90" spans="1:34" ht="15.75" thickBot="1" x14ac:dyDescent="0.3">
      <c r="A90" s="71"/>
      <c r="B90" s="71"/>
      <c r="C90" s="52"/>
      <c r="D90" s="41"/>
      <c r="E90" s="42"/>
      <c r="F90" s="42"/>
      <c r="G90" s="44"/>
      <c r="H90" s="41"/>
      <c r="I90" s="42"/>
      <c r="J90" s="42"/>
      <c r="K90" s="44"/>
      <c r="L90" s="41"/>
      <c r="M90" s="42"/>
      <c r="N90" s="42"/>
      <c r="O90" s="44"/>
      <c r="P90" s="41"/>
      <c r="Q90" s="42"/>
      <c r="R90" s="42"/>
      <c r="S90" s="44"/>
      <c r="T90" s="41"/>
      <c r="U90" s="42"/>
      <c r="V90" s="42"/>
      <c r="W90" s="44"/>
      <c r="X90" s="41"/>
      <c r="Y90" s="42"/>
      <c r="Z90" s="147"/>
      <c r="AA90" s="44"/>
      <c r="AB90" s="41"/>
      <c r="AC90" s="42"/>
      <c r="AD90" s="147"/>
      <c r="AE90" s="44"/>
      <c r="AH90" s="71"/>
    </row>
    <row r="91" spans="1:34" ht="15.75" thickBot="1" x14ac:dyDescent="0.3">
      <c r="A91" s="171">
        <v>6</v>
      </c>
      <c r="B91" s="171">
        <v>11506</v>
      </c>
      <c r="C91" s="172" t="s">
        <v>159</v>
      </c>
      <c r="D91" s="157"/>
      <c r="E91" s="158"/>
      <c r="F91" s="158"/>
      <c r="G91" s="159"/>
      <c r="H91" s="157"/>
      <c r="I91" s="158"/>
      <c r="J91" s="158"/>
      <c r="K91" s="159"/>
      <c r="L91" s="157"/>
      <c r="M91" s="158"/>
      <c r="N91" s="158"/>
      <c r="O91" s="159"/>
      <c r="P91" s="157">
        <v>12</v>
      </c>
      <c r="Q91" s="158">
        <v>143</v>
      </c>
      <c r="R91" s="158">
        <v>7</v>
      </c>
      <c r="S91" s="159">
        <v>34</v>
      </c>
      <c r="T91" s="157">
        <v>12</v>
      </c>
      <c r="U91" s="158">
        <v>143</v>
      </c>
      <c r="V91" s="158">
        <v>7</v>
      </c>
      <c r="W91" s="159">
        <v>34</v>
      </c>
      <c r="X91" s="157"/>
      <c r="Y91" s="158"/>
      <c r="Z91" s="145"/>
      <c r="AA91" s="159"/>
      <c r="AB91" s="157"/>
      <c r="AC91" s="158"/>
      <c r="AD91" s="145"/>
      <c r="AE91" s="159"/>
      <c r="AF91" s="161">
        <f>F91+J91+N91+R91+V91+Z91+AD91</f>
        <v>14</v>
      </c>
      <c r="AH91" s="171">
        <v>11506</v>
      </c>
    </row>
    <row r="92" spans="1:34" x14ac:dyDescent="0.25">
      <c r="A92" s="69"/>
      <c r="B92" s="69"/>
      <c r="C92" s="50"/>
      <c r="D92" s="35"/>
      <c r="E92" s="36"/>
      <c r="F92" s="36"/>
      <c r="G92" s="51"/>
      <c r="H92" s="35"/>
      <c r="I92" s="36"/>
      <c r="J92" s="36"/>
      <c r="K92" s="51"/>
      <c r="L92" s="35"/>
      <c r="M92" s="36"/>
      <c r="N92" s="36"/>
      <c r="O92" s="51"/>
      <c r="P92" s="35"/>
      <c r="Q92" s="36"/>
      <c r="R92" s="36"/>
      <c r="S92" s="51"/>
      <c r="T92" s="35"/>
      <c r="U92" s="36"/>
      <c r="V92" s="36"/>
      <c r="W92" s="51"/>
      <c r="X92" s="35"/>
      <c r="Y92" s="36"/>
      <c r="Z92" s="146"/>
      <c r="AA92" s="51"/>
      <c r="AB92" s="35"/>
      <c r="AC92" s="36"/>
      <c r="AD92" s="146"/>
      <c r="AE92" s="51"/>
      <c r="AH92" s="69"/>
    </row>
    <row r="93" spans="1:34" ht="15.75" thickBot="1" x14ac:dyDescent="0.3">
      <c r="A93" s="71"/>
      <c r="B93" s="71"/>
      <c r="C93" s="52"/>
      <c r="D93" s="41"/>
      <c r="E93" s="42"/>
      <c r="F93" s="42"/>
      <c r="G93" s="44"/>
      <c r="H93" s="41"/>
      <c r="I93" s="42"/>
      <c r="J93" s="42"/>
      <c r="K93" s="44"/>
      <c r="L93" s="41"/>
      <c r="M93" s="42"/>
      <c r="N93" s="42"/>
      <c r="O93" s="44"/>
      <c r="P93" s="41"/>
      <c r="Q93" s="42"/>
      <c r="R93" s="42"/>
      <c r="S93" s="44"/>
      <c r="T93" s="41"/>
      <c r="U93" s="42"/>
      <c r="V93" s="42"/>
      <c r="W93" s="44"/>
      <c r="X93" s="41"/>
      <c r="Y93" s="42"/>
      <c r="Z93" s="147"/>
      <c r="AA93" s="44"/>
      <c r="AB93" s="41"/>
      <c r="AC93" s="42"/>
      <c r="AD93" s="147"/>
      <c r="AE93" s="44"/>
      <c r="AH93" s="71"/>
    </row>
    <row r="94" spans="1:34" ht="15.75" thickBot="1" x14ac:dyDescent="0.3">
      <c r="A94" s="171">
        <v>7</v>
      </c>
      <c r="B94" s="171">
        <v>11507</v>
      </c>
      <c r="C94" s="172" t="s">
        <v>165</v>
      </c>
      <c r="D94" s="157"/>
      <c r="E94" s="158"/>
      <c r="F94" s="158"/>
      <c r="G94" s="159"/>
      <c r="H94" s="157"/>
      <c r="I94" s="158"/>
      <c r="J94" s="158"/>
      <c r="K94" s="159"/>
      <c r="L94" s="157"/>
      <c r="M94" s="158"/>
      <c r="N94" s="158"/>
      <c r="O94" s="159"/>
      <c r="P94" s="157">
        <v>12</v>
      </c>
      <c r="Q94" s="158">
        <v>106</v>
      </c>
      <c r="R94" s="158">
        <v>7</v>
      </c>
      <c r="S94" s="159">
        <v>37</v>
      </c>
      <c r="T94" s="157">
        <v>12</v>
      </c>
      <c r="U94" s="158">
        <v>106</v>
      </c>
      <c r="V94" s="158">
        <v>7</v>
      </c>
      <c r="W94" s="159">
        <v>37</v>
      </c>
      <c r="X94" s="157"/>
      <c r="Y94" s="158"/>
      <c r="Z94" s="145"/>
      <c r="AA94" s="159"/>
      <c r="AB94" s="157"/>
      <c r="AC94" s="158"/>
      <c r="AD94" s="145"/>
      <c r="AE94" s="159"/>
      <c r="AF94" s="161">
        <f>F94+J94+N94+R94+V94+Z94+AD94</f>
        <v>14</v>
      </c>
      <c r="AH94" s="171">
        <v>11507</v>
      </c>
    </row>
    <row r="95" spans="1:34" x14ac:dyDescent="0.25">
      <c r="A95" s="69"/>
      <c r="B95" s="69"/>
      <c r="C95" s="50"/>
      <c r="D95" s="35"/>
      <c r="E95" s="36"/>
      <c r="F95" s="36"/>
      <c r="G95" s="51"/>
      <c r="H95" s="35"/>
      <c r="I95" s="36"/>
      <c r="J95" s="36"/>
      <c r="K95" s="51"/>
      <c r="L95" s="35"/>
      <c r="M95" s="36"/>
      <c r="N95" s="36"/>
      <c r="O95" s="51"/>
      <c r="P95" s="35"/>
      <c r="Q95" s="36"/>
      <c r="R95" s="36"/>
      <c r="S95" s="51"/>
      <c r="T95" s="35"/>
      <c r="U95" s="36"/>
      <c r="V95" s="36"/>
      <c r="W95" s="51"/>
      <c r="X95" s="35"/>
      <c r="Y95" s="36"/>
      <c r="Z95" s="146"/>
      <c r="AA95" s="51"/>
      <c r="AB95" s="35"/>
      <c r="AC95" s="36"/>
      <c r="AD95" s="146"/>
      <c r="AE95" s="51"/>
      <c r="AH95" s="69"/>
    </row>
    <row r="96" spans="1:34" ht="15.75" thickBot="1" x14ac:dyDescent="0.3">
      <c r="A96" s="71"/>
      <c r="B96" s="71"/>
      <c r="C96" s="52"/>
      <c r="D96" s="41"/>
      <c r="E96" s="42"/>
      <c r="F96" s="42"/>
      <c r="G96" s="44"/>
      <c r="H96" s="41"/>
      <c r="I96" s="42"/>
      <c r="J96" s="42"/>
      <c r="K96" s="44"/>
      <c r="L96" s="41"/>
      <c r="M96" s="42"/>
      <c r="N96" s="42"/>
      <c r="O96" s="44"/>
      <c r="P96" s="41"/>
      <c r="Q96" s="42"/>
      <c r="R96" s="42"/>
      <c r="S96" s="44"/>
      <c r="T96" s="41"/>
      <c r="U96" s="42"/>
      <c r="V96" s="42"/>
      <c r="W96" s="44"/>
      <c r="X96" s="41"/>
      <c r="Y96" s="42"/>
      <c r="Z96" s="147"/>
      <c r="AA96" s="44"/>
      <c r="AB96" s="41"/>
      <c r="AC96" s="42"/>
      <c r="AD96" s="147"/>
      <c r="AE96" s="44"/>
      <c r="AH96" s="71"/>
    </row>
    <row r="97" spans="1:34" ht="15.75" thickBot="1" x14ac:dyDescent="0.3">
      <c r="A97" s="171">
        <v>8</v>
      </c>
      <c r="B97" s="171">
        <v>11510</v>
      </c>
      <c r="C97" s="172" t="s">
        <v>160</v>
      </c>
      <c r="D97" s="157"/>
      <c r="E97" s="158"/>
      <c r="F97" s="158"/>
      <c r="G97" s="159"/>
      <c r="H97" s="157"/>
      <c r="I97" s="158"/>
      <c r="J97" s="158"/>
      <c r="K97" s="159"/>
      <c r="L97" s="157"/>
      <c r="M97" s="158"/>
      <c r="N97" s="158"/>
      <c r="O97" s="159"/>
      <c r="P97" s="157">
        <v>12</v>
      </c>
      <c r="Q97" s="158">
        <v>107</v>
      </c>
      <c r="R97" s="158">
        <v>7</v>
      </c>
      <c r="S97" s="159">
        <v>34</v>
      </c>
      <c r="T97" s="157">
        <v>12</v>
      </c>
      <c r="U97" s="158">
        <v>200</v>
      </c>
      <c r="V97" s="158">
        <v>7</v>
      </c>
      <c r="W97" s="159">
        <v>34</v>
      </c>
      <c r="X97" s="157"/>
      <c r="Y97" s="158"/>
      <c r="Z97" s="145"/>
      <c r="AA97" s="159"/>
      <c r="AB97" s="157"/>
      <c r="AC97" s="158"/>
      <c r="AD97" s="145"/>
      <c r="AE97" s="159"/>
      <c r="AF97" s="161">
        <f>F97+J97+N97+R97+V97+Z97+AD97</f>
        <v>14</v>
      </c>
      <c r="AH97" s="171">
        <v>11510</v>
      </c>
    </row>
    <row r="98" spans="1:34" x14ac:dyDescent="0.25">
      <c r="A98" s="69"/>
      <c r="B98" s="69"/>
      <c r="C98" s="50"/>
      <c r="D98" s="35"/>
      <c r="E98" s="36"/>
      <c r="F98" s="36"/>
      <c r="G98" s="51"/>
      <c r="H98" s="35"/>
      <c r="I98" s="36"/>
      <c r="J98" s="36"/>
      <c r="K98" s="51"/>
      <c r="L98" s="35"/>
      <c r="M98" s="36"/>
      <c r="N98" s="36"/>
      <c r="O98" s="51"/>
      <c r="P98" s="35"/>
      <c r="Q98" s="36"/>
      <c r="R98" s="36"/>
      <c r="S98" s="51"/>
      <c r="T98" s="35"/>
      <c r="U98" s="36"/>
      <c r="V98" s="36"/>
      <c r="W98" s="51"/>
      <c r="X98" s="35"/>
      <c r="Y98" s="36"/>
      <c r="Z98" s="146"/>
      <c r="AA98" s="51"/>
      <c r="AB98" s="35"/>
      <c r="AC98" s="36"/>
      <c r="AD98" s="146"/>
      <c r="AE98" s="51"/>
      <c r="AH98" s="69"/>
    </row>
    <row r="99" spans="1:34" ht="15.75" thickBot="1" x14ac:dyDescent="0.3">
      <c r="A99" s="71"/>
      <c r="B99" s="71"/>
      <c r="C99" s="52"/>
      <c r="D99" s="41"/>
      <c r="E99" s="42"/>
      <c r="F99" s="42"/>
      <c r="G99" s="44"/>
      <c r="H99" s="41"/>
      <c r="I99" s="42"/>
      <c r="J99" s="42"/>
      <c r="K99" s="44"/>
      <c r="L99" s="41"/>
      <c r="M99" s="42"/>
      <c r="N99" s="42"/>
      <c r="O99" s="44"/>
      <c r="P99" s="41"/>
      <c r="Q99" s="42"/>
      <c r="R99" s="42"/>
      <c r="S99" s="44"/>
      <c r="T99" s="41"/>
      <c r="U99" s="42"/>
      <c r="V99" s="42"/>
      <c r="W99" s="44"/>
      <c r="X99" s="41"/>
      <c r="Y99" s="42"/>
      <c r="Z99" s="147"/>
      <c r="AA99" s="44"/>
      <c r="AB99" s="41"/>
      <c r="AC99" s="42"/>
      <c r="AD99" s="147"/>
      <c r="AE99" s="44"/>
      <c r="AH99" s="71"/>
    </row>
    <row r="100" spans="1:34" ht="15.75" thickBot="1" x14ac:dyDescent="0.3">
      <c r="A100" s="171">
        <v>9</v>
      </c>
      <c r="B100" s="171">
        <v>11509</v>
      </c>
      <c r="C100" s="172" t="s">
        <v>158</v>
      </c>
      <c r="D100" s="157"/>
      <c r="E100" s="158"/>
      <c r="F100" s="158"/>
      <c r="G100" s="159"/>
      <c r="H100" s="157"/>
      <c r="I100" s="158"/>
      <c r="J100" s="158"/>
      <c r="K100" s="159"/>
      <c r="L100" s="157"/>
      <c r="M100" s="158"/>
      <c r="N100" s="158"/>
      <c r="O100" s="159"/>
      <c r="P100" s="157">
        <v>12</v>
      </c>
      <c r="Q100" s="158">
        <v>107</v>
      </c>
      <c r="R100" s="158">
        <v>7</v>
      </c>
      <c r="S100" s="159">
        <v>34</v>
      </c>
      <c r="T100" s="157">
        <v>12</v>
      </c>
      <c r="U100" s="158">
        <v>200</v>
      </c>
      <c r="V100" s="158">
        <v>7</v>
      </c>
      <c r="W100" s="159">
        <v>37</v>
      </c>
      <c r="X100" s="157"/>
      <c r="Y100" s="158"/>
      <c r="Z100" s="145"/>
      <c r="AA100" s="159"/>
      <c r="AB100" s="157"/>
      <c r="AC100" s="158"/>
      <c r="AD100" s="145"/>
      <c r="AE100" s="159"/>
      <c r="AF100" s="161">
        <f>F100+J100+N100+R100+V100+Z100+AD100</f>
        <v>14</v>
      </c>
      <c r="AH100" s="171">
        <v>11509</v>
      </c>
    </row>
    <row r="101" spans="1:34" x14ac:dyDescent="0.25">
      <c r="A101" s="69"/>
      <c r="B101" s="50"/>
      <c r="C101" s="35"/>
      <c r="D101" s="36"/>
      <c r="E101" s="36"/>
      <c r="F101" s="51"/>
      <c r="G101" s="35"/>
      <c r="H101" s="36"/>
      <c r="I101" s="36"/>
      <c r="J101" s="51"/>
      <c r="K101" s="35"/>
      <c r="L101" s="36"/>
      <c r="M101" s="36"/>
      <c r="N101" s="51"/>
      <c r="O101" s="35"/>
      <c r="P101" s="36"/>
      <c r="Q101" s="36"/>
      <c r="R101" s="51"/>
      <c r="S101" s="35"/>
      <c r="T101" s="36"/>
      <c r="U101" s="36"/>
      <c r="V101" s="51"/>
      <c r="W101" s="35"/>
      <c r="X101" s="36"/>
      <c r="Y101" s="36"/>
      <c r="Z101" s="176"/>
      <c r="AA101" s="35"/>
      <c r="AB101" s="36"/>
      <c r="AC101" s="36"/>
      <c r="AD101" s="176"/>
      <c r="AH101" s="50"/>
    </row>
    <row r="102" spans="1:34" ht="15.75" thickBot="1" x14ac:dyDescent="0.3">
      <c r="A102" s="71"/>
      <c r="B102" s="52"/>
      <c r="C102" s="41"/>
      <c r="D102" s="42"/>
      <c r="E102" s="42"/>
      <c r="F102" s="44"/>
      <c r="G102" s="41"/>
      <c r="H102" s="42"/>
      <c r="I102" s="42"/>
      <c r="J102" s="44"/>
      <c r="K102" s="41"/>
      <c r="L102" s="42"/>
      <c r="M102" s="42"/>
      <c r="N102" s="44"/>
      <c r="O102" s="41"/>
      <c r="P102" s="42"/>
      <c r="Q102" s="42"/>
      <c r="R102" s="44"/>
      <c r="S102" s="41"/>
      <c r="T102" s="42"/>
      <c r="U102" s="42"/>
      <c r="V102" s="44"/>
      <c r="W102" s="41"/>
      <c r="X102" s="42"/>
      <c r="Y102" s="42"/>
      <c r="Z102" s="177"/>
      <c r="AA102" s="41"/>
      <c r="AB102" s="42"/>
      <c r="AC102" s="42"/>
      <c r="AD102" s="177"/>
      <c r="AH102" s="52"/>
    </row>
    <row r="103" spans="1:34" ht="15.75" thickBot="1" x14ac:dyDescent="0.3">
      <c r="A103" s="171">
        <v>10</v>
      </c>
      <c r="B103" s="171">
        <v>11511</v>
      </c>
      <c r="C103" s="172" t="s">
        <v>163</v>
      </c>
      <c r="D103" s="158"/>
      <c r="E103" s="158"/>
      <c r="F103" s="159"/>
      <c r="G103" s="157"/>
      <c r="H103" s="158"/>
      <c r="I103" s="158"/>
      <c r="J103" s="159"/>
      <c r="K103" s="157"/>
      <c r="L103" s="158"/>
      <c r="M103" s="158"/>
      <c r="N103" s="159"/>
      <c r="O103" s="157">
        <v>12</v>
      </c>
      <c r="P103" s="158">
        <v>105</v>
      </c>
      <c r="Q103" s="158">
        <v>7</v>
      </c>
      <c r="R103" s="159">
        <v>34</v>
      </c>
      <c r="S103" s="157">
        <v>12</v>
      </c>
      <c r="T103" s="158">
        <v>200</v>
      </c>
      <c r="U103" s="158">
        <v>7</v>
      </c>
      <c r="V103" s="159">
        <v>37</v>
      </c>
      <c r="W103" s="157"/>
      <c r="X103" s="158"/>
      <c r="Y103" s="158"/>
      <c r="Z103" s="178"/>
      <c r="AA103" s="157"/>
      <c r="AB103" s="158"/>
      <c r="AC103" s="158"/>
      <c r="AD103" s="178"/>
      <c r="AE103" s="207">
        <f>E103+I103+M103+Q103+U103+Y103+AC103</f>
        <v>14</v>
      </c>
      <c r="AF103" s="208"/>
      <c r="AH103" s="171">
        <v>11511</v>
      </c>
    </row>
    <row r="104" spans="1:34" x14ac:dyDescent="0.25">
      <c r="A104" s="69"/>
      <c r="B104" s="50"/>
      <c r="C104" s="50"/>
      <c r="D104" s="36"/>
      <c r="E104" s="36"/>
      <c r="F104" s="51"/>
      <c r="G104" s="35"/>
      <c r="H104" s="36"/>
      <c r="I104" s="36"/>
      <c r="J104" s="51"/>
      <c r="K104" s="35"/>
      <c r="L104" s="36"/>
      <c r="M104" s="36"/>
      <c r="N104" s="51"/>
      <c r="O104" s="35"/>
      <c r="P104" s="36"/>
      <c r="Q104" s="36"/>
      <c r="R104" s="51"/>
      <c r="S104" s="35"/>
      <c r="T104" s="36"/>
      <c r="U104" s="36"/>
      <c r="V104" s="51"/>
      <c r="W104" s="35"/>
      <c r="X104" s="36"/>
      <c r="Y104" s="36"/>
      <c r="Z104" s="176"/>
      <c r="AA104" s="35"/>
      <c r="AB104" s="36"/>
      <c r="AC104" s="36"/>
      <c r="AD104" s="176"/>
      <c r="AH104" s="50"/>
    </row>
    <row r="105" spans="1:34" ht="15.75" thickBot="1" x14ac:dyDescent="0.3">
      <c r="A105" s="71"/>
      <c r="B105" s="52"/>
      <c r="C105" s="52"/>
      <c r="D105" s="42"/>
      <c r="E105" s="42"/>
      <c r="F105" s="44"/>
      <c r="G105" s="41"/>
      <c r="H105" s="42"/>
      <c r="I105" s="42"/>
      <c r="J105" s="44"/>
      <c r="K105" s="41"/>
      <c r="L105" s="42"/>
      <c r="M105" s="42"/>
      <c r="N105" s="44"/>
      <c r="O105" s="41"/>
      <c r="P105" s="42"/>
      <c r="Q105" s="42"/>
      <c r="R105" s="44"/>
      <c r="S105" s="41"/>
      <c r="T105" s="42"/>
      <c r="U105" s="42"/>
      <c r="V105" s="44"/>
      <c r="W105" s="41"/>
      <c r="X105" s="42"/>
      <c r="Y105" s="42"/>
      <c r="Z105" s="177"/>
      <c r="AA105" s="41"/>
      <c r="AB105" s="42"/>
      <c r="AC105" s="42"/>
      <c r="AD105" s="177"/>
      <c r="AH105" s="52"/>
    </row>
    <row r="106" spans="1:34" ht="15.75" thickBot="1" x14ac:dyDescent="0.3">
      <c r="A106" s="171">
        <v>11</v>
      </c>
      <c r="B106" s="171">
        <v>11515</v>
      </c>
      <c r="C106" s="172" t="s">
        <v>177</v>
      </c>
      <c r="D106" s="158"/>
      <c r="E106" s="158"/>
      <c r="F106" s="159"/>
      <c r="G106" s="157"/>
      <c r="H106" s="158"/>
      <c r="I106" s="158"/>
      <c r="J106" s="159"/>
      <c r="K106" s="157"/>
      <c r="L106" s="158"/>
      <c r="M106" s="158"/>
      <c r="N106" s="159"/>
      <c r="O106" s="157">
        <v>12</v>
      </c>
      <c r="P106" s="158">
        <v>107</v>
      </c>
      <c r="Q106" s="158">
        <v>7</v>
      </c>
      <c r="R106" s="159">
        <v>37</v>
      </c>
      <c r="S106" s="157">
        <v>12</v>
      </c>
      <c r="T106" s="158">
        <v>200</v>
      </c>
      <c r="U106" s="158">
        <v>7</v>
      </c>
      <c r="V106" s="159">
        <v>37</v>
      </c>
      <c r="W106" s="157"/>
      <c r="X106" s="158"/>
      <c r="Y106" s="158"/>
      <c r="Z106" s="178"/>
      <c r="AA106" s="157"/>
      <c r="AB106" s="158"/>
      <c r="AC106" s="158"/>
      <c r="AD106" s="178"/>
      <c r="AE106" s="207">
        <f>E106+I106+M106+Q106+U106+Y106+AC106</f>
        <v>14</v>
      </c>
      <c r="AF106" s="208"/>
      <c r="AH106" s="171">
        <v>11515</v>
      </c>
    </row>
    <row r="107" spans="1:34" ht="15.75" thickBot="1" x14ac:dyDescent="0.3">
      <c r="A107" s="69"/>
      <c r="B107" s="171"/>
      <c r="C107" s="50"/>
      <c r="D107" s="36"/>
      <c r="E107" s="36"/>
      <c r="F107" s="51"/>
      <c r="G107" s="35"/>
      <c r="H107" s="36"/>
      <c r="I107" s="36"/>
      <c r="J107" s="51"/>
      <c r="K107" s="35"/>
      <c r="L107" s="36"/>
      <c r="M107" s="36"/>
      <c r="N107" s="51"/>
      <c r="O107" s="35"/>
      <c r="P107" s="36"/>
      <c r="Q107" s="36"/>
      <c r="R107" s="51"/>
      <c r="S107" s="35"/>
      <c r="T107" s="36"/>
      <c r="U107" s="36"/>
      <c r="V107" s="51"/>
      <c r="W107" s="35"/>
      <c r="X107" s="36"/>
      <c r="Y107" s="36"/>
      <c r="Z107" s="176"/>
      <c r="AA107" s="35"/>
      <c r="AB107" s="36"/>
      <c r="AC107" s="36"/>
      <c r="AD107" s="176"/>
      <c r="AH107" s="171"/>
    </row>
    <row r="108" spans="1:34" ht="15.75" thickBot="1" x14ac:dyDescent="0.3">
      <c r="A108" s="71"/>
      <c r="B108" s="171"/>
      <c r="C108" s="52"/>
      <c r="D108" s="42"/>
      <c r="E108" s="42"/>
      <c r="F108" s="44"/>
      <c r="G108" s="41"/>
      <c r="H108" s="42"/>
      <c r="I108" s="42"/>
      <c r="J108" s="44"/>
      <c r="K108" s="41"/>
      <c r="L108" s="42"/>
      <c r="M108" s="42"/>
      <c r="N108" s="44"/>
      <c r="O108" s="41"/>
      <c r="P108" s="42"/>
      <c r="Q108" s="42"/>
      <c r="R108" s="44"/>
      <c r="S108" s="41"/>
      <c r="T108" s="42"/>
      <c r="U108" s="42"/>
      <c r="V108" s="44"/>
      <c r="W108" s="41"/>
      <c r="X108" s="42"/>
      <c r="Y108" s="42"/>
      <c r="Z108" s="177"/>
      <c r="AA108" s="41"/>
      <c r="AB108" s="42"/>
      <c r="AC108" s="42"/>
      <c r="AD108" s="177"/>
      <c r="AH108" s="171"/>
    </row>
    <row r="109" spans="1:34" ht="15.75" thickBot="1" x14ac:dyDescent="0.3">
      <c r="A109" s="171">
        <v>12</v>
      </c>
      <c r="B109" s="171">
        <v>11518</v>
      </c>
      <c r="C109" s="172" t="s">
        <v>176</v>
      </c>
      <c r="D109" s="158"/>
      <c r="E109" s="158"/>
      <c r="F109" s="159"/>
      <c r="G109" s="157"/>
      <c r="H109" s="158"/>
      <c r="I109" s="158"/>
      <c r="J109" s="159"/>
      <c r="K109" s="157"/>
      <c r="L109" s="158"/>
      <c r="M109" s="158"/>
      <c r="N109" s="159"/>
      <c r="O109" s="157">
        <v>12</v>
      </c>
      <c r="P109" s="158">
        <v>107</v>
      </c>
      <c r="Q109" s="158">
        <v>7</v>
      </c>
      <c r="R109" s="159">
        <v>37</v>
      </c>
      <c r="S109" s="157">
        <v>12</v>
      </c>
      <c r="T109" s="158">
        <v>200</v>
      </c>
      <c r="U109" s="158">
        <v>7</v>
      </c>
      <c r="V109" s="159">
        <v>37</v>
      </c>
      <c r="W109" s="157"/>
      <c r="X109" s="158"/>
      <c r="Y109" s="158"/>
      <c r="Z109" s="178"/>
      <c r="AA109" s="157"/>
      <c r="AB109" s="158"/>
      <c r="AC109" s="158"/>
      <c r="AD109" s="178"/>
      <c r="AE109" s="207">
        <f>E109+I109+M109+Q109+U109+Y109+AC109</f>
        <v>14</v>
      </c>
      <c r="AF109" s="208"/>
      <c r="AH109" s="171">
        <v>11518</v>
      </c>
    </row>
    <row r="110" spans="1:34" ht="15.75" thickBot="1" x14ac:dyDescent="0.3">
      <c r="A110" s="69"/>
      <c r="B110" s="171"/>
      <c r="C110" s="50"/>
      <c r="D110" s="36"/>
      <c r="E110" s="36"/>
      <c r="F110" s="51"/>
      <c r="G110" s="35"/>
      <c r="H110" s="36"/>
      <c r="I110" s="36"/>
      <c r="J110" s="51"/>
      <c r="K110" s="35"/>
      <c r="L110" s="36"/>
      <c r="M110" s="36"/>
      <c r="N110" s="51"/>
      <c r="O110" s="35"/>
      <c r="P110" s="36"/>
      <c r="Q110" s="36"/>
      <c r="R110" s="51"/>
      <c r="S110" s="35"/>
      <c r="T110" s="36"/>
      <c r="U110" s="36"/>
      <c r="V110" s="51"/>
      <c r="W110" s="35"/>
      <c r="X110" s="36"/>
      <c r="Y110" s="36"/>
      <c r="Z110" s="176"/>
      <c r="AA110" s="35"/>
      <c r="AB110" s="36"/>
      <c r="AC110" s="36"/>
      <c r="AD110" s="176"/>
      <c r="AH110" s="171"/>
    </row>
    <row r="111" spans="1:34" ht="15.75" thickBot="1" x14ac:dyDescent="0.3">
      <c r="A111" s="71"/>
      <c r="B111" s="171"/>
      <c r="C111" s="52"/>
      <c r="D111" s="42"/>
      <c r="E111" s="42"/>
      <c r="F111" s="44"/>
      <c r="G111" s="41"/>
      <c r="H111" s="42"/>
      <c r="I111" s="42"/>
      <c r="J111" s="44"/>
      <c r="K111" s="41"/>
      <c r="L111" s="42"/>
      <c r="M111" s="42"/>
      <c r="N111" s="44"/>
      <c r="O111" s="41"/>
      <c r="P111" s="42"/>
      <c r="Q111" s="42"/>
      <c r="R111" s="44"/>
      <c r="S111" s="41"/>
      <c r="T111" s="42"/>
      <c r="U111" s="42"/>
      <c r="V111" s="44"/>
      <c r="W111" s="41"/>
      <c r="X111" s="42"/>
      <c r="Y111" s="42"/>
      <c r="Z111" s="177"/>
      <c r="AA111" s="41"/>
      <c r="AB111" s="42"/>
      <c r="AC111" s="42"/>
      <c r="AD111" s="177"/>
      <c r="AH111" s="171"/>
    </row>
    <row r="112" spans="1:34" ht="15.75" thickBot="1" x14ac:dyDescent="0.3">
      <c r="A112" s="171">
        <v>13</v>
      </c>
      <c r="B112" s="171">
        <v>11517</v>
      </c>
      <c r="C112" s="172" t="s">
        <v>171</v>
      </c>
      <c r="D112" s="158"/>
      <c r="E112" s="158"/>
      <c r="F112" s="159"/>
      <c r="G112" s="157"/>
      <c r="H112" s="158"/>
      <c r="I112" s="158"/>
      <c r="J112" s="159"/>
      <c r="K112" s="157"/>
      <c r="L112" s="158"/>
      <c r="M112" s="158"/>
      <c r="N112" s="159"/>
      <c r="O112" s="157">
        <v>12</v>
      </c>
      <c r="P112" s="158">
        <v>107</v>
      </c>
      <c r="Q112" s="158">
        <v>7</v>
      </c>
      <c r="R112" s="159">
        <v>37</v>
      </c>
      <c r="S112" s="157">
        <v>12</v>
      </c>
      <c r="T112" s="158">
        <v>200</v>
      </c>
      <c r="U112" s="158">
        <v>7</v>
      </c>
      <c r="V112" s="159">
        <v>37</v>
      </c>
      <c r="W112" s="157"/>
      <c r="X112" s="158"/>
      <c r="Y112" s="158"/>
      <c r="Z112" s="178"/>
      <c r="AA112" s="157"/>
      <c r="AB112" s="158"/>
      <c r="AC112" s="158"/>
      <c r="AD112" s="178"/>
      <c r="AE112" s="207">
        <f>E112+I112+M112+Q112+U112+Y112+AC112</f>
        <v>14</v>
      </c>
      <c r="AF112" s="208"/>
      <c r="AH112" s="171">
        <v>11517</v>
      </c>
    </row>
    <row r="113" spans="1:30" x14ac:dyDescent="0.25">
      <c r="A113" s="69"/>
      <c r="B113" s="50"/>
      <c r="C113" s="35"/>
      <c r="D113" s="36"/>
      <c r="E113" s="36"/>
      <c r="F113" s="51"/>
      <c r="G113" s="35"/>
      <c r="H113" s="36"/>
      <c r="I113" s="36"/>
      <c r="J113" s="51"/>
      <c r="K113" s="35"/>
      <c r="L113" s="36"/>
      <c r="M113" s="36"/>
      <c r="N113" s="51"/>
      <c r="O113" s="35"/>
      <c r="P113" s="36"/>
      <c r="Q113" s="36"/>
      <c r="R113" s="51"/>
      <c r="S113" s="35"/>
      <c r="T113" s="36"/>
      <c r="U113" s="36"/>
      <c r="V113" s="51"/>
      <c r="W113" s="35"/>
      <c r="X113" s="36"/>
      <c r="Y113" s="36"/>
      <c r="Z113" s="176"/>
      <c r="AA113" s="35"/>
      <c r="AB113" s="36"/>
      <c r="AC113" s="36"/>
      <c r="AD113" s="176"/>
    </row>
    <row r="114" spans="1:30" ht="15.75" thickBot="1" x14ac:dyDescent="0.3">
      <c r="A114" s="71"/>
      <c r="B114" s="52"/>
      <c r="C114" s="41"/>
      <c r="D114" s="42"/>
      <c r="E114" s="42"/>
      <c r="F114" s="44"/>
      <c r="G114" s="41"/>
      <c r="H114" s="42"/>
      <c r="I114" s="42"/>
      <c r="J114" s="44"/>
      <c r="K114" s="41"/>
      <c r="L114" s="42"/>
      <c r="M114" s="42"/>
      <c r="N114" s="44"/>
      <c r="O114" s="41"/>
      <c r="P114" s="42"/>
      <c r="Q114" s="42"/>
      <c r="R114" s="44"/>
      <c r="S114" s="41"/>
      <c r="T114" s="42"/>
      <c r="U114" s="42"/>
      <c r="V114" s="44"/>
      <c r="W114" s="41"/>
      <c r="X114" s="42"/>
      <c r="Y114" s="42"/>
      <c r="Z114" s="177"/>
      <c r="AA114" s="41"/>
      <c r="AB114" s="42"/>
      <c r="AC114" s="42"/>
      <c r="AD114" s="177"/>
    </row>
    <row r="115" spans="1:30" x14ac:dyDescent="0.25">
      <c r="A115" s="174"/>
    </row>
  </sheetData>
  <mergeCells count="23">
    <mergeCell ref="B1:AD1"/>
    <mergeCell ref="C2:C3"/>
    <mergeCell ref="D2:G2"/>
    <mergeCell ref="H2:K2"/>
    <mergeCell ref="L2:O2"/>
    <mergeCell ref="P2:S2"/>
    <mergeCell ref="T2:W2"/>
    <mergeCell ref="X2:AA2"/>
    <mergeCell ref="AB2:AE2"/>
    <mergeCell ref="H37:I37"/>
    <mergeCell ref="L37:M37"/>
    <mergeCell ref="P37:Q37"/>
    <mergeCell ref="T37:U37"/>
    <mergeCell ref="D70:E70"/>
    <mergeCell ref="H70:I70"/>
    <mergeCell ref="L70:M70"/>
    <mergeCell ref="P70:Q70"/>
    <mergeCell ref="T70:U70"/>
    <mergeCell ref="X70:Y70"/>
    <mergeCell ref="AE112:AF112"/>
    <mergeCell ref="AE103:AF103"/>
    <mergeCell ref="AE106:AF106"/>
    <mergeCell ref="AE109:AF109"/>
  </mergeCells>
  <conditionalFormatting sqref="AI10:AI13 AI7:AI8 AI23:AI32 AI16:AI21 AI34 AI4">
    <cfRule type="duplicateValues" dxfId="2733" priority="82"/>
  </conditionalFormatting>
  <conditionalFormatting sqref="AJ4:AK34 AI10:AI13 AI7:AI8 AI23:AI32 AI16:AI21 AI34 AI4">
    <cfRule type="duplicateValues" dxfId="2732" priority="83"/>
  </conditionalFormatting>
  <conditionalFormatting sqref="AK4:AK14">
    <cfRule type="duplicateValues" dxfId="2731" priority="80"/>
  </conditionalFormatting>
  <conditionalFormatting sqref="AI10:AI13">
    <cfRule type="duplicateValues" dxfId="2730" priority="81"/>
  </conditionalFormatting>
  <conditionalFormatting sqref="C4:C69 C71:C80">
    <cfRule type="duplicateValues" dxfId="2729" priority="79"/>
  </conditionalFormatting>
  <conditionalFormatting sqref="C4:C69">
    <cfRule type="duplicateValues" dxfId="2728" priority="78"/>
  </conditionalFormatting>
  <conditionalFormatting sqref="C4:C69">
    <cfRule type="duplicateValues" dxfId="2727" priority="77"/>
  </conditionalFormatting>
  <conditionalFormatting sqref="C4:C69">
    <cfRule type="duplicateValues" dxfId="2726" priority="76"/>
  </conditionalFormatting>
  <conditionalFormatting sqref="C4:C69">
    <cfRule type="duplicateValues" dxfId="2725" priority="75"/>
  </conditionalFormatting>
  <conditionalFormatting sqref="C4:C69">
    <cfRule type="duplicateValues" dxfId="2724" priority="74"/>
  </conditionalFormatting>
  <conditionalFormatting sqref="C4:C69">
    <cfRule type="duplicateValues" dxfId="2723" priority="73"/>
  </conditionalFormatting>
  <conditionalFormatting sqref="C4:C69">
    <cfRule type="duplicateValues" dxfId="2722" priority="72"/>
  </conditionalFormatting>
  <conditionalFormatting sqref="C4:C69">
    <cfRule type="duplicateValues" dxfId="2721" priority="71"/>
  </conditionalFormatting>
  <conditionalFormatting sqref="C4:C69">
    <cfRule type="duplicateValues" dxfId="2720" priority="70"/>
  </conditionalFormatting>
  <conditionalFormatting sqref="C4:C69">
    <cfRule type="duplicateValues" dxfId="2719" priority="69"/>
  </conditionalFormatting>
  <conditionalFormatting sqref="C70">
    <cfRule type="duplicateValues" dxfId="2718" priority="68"/>
  </conditionalFormatting>
  <conditionalFormatting sqref="C70">
    <cfRule type="duplicateValues" dxfId="2717" priority="67"/>
  </conditionalFormatting>
  <conditionalFormatting sqref="C70">
    <cfRule type="duplicateValues" dxfId="2716" priority="66"/>
  </conditionalFormatting>
  <conditionalFormatting sqref="C4:C80">
    <cfRule type="duplicateValues" dxfId="2715" priority="49"/>
    <cfRule type="duplicateValues" dxfId="2714" priority="51"/>
    <cfRule type="duplicateValues" dxfId="2713" priority="57"/>
    <cfRule type="duplicateValues" dxfId="2712" priority="58"/>
    <cfRule type="duplicateValues" dxfId="2711" priority="59"/>
    <cfRule type="duplicateValues" dxfId="2710" priority="60"/>
    <cfRule type="duplicateValues" dxfId="2709" priority="61"/>
    <cfRule type="duplicateValues" dxfId="2708" priority="62"/>
    <cfRule type="duplicateValues" dxfId="2707" priority="63"/>
    <cfRule type="duplicateValues" dxfId="2706" priority="64"/>
    <cfRule type="duplicateValues" dxfId="2705" priority="65"/>
  </conditionalFormatting>
  <conditionalFormatting sqref="C4:C80">
    <cfRule type="duplicateValues" dxfId="2704" priority="56"/>
  </conditionalFormatting>
  <conditionalFormatting sqref="C4:C80">
    <cfRule type="duplicateValues" dxfId="2703" priority="55"/>
  </conditionalFormatting>
  <conditionalFormatting sqref="C4:C80">
    <cfRule type="duplicateValues" dxfId="2702" priority="54"/>
  </conditionalFormatting>
  <conditionalFormatting sqref="C4:C80">
    <cfRule type="duplicateValues" dxfId="2701" priority="53"/>
  </conditionalFormatting>
  <conditionalFormatting sqref="C4:C80">
    <cfRule type="duplicateValues" dxfId="2700" priority="50"/>
    <cfRule type="duplicateValues" dxfId="2699" priority="52"/>
  </conditionalFormatting>
  <conditionalFormatting sqref="B113:B114">
    <cfRule type="duplicateValues" dxfId="2698" priority="46"/>
    <cfRule type="duplicateValues" dxfId="2697" priority="47"/>
    <cfRule type="duplicateValues" dxfId="2696" priority="48"/>
  </conditionalFormatting>
  <conditionalFormatting sqref="B113:B800">
    <cfRule type="duplicateValues" dxfId="2695" priority="34"/>
    <cfRule type="duplicateValues" dxfId="2694" priority="36"/>
  </conditionalFormatting>
  <conditionalFormatting sqref="B113:B800">
    <cfRule type="duplicateValues" dxfId="2693" priority="18"/>
    <cfRule type="duplicateValues" dxfId="2692" priority="35"/>
  </conditionalFormatting>
  <conditionalFormatting sqref="AH4:AH112">
    <cfRule type="duplicateValues" dxfId="2691" priority="31"/>
    <cfRule type="duplicateValues" dxfId="2690" priority="32"/>
    <cfRule type="duplicateValues" dxfId="2689" priority="33"/>
  </conditionalFormatting>
  <conditionalFormatting sqref="AH4:AH82">
    <cfRule type="duplicateValues" dxfId="2688" priority="30"/>
  </conditionalFormatting>
  <conditionalFormatting sqref="AH4:AH82">
    <cfRule type="duplicateValues" dxfId="2687" priority="29"/>
  </conditionalFormatting>
  <conditionalFormatting sqref="AH4:AH82">
    <cfRule type="duplicateValues" dxfId="2686" priority="27"/>
    <cfRule type="duplicateValues" dxfId="2685" priority="28"/>
  </conditionalFormatting>
  <conditionalFormatting sqref="AH4:AH82">
    <cfRule type="duplicateValues" dxfId="2684" priority="26"/>
  </conditionalFormatting>
  <conditionalFormatting sqref="AH4:AH82">
    <cfRule type="duplicateValues" dxfId="2683" priority="25"/>
  </conditionalFormatting>
  <conditionalFormatting sqref="AH4:AH82">
    <cfRule type="duplicateValues" dxfId="2682" priority="24"/>
  </conditionalFormatting>
  <conditionalFormatting sqref="AH4:AH82">
    <cfRule type="duplicateValues" dxfId="2681" priority="23"/>
  </conditionalFormatting>
  <conditionalFormatting sqref="AH4:AH82">
    <cfRule type="duplicateValues" dxfId="2680" priority="22"/>
  </conditionalFormatting>
  <conditionalFormatting sqref="AH4:AH112">
    <cfRule type="duplicateValues" dxfId="2679" priority="19"/>
    <cfRule type="duplicateValues" dxfId="2678" priority="21"/>
  </conditionalFormatting>
  <conditionalFormatting sqref="AH4:AH112">
    <cfRule type="duplicateValues" dxfId="2677" priority="20"/>
  </conditionalFormatting>
  <conditionalFormatting sqref="B4:B112">
    <cfRule type="duplicateValues" dxfId="2676" priority="15"/>
    <cfRule type="duplicateValues" dxfId="2675" priority="16"/>
    <cfRule type="duplicateValues" dxfId="2674" priority="17"/>
  </conditionalFormatting>
  <conditionalFormatting sqref="B4:B82">
    <cfRule type="duplicateValues" dxfId="2673" priority="14"/>
  </conditionalFormatting>
  <conditionalFormatting sqref="B4:B82">
    <cfRule type="duplicateValues" dxfId="2672" priority="13"/>
  </conditionalFormatting>
  <conditionalFormatting sqref="B4:B82">
    <cfRule type="duplicateValues" dxfId="2671" priority="11"/>
    <cfRule type="duplicateValues" dxfId="2670" priority="12"/>
  </conditionalFormatting>
  <conditionalFormatting sqref="B4:B82">
    <cfRule type="duplicateValues" dxfId="2669" priority="10"/>
  </conditionalFormatting>
  <conditionalFormatting sqref="B4:B82">
    <cfRule type="duplicateValues" dxfId="2668" priority="9"/>
  </conditionalFormatting>
  <conditionalFormatting sqref="B4:B82">
    <cfRule type="duplicateValues" dxfId="2667" priority="8"/>
  </conditionalFormatting>
  <conditionalFormatting sqref="B4:B82">
    <cfRule type="duplicateValues" dxfId="2666" priority="7"/>
  </conditionalFormatting>
  <conditionalFormatting sqref="B4:B82">
    <cfRule type="duplicateValues" dxfId="2665" priority="6"/>
  </conditionalFormatting>
  <conditionalFormatting sqref="B4:B112">
    <cfRule type="duplicateValues" dxfId="2664" priority="3"/>
    <cfRule type="duplicateValues" dxfId="2663" priority="5"/>
  </conditionalFormatting>
  <conditionalFormatting sqref="B4:B112">
    <cfRule type="duplicateValues" dxfId="2662" priority="4"/>
  </conditionalFormatting>
  <conditionalFormatting sqref="B4:B800">
    <cfRule type="duplicateValues" dxfId="2661" priority="2"/>
  </conditionalFormatting>
  <conditionalFormatting sqref="B4:B20000">
    <cfRule type="duplicateValues" dxfId="2660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79A22-A47E-4C25-83A4-F0F1C5A7FC6B}">
  <sheetPr codeName="Hoja3"/>
  <dimension ref="A1:AJ115"/>
  <sheetViews>
    <sheetView zoomScale="85" zoomScaleNormal="85" workbookViewId="0">
      <selection activeCell="B127" sqref="B127"/>
    </sheetView>
  </sheetViews>
  <sheetFormatPr defaultColWidth="9.140625" defaultRowHeight="15" x14ac:dyDescent="0.25"/>
  <cols>
    <col min="1" max="1" width="4.5703125" style="18" bestFit="1" customWidth="1"/>
    <col min="2" max="2" width="19.85546875" style="1" bestFit="1" customWidth="1"/>
    <col min="3" max="3" width="34.7109375" style="1" bestFit="1" customWidth="1"/>
    <col min="4" max="4" width="6" style="1" bestFit="1" customWidth="1"/>
    <col min="5" max="5" width="6.7109375" style="1" bestFit="1" customWidth="1"/>
    <col min="6" max="6" width="8.85546875" style="1" customWidth="1"/>
    <col min="7" max="7" width="3.28515625" style="1" bestFit="1" customWidth="1"/>
    <col min="8" max="8" width="6" style="1" bestFit="1" customWidth="1"/>
    <col min="9" max="9" width="6.7109375" style="1" bestFit="1" customWidth="1"/>
    <col min="10" max="10" width="8.85546875" style="1" customWidth="1"/>
    <col min="11" max="11" width="3.28515625" style="1" bestFit="1" customWidth="1"/>
    <col min="12" max="12" width="6" style="1" bestFit="1" customWidth="1"/>
    <col min="13" max="13" width="6.7109375" style="1" bestFit="1" customWidth="1"/>
    <col min="14" max="14" width="8.85546875" customWidth="1"/>
    <col min="15" max="15" width="3.28515625" style="1" bestFit="1" customWidth="1"/>
    <col min="16" max="16" width="9.5703125" style="1" bestFit="1" customWidth="1"/>
    <col min="17" max="17" width="6.7109375" style="1" bestFit="1" customWidth="1"/>
    <col min="18" max="18" width="8.85546875" style="1" customWidth="1"/>
    <col min="19" max="19" width="3.28515625" style="1" bestFit="1" customWidth="1"/>
    <col min="20" max="20" width="9.5703125" style="1" bestFit="1" customWidth="1"/>
    <col min="21" max="21" width="6.7109375" style="1" bestFit="1" customWidth="1"/>
    <col min="22" max="22" width="8.85546875" style="1" customWidth="1"/>
    <col min="23" max="23" width="3.28515625" style="1" bestFit="1" customWidth="1"/>
    <col min="24" max="24" width="9.5703125" style="1" bestFit="1" customWidth="1"/>
    <col min="25" max="25" width="6.7109375" style="1" bestFit="1" customWidth="1"/>
    <col min="26" max="26" width="6.85546875" style="151" bestFit="1" customWidth="1"/>
    <col min="27" max="27" width="3.28515625" style="1" bestFit="1" customWidth="1"/>
    <col min="28" max="28" width="6" style="1" bestFit="1" customWidth="1"/>
    <col min="29" max="29" width="6.7109375" style="1" bestFit="1" customWidth="1"/>
    <col min="30" max="30" width="6.85546875" style="151" bestFit="1" customWidth="1"/>
    <col min="31" max="31" width="3.28515625" style="1" bestFit="1" customWidth="1"/>
    <col min="32" max="32" width="15.85546875" style="1" bestFit="1" customWidth="1"/>
    <col min="34" max="34" width="5.85546875" bestFit="1" customWidth="1"/>
    <col min="35" max="35" width="10" bestFit="1" customWidth="1"/>
  </cols>
  <sheetData>
    <row r="1" spans="1:36" ht="18" customHeight="1" thickBot="1" x14ac:dyDescent="0.3"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8"/>
    </row>
    <row r="2" spans="1:36" ht="15.75" thickBot="1" x14ac:dyDescent="0.3">
      <c r="B2" s="18" t="s">
        <v>212</v>
      </c>
      <c r="C2" s="210" t="s">
        <v>151</v>
      </c>
      <c r="D2" s="212" t="str">
        <f>"LUNES " &amp; TEXT(AJ2,"DD")</f>
        <v>LUNES 05</v>
      </c>
      <c r="E2" s="213"/>
      <c r="F2" s="213"/>
      <c r="G2" s="214"/>
      <c r="H2" s="207" t="str">
        <f>"MARTES " &amp; TEXT(AJ2+1,"DD")</f>
        <v>MARTES 06</v>
      </c>
      <c r="I2" s="209"/>
      <c r="J2" s="209"/>
      <c r="K2" s="208"/>
      <c r="L2" s="207" t="str">
        <f>"MIERCOLES " &amp; TEXT(AJ2+2,"DD")</f>
        <v>MIERCOLES 07</v>
      </c>
      <c r="M2" s="209"/>
      <c r="N2" s="209"/>
      <c r="O2" s="208"/>
      <c r="P2" s="207" t="str">
        <f>"JUEVES " &amp; TEXT(AJ2+3,"DD")</f>
        <v>JUEVES 08</v>
      </c>
      <c r="Q2" s="209"/>
      <c r="R2" s="209"/>
      <c r="S2" s="208"/>
      <c r="T2" s="207" t="str">
        <f>"VIERNES " &amp; TEXT(AJ2+4,"DD")</f>
        <v>VIERNES 09</v>
      </c>
      <c r="U2" s="209"/>
      <c r="V2" s="209"/>
      <c r="W2" s="208"/>
      <c r="X2" s="207" t="str">
        <f>"SABADO " &amp; TEXT(AJ2+5,"DD")</f>
        <v>SABADO 10</v>
      </c>
      <c r="Y2" s="209"/>
      <c r="Z2" s="209"/>
      <c r="AA2" s="208"/>
      <c r="AB2" s="207" t="str">
        <f>"DOMINGO " &amp; TEXT(AJ2+6,"DD")</f>
        <v>DOMINGO 11</v>
      </c>
      <c r="AC2" s="209"/>
      <c r="AD2" s="209"/>
      <c r="AE2" s="208"/>
      <c r="AF2" s="19" t="s">
        <v>13</v>
      </c>
      <c r="AJ2" t="str" cm="1">
        <f t="array" ref="AJ2">Primer_dia_sem_mes_n(2024,Mes_Sem_H("M"),Mes_Sem_H("S"))</f>
        <v>05/08/2024</v>
      </c>
    </row>
    <row r="3" spans="1:36" ht="17.25" customHeight="1" thickBot="1" x14ac:dyDescent="0.3">
      <c r="B3" s="18"/>
      <c r="C3" s="211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152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6" ht="15.75" thickBot="1" x14ac:dyDescent="0.3">
      <c r="A4" s="26">
        <v>1</v>
      </c>
      <c r="B4" s="26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30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49">
        <v>34</v>
      </c>
      <c r="AF4" s="31">
        <f>F4+J4+N4+R4+V4+Z4+AD4</f>
        <v>35</v>
      </c>
      <c r="AI4" s="26">
        <v>11469</v>
      </c>
    </row>
    <row r="5" spans="1:36" x14ac:dyDescent="0.25">
      <c r="A5" s="33"/>
      <c r="B5" s="33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7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51">
        <v>37</v>
      </c>
      <c r="AF5" s="38">
        <f>F5+J5+N5+R5+V5+Z5+AD5</f>
        <v>35</v>
      </c>
      <c r="AI5" s="33"/>
    </row>
    <row r="6" spans="1:36" ht="15.75" thickBot="1" x14ac:dyDescent="0.3">
      <c r="A6" s="39"/>
      <c r="B6" s="39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3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F6" s="189"/>
      <c r="AI6" s="39"/>
    </row>
    <row r="7" spans="1:36" ht="19.5" customHeight="1" thickBot="1" x14ac:dyDescent="0.3">
      <c r="A7" s="26">
        <v>2</v>
      </c>
      <c r="B7" s="26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8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I7" s="26">
        <v>11501</v>
      </c>
    </row>
    <row r="8" spans="1:36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51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F8" s="38">
        <f>F8+J8+N8+R8+V8+Z8+AD8</f>
        <v>0</v>
      </c>
      <c r="AI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5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F9" s="189"/>
      <c r="AI9" s="39"/>
    </row>
    <row r="10" spans="1:36" ht="19.5" customHeight="1" thickBot="1" x14ac:dyDescent="0.3">
      <c r="A10" s="26">
        <v>3</v>
      </c>
      <c r="B10" s="26">
        <v>11498</v>
      </c>
      <c r="C10" s="27" t="s">
        <v>193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4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I10" s="26">
        <v>11498</v>
      </c>
    </row>
    <row r="11" spans="1:36" ht="19.5" customHeight="1" x14ac:dyDescent="0.25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5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38">
        <f>F11+J11+N11+R11+V11+Z11+AD11</f>
        <v>0</v>
      </c>
      <c r="AI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4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F12" s="189"/>
      <c r="AI12" s="39"/>
    </row>
    <row r="13" spans="1:36" ht="19.5" customHeight="1" thickBot="1" x14ac:dyDescent="0.3">
      <c r="A13" s="26">
        <v>4</v>
      </c>
      <c r="B13" s="26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8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I13" s="26">
        <v>11496</v>
      </c>
    </row>
    <row r="14" spans="1:36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51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F14" s="38">
        <f>F14+J14+N14+R14+V14+Z14+AD14</f>
        <v>0</v>
      </c>
      <c r="AI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5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F15" s="189"/>
      <c r="AI15" s="39"/>
    </row>
    <row r="16" spans="1:36" ht="15.75" thickBot="1" x14ac:dyDescent="0.3">
      <c r="A16" s="26">
        <v>5</v>
      </c>
      <c r="B16" s="26">
        <v>11495</v>
      </c>
      <c r="C16" s="27" t="s">
        <v>194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4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I16" s="26">
        <v>11495</v>
      </c>
    </row>
    <row r="17" spans="1:35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51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F17" s="38">
        <f>F17+J17+N17+R17+V17+Z17+AD17</f>
        <v>0</v>
      </c>
      <c r="AI17" s="33"/>
    </row>
    <row r="18" spans="1:35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4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F18" s="189"/>
      <c r="AI18" s="39"/>
    </row>
    <row r="19" spans="1:35" ht="15.75" thickBot="1" x14ac:dyDescent="0.3">
      <c r="A19" s="26">
        <v>6</v>
      </c>
      <c r="B19" s="26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4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I19" s="26">
        <v>11502</v>
      </c>
    </row>
    <row r="20" spans="1:35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51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F20" s="38">
        <f>F20+J20+N20+R20+V20+Z20+AD20</f>
        <v>0</v>
      </c>
      <c r="AI20" s="33"/>
    </row>
    <row r="21" spans="1:35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4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F21" s="189"/>
      <c r="AI21" s="39"/>
    </row>
    <row r="22" spans="1:35" ht="15.75" thickBot="1" x14ac:dyDescent="0.3">
      <c r="A22" s="26">
        <v>7</v>
      </c>
      <c r="B22" s="26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4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I22" s="26">
        <v>11497</v>
      </c>
    </row>
    <row r="23" spans="1:35" x14ac:dyDescent="0.25">
      <c r="A23" s="33"/>
      <c r="B23" s="33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51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38">
        <f>F23+J23+N23+R23+V23+Z23+AD23</f>
        <v>0</v>
      </c>
      <c r="AI23" s="33"/>
    </row>
    <row r="24" spans="1:35" ht="15.75" thickBot="1" x14ac:dyDescent="0.3">
      <c r="A24" s="39"/>
      <c r="B24" s="39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4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F24" s="189"/>
      <c r="AI24" s="39"/>
    </row>
    <row r="25" spans="1:35" ht="15.75" thickBot="1" x14ac:dyDescent="0.3">
      <c r="A25" s="60">
        <v>8</v>
      </c>
      <c r="B25" s="26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4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I25" s="26">
        <v>11499</v>
      </c>
    </row>
    <row r="26" spans="1:35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51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F26" s="38">
        <f>F26+J26+N26+R26+V26+Z26+AD26</f>
        <v>0</v>
      </c>
      <c r="AI26" s="33"/>
    </row>
    <row r="27" spans="1:35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4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F27" s="189"/>
      <c r="AI27" s="39"/>
    </row>
    <row r="28" spans="1:35" ht="15.75" thickBot="1" x14ac:dyDescent="0.3">
      <c r="A28" s="61">
        <v>9</v>
      </c>
      <c r="B28" s="2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49">
        <v>7</v>
      </c>
      <c r="O28" s="49">
        <v>34</v>
      </c>
      <c r="P28" s="139" t="s">
        <v>185</v>
      </c>
      <c r="Q28" s="140"/>
      <c r="R28" s="29"/>
      <c r="S28" s="49"/>
      <c r="T28" s="139" t="s">
        <v>185</v>
      </c>
      <c r="U28" s="140"/>
      <c r="V28" s="29"/>
      <c r="W28" s="49"/>
      <c r="X28" s="139" t="s">
        <v>185</v>
      </c>
      <c r="Y28" s="140"/>
      <c r="Z28" s="145"/>
      <c r="AA28" s="49"/>
      <c r="AB28" s="28"/>
      <c r="AC28" s="29"/>
      <c r="AD28" s="145"/>
      <c r="AE28" s="49"/>
      <c r="AF28" s="31">
        <f>F28+J28+N28+R28+V28+Z28+AD28</f>
        <v>21</v>
      </c>
      <c r="AI28" s="26">
        <v>11493</v>
      </c>
    </row>
    <row r="29" spans="1:35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51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F29" s="38">
        <f>F29+J29+N29+R29+V29+Z29+AD29</f>
        <v>0</v>
      </c>
      <c r="AI29" s="33"/>
    </row>
    <row r="30" spans="1:35" ht="15.75" thickBot="1" x14ac:dyDescent="0.3">
      <c r="A30" s="33"/>
      <c r="B30" s="39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4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F30" s="189"/>
      <c r="AI30" s="39"/>
    </row>
    <row r="31" spans="1:35" ht="15.75" thickBot="1" x14ac:dyDescent="0.3">
      <c r="A31" s="26">
        <v>10</v>
      </c>
      <c r="B31" s="26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4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I31" s="26">
        <v>11500</v>
      </c>
    </row>
    <row r="32" spans="1:35" x14ac:dyDescent="0.25">
      <c r="A32" s="33"/>
      <c r="B32" s="33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51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38">
        <f>F32+J32+N32+R32+V32+Z32+AD32</f>
        <v>0</v>
      </c>
      <c r="AI32" s="33"/>
    </row>
    <row r="33" spans="1:35" ht="15.75" thickBot="1" x14ac:dyDescent="0.3">
      <c r="A33" s="39"/>
      <c r="B33" s="39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4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F33" s="189"/>
      <c r="AI33" s="39"/>
    </row>
    <row r="34" spans="1:35" ht="15.75" thickBot="1" x14ac:dyDescent="0.3">
      <c r="A34" s="26">
        <v>11</v>
      </c>
      <c r="B34" s="26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4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I34" s="26">
        <v>11494</v>
      </c>
    </row>
    <row r="35" spans="1:35" x14ac:dyDescent="0.25">
      <c r="A35" s="33"/>
      <c r="B35" s="33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51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38">
        <f>F35+J35+N35+R35+V35+Z35+AD35</f>
        <v>0</v>
      </c>
      <c r="AI35" s="33"/>
    </row>
    <row r="36" spans="1:35" ht="15.75" thickBot="1" x14ac:dyDescent="0.3">
      <c r="A36" s="39"/>
      <c r="B36" s="39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4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F36" s="189"/>
      <c r="AI36" s="39"/>
    </row>
    <row r="37" spans="1:35" ht="15.75" thickBot="1" x14ac:dyDescent="0.3">
      <c r="A37" s="26">
        <v>12</v>
      </c>
      <c r="B37" s="26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4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  <c r="AI37" s="26">
        <v>11514</v>
      </c>
    </row>
    <row r="38" spans="1:35" x14ac:dyDescent="0.25">
      <c r="A38" s="33"/>
      <c r="B38" s="33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51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38">
        <f>F38+J38+N38+R38+V38+Z38+AD38</f>
        <v>0</v>
      </c>
      <c r="AI38" s="33"/>
    </row>
    <row r="39" spans="1:35" ht="15.75" thickBot="1" x14ac:dyDescent="0.3">
      <c r="A39" s="39"/>
      <c r="B39" s="39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4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F39" s="189"/>
      <c r="AI39" s="39"/>
    </row>
    <row r="40" spans="1:35" ht="15.75" thickBot="1" x14ac:dyDescent="0.3">
      <c r="A40" s="26">
        <v>13</v>
      </c>
      <c r="B40" s="26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4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  <c r="AI40" s="26">
        <v>11401</v>
      </c>
    </row>
    <row r="41" spans="1:35" x14ac:dyDescent="0.25">
      <c r="A41" s="33"/>
      <c r="B41" s="33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51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38">
        <f>F41+J41+N41+R41+V41+Z41+AD41</f>
        <v>0</v>
      </c>
      <c r="AI41" s="33"/>
    </row>
    <row r="42" spans="1:35" ht="15.75" thickBot="1" x14ac:dyDescent="0.3">
      <c r="A42" s="39"/>
      <c r="B42" s="3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4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F42" s="189"/>
      <c r="AI42" s="39"/>
    </row>
    <row r="43" spans="1:35" ht="15.75" thickBot="1" x14ac:dyDescent="0.3">
      <c r="A43" s="26">
        <v>14</v>
      </c>
      <c r="B43" s="26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4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  <c r="AI43" s="26">
        <v>11408</v>
      </c>
    </row>
    <row r="44" spans="1:35" x14ac:dyDescent="0.25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51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38">
        <f>F44+J44+N44+R44+V44+Z44+AD44</f>
        <v>0</v>
      </c>
      <c r="AI44" s="33"/>
    </row>
    <row r="45" spans="1:35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4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F45" s="189"/>
      <c r="AI45" s="39"/>
    </row>
    <row r="46" spans="1:35" ht="15.75" thickBot="1" x14ac:dyDescent="0.3">
      <c r="A46" s="26">
        <v>15</v>
      </c>
      <c r="B46" s="26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4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31">
        <f>F46+J46+N46+R46+V46+Z46+AD46</f>
        <v>40</v>
      </c>
      <c r="AI46" s="26">
        <v>11406</v>
      </c>
    </row>
    <row r="47" spans="1:35" x14ac:dyDescent="0.25">
      <c r="A47" s="33"/>
      <c r="B47" s="33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51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38">
        <f>F47+J47+N47+R47+V47+Z47+AD47</f>
        <v>0</v>
      </c>
      <c r="AI47" s="33"/>
    </row>
    <row r="48" spans="1:35" ht="15.75" thickBot="1" x14ac:dyDescent="0.3">
      <c r="A48" s="39"/>
      <c r="B48" s="39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4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  <c r="AF48" s="189"/>
      <c r="AI48" s="39"/>
    </row>
    <row r="49" spans="1:35" x14ac:dyDescent="0.25">
      <c r="A49" s="26">
        <v>16</v>
      </c>
      <c r="B49" s="26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4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  <c r="AI49" s="26">
        <v>11407</v>
      </c>
    </row>
    <row r="50" spans="1:35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51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  <c r="AI50" s="33"/>
    </row>
    <row r="51" spans="1:35" ht="15.75" thickBot="1" x14ac:dyDescent="0.3">
      <c r="A51" s="39"/>
      <c r="B51" s="39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4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F51" s="189"/>
      <c r="AI51" s="39"/>
    </row>
    <row r="52" spans="1:35" x14ac:dyDescent="0.25">
      <c r="A52" s="67">
        <v>17</v>
      </c>
      <c r="B52" s="26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4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  <c r="AI52" s="26">
        <v>11428</v>
      </c>
    </row>
    <row r="53" spans="1:35" ht="15.75" thickBot="1" x14ac:dyDescent="0.3">
      <c r="A53" s="69"/>
      <c r="B53" s="33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51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  <c r="AI53" s="33"/>
    </row>
    <row r="54" spans="1:35" ht="15.75" thickBot="1" x14ac:dyDescent="0.3">
      <c r="A54" s="71"/>
      <c r="B54" s="39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4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  <c r="AF54" s="189"/>
      <c r="AI54" s="39"/>
    </row>
    <row r="55" spans="1:35" x14ac:dyDescent="0.25">
      <c r="A55" s="26">
        <v>18</v>
      </c>
      <c r="B55" s="26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4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  <c r="AI55" s="26">
        <v>11517</v>
      </c>
    </row>
    <row r="56" spans="1:35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51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  <c r="AI56" s="33"/>
    </row>
    <row r="57" spans="1:35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4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F57" s="189"/>
      <c r="AI57" s="39"/>
    </row>
    <row r="58" spans="1:35" x14ac:dyDescent="0.25">
      <c r="A58" s="26">
        <v>19</v>
      </c>
      <c r="B58" s="26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4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  <c r="AI58" s="26">
        <v>11526</v>
      </c>
    </row>
    <row r="59" spans="1:35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51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  <c r="AI59" s="33"/>
    </row>
    <row r="60" spans="1:35" ht="15.75" thickBot="1" x14ac:dyDescent="0.3">
      <c r="A60" s="33"/>
      <c r="B60" s="39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5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190"/>
      <c r="AI60" s="39"/>
    </row>
    <row r="61" spans="1:35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4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  <c r="AI61" s="26">
        <v>11527</v>
      </c>
    </row>
    <row r="62" spans="1:35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51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  <c r="AI62" s="33"/>
    </row>
    <row r="63" spans="1:35" ht="15.75" thickBot="1" x14ac:dyDescent="0.3">
      <c r="A63" s="33"/>
      <c r="B63" s="39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4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190"/>
      <c r="AI63" s="39"/>
    </row>
    <row r="64" spans="1:35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4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  <c r="AI64" s="26">
        <v>11528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51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  <c r="AI65" s="33"/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4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190"/>
      <c r="AI66" s="33"/>
    </row>
    <row r="67" spans="1:35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4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  <c r="AI67" s="26">
        <v>11531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51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  <c r="AI68" s="33"/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4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190"/>
      <c r="AI69" s="33"/>
    </row>
    <row r="70" spans="1:35" x14ac:dyDescent="0.25">
      <c r="A70" s="26">
        <v>23</v>
      </c>
      <c r="B70" s="77">
        <v>11291</v>
      </c>
      <c r="C70" s="73" t="s">
        <v>168</v>
      </c>
      <c r="D70" s="32"/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48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  <c r="AI70" s="77">
        <v>11291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51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  <c r="AI71" s="33"/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4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  <c r="AF72" s="189"/>
      <c r="AI72" s="39"/>
    </row>
    <row r="73" spans="1:35" ht="15" customHeight="1" thickBot="1" x14ac:dyDescent="0.3">
      <c r="A73" s="26">
        <v>24</v>
      </c>
      <c r="B73" s="77">
        <v>11504</v>
      </c>
      <c r="C73" s="27" t="s">
        <v>186</v>
      </c>
      <c r="D73" s="141">
        <v>12</v>
      </c>
      <c r="E73" s="142">
        <v>221</v>
      </c>
      <c r="F73" s="142">
        <v>5</v>
      </c>
      <c r="G73" s="143">
        <v>37</v>
      </c>
      <c r="H73" s="141">
        <v>12</v>
      </c>
      <c r="I73" s="142">
        <v>221</v>
      </c>
      <c r="J73" s="142">
        <v>5</v>
      </c>
      <c r="K73" s="143">
        <v>37</v>
      </c>
      <c r="L73" s="141">
        <v>12</v>
      </c>
      <c r="M73" s="142">
        <v>221</v>
      </c>
      <c r="N73" s="143">
        <v>5</v>
      </c>
      <c r="O73" s="143">
        <v>37</v>
      </c>
      <c r="P73" s="141">
        <v>12</v>
      </c>
      <c r="Q73" s="142">
        <v>221</v>
      </c>
      <c r="R73" s="142">
        <v>5</v>
      </c>
      <c r="S73" s="143">
        <v>37</v>
      </c>
      <c r="T73" s="141">
        <v>12</v>
      </c>
      <c r="U73" s="142">
        <v>221</v>
      </c>
      <c r="V73" s="142">
        <v>5</v>
      </c>
      <c r="W73" s="143">
        <v>37</v>
      </c>
      <c r="X73" s="141">
        <v>12</v>
      </c>
      <c r="Y73" s="142">
        <v>221</v>
      </c>
      <c r="Z73" s="150">
        <v>3</v>
      </c>
      <c r="AA73" s="143">
        <v>37</v>
      </c>
      <c r="AB73" s="28"/>
      <c r="AC73" s="29"/>
      <c r="AD73" s="145"/>
      <c r="AE73" s="49"/>
      <c r="AF73" s="31">
        <f>F73+J73+N73+R73+V73+Z73+AD73</f>
        <v>28</v>
      </c>
      <c r="AI73" s="77">
        <v>11504</v>
      </c>
    </row>
    <row r="74" spans="1:35" x14ac:dyDescent="0.25">
      <c r="A74" s="33"/>
      <c r="B74" s="33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51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  <c r="AI74" s="33"/>
    </row>
    <row r="75" spans="1:35" ht="15.75" thickBot="1" x14ac:dyDescent="0.3">
      <c r="A75" s="39"/>
      <c r="B75" s="39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4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  <c r="AF75" s="189"/>
      <c r="AI75" s="39"/>
    </row>
    <row r="76" spans="1:35" ht="15.75" thickBot="1" x14ac:dyDescent="0.3">
      <c r="A76" s="26">
        <v>1</v>
      </c>
      <c r="B76" s="77">
        <v>2096</v>
      </c>
      <c r="C76" s="27" t="s">
        <v>7</v>
      </c>
      <c r="D76" s="28">
        <v>13</v>
      </c>
      <c r="E76" s="29">
        <v>125</v>
      </c>
      <c r="F76" s="29">
        <v>8</v>
      </c>
      <c r="G76" s="30">
        <v>38</v>
      </c>
      <c r="H76" s="28">
        <v>13</v>
      </c>
      <c r="I76" s="29">
        <v>125</v>
      </c>
      <c r="J76" s="29">
        <v>9</v>
      </c>
      <c r="K76" s="30">
        <v>38</v>
      </c>
      <c r="L76" s="28">
        <v>13</v>
      </c>
      <c r="M76" s="29">
        <v>125</v>
      </c>
      <c r="N76" s="30">
        <v>8.5</v>
      </c>
      <c r="O76" s="30">
        <v>38</v>
      </c>
      <c r="P76" s="28">
        <v>13</v>
      </c>
      <c r="Q76" s="29">
        <v>125</v>
      </c>
      <c r="R76" s="29">
        <v>8</v>
      </c>
      <c r="S76" s="30">
        <v>38</v>
      </c>
      <c r="T76" s="28">
        <v>13</v>
      </c>
      <c r="U76" s="29">
        <v>125</v>
      </c>
      <c r="V76" s="29">
        <v>9</v>
      </c>
      <c r="W76" s="30">
        <v>38</v>
      </c>
      <c r="X76" s="28">
        <v>13</v>
      </c>
      <c r="Y76" s="29">
        <v>125</v>
      </c>
      <c r="Z76" s="145">
        <v>6</v>
      </c>
      <c r="AA76" s="30">
        <v>38</v>
      </c>
      <c r="AB76" s="28"/>
      <c r="AC76" s="29"/>
      <c r="AD76" s="145"/>
      <c r="AE76" s="49"/>
      <c r="AF76" s="31">
        <f>F76+J76+N76+R76+V76+Z76+AD76</f>
        <v>48.5</v>
      </c>
      <c r="AI76" s="77">
        <v>2096</v>
      </c>
    </row>
    <row r="77" spans="1:35" x14ac:dyDescent="0.25">
      <c r="A77" s="33"/>
      <c r="B77" s="33"/>
      <c r="C77" s="34"/>
      <c r="D77" s="35"/>
      <c r="E77" s="36"/>
      <c r="F77" s="36"/>
      <c r="G77" s="37"/>
      <c r="H77" s="35"/>
      <c r="I77" s="36"/>
      <c r="J77" s="36"/>
      <c r="K77" s="37"/>
      <c r="L77" s="35"/>
      <c r="M77" s="36"/>
      <c r="N77" s="37"/>
      <c r="O77" s="37"/>
      <c r="P77" s="35">
        <v>13</v>
      </c>
      <c r="Q77" s="36">
        <v>126</v>
      </c>
      <c r="R77" s="36">
        <v>4</v>
      </c>
      <c r="S77" s="37">
        <v>38</v>
      </c>
      <c r="T77" s="35"/>
      <c r="U77" s="36"/>
      <c r="V77" s="36"/>
      <c r="W77" s="37"/>
      <c r="X77" s="35"/>
      <c r="Y77" s="36"/>
      <c r="Z77" s="146"/>
      <c r="AA77" s="37"/>
      <c r="AB77" s="35"/>
      <c r="AC77" s="36"/>
      <c r="AD77" s="146"/>
      <c r="AE77" s="51"/>
      <c r="AF77" s="38">
        <f>F77+J77+N77+R77+V77+Z77+AD77</f>
        <v>4</v>
      </c>
      <c r="AI77" s="33"/>
    </row>
    <row r="78" spans="1:35" ht="15.75" thickBot="1" x14ac:dyDescent="0.3">
      <c r="A78" s="39"/>
      <c r="B78" s="39"/>
      <c r="C78" s="40"/>
      <c r="D78" s="41"/>
      <c r="E78" s="42"/>
      <c r="F78" s="42"/>
      <c r="G78" s="43"/>
      <c r="H78" s="41"/>
      <c r="I78" s="42"/>
      <c r="J78" s="42"/>
      <c r="K78" s="43"/>
      <c r="L78" s="41"/>
      <c r="M78" s="42"/>
      <c r="N78" s="43"/>
      <c r="O78" s="43"/>
      <c r="P78" s="41"/>
      <c r="Q78" s="42"/>
      <c r="R78" s="42"/>
      <c r="S78" s="43"/>
      <c r="T78" s="41"/>
      <c r="U78" s="42"/>
      <c r="V78" s="42"/>
      <c r="W78" s="43"/>
      <c r="X78" s="41"/>
      <c r="Y78" s="42"/>
      <c r="Z78" s="147"/>
      <c r="AA78" s="43"/>
      <c r="AB78" s="41"/>
      <c r="AC78" s="42"/>
      <c r="AD78" s="147"/>
      <c r="AE78" s="44"/>
      <c r="AF78" s="189"/>
      <c r="AI78" s="39"/>
    </row>
    <row r="79" spans="1:35" ht="15.75" thickBot="1" x14ac:dyDescent="0.3">
      <c r="A79" s="26">
        <v>2</v>
      </c>
      <c r="B79" s="77">
        <v>11461</v>
      </c>
      <c r="C79" s="45" t="s">
        <v>211</v>
      </c>
      <c r="D79" s="46">
        <v>13</v>
      </c>
      <c r="E79" s="47">
        <v>209</v>
      </c>
      <c r="F79" s="47">
        <v>4.5</v>
      </c>
      <c r="G79" s="48">
        <v>38</v>
      </c>
      <c r="H79" s="46">
        <v>13</v>
      </c>
      <c r="I79" s="47">
        <v>209</v>
      </c>
      <c r="J79" s="47">
        <v>3</v>
      </c>
      <c r="K79" s="48">
        <v>38</v>
      </c>
      <c r="L79" s="46">
        <v>13</v>
      </c>
      <c r="M79" s="47">
        <v>209</v>
      </c>
      <c r="N79" s="48">
        <v>5</v>
      </c>
      <c r="O79" s="48">
        <v>38</v>
      </c>
      <c r="P79" s="46">
        <v>13</v>
      </c>
      <c r="Q79" s="47">
        <v>209</v>
      </c>
      <c r="R79" s="47">
        <v>4</v>
      </c>
      <c r="S79" s="48">
        <v>38</v>
      </c>
      <c r="T79" s="46">
        <v>13</v>
      </c>
      <c r="U79" s="47">
        <v>209</v>
      </c>
      <c r="V79" s="47">
        <v>2.5</v>
      </c>
      <c r="W79" s="48">
        <v>38</v>
      </c>
      <c r="X79" s="46"/>
      <c r="Y79" s="29"/>
      <c r="Z79" s="145"/>
      <c r="AA79" s="49"/>
      <c r="AB79" s="46"/>
      <c r="AC79" s="29"/>
      <c r="AD79" s="145"/>
      <c r="AE79" s="49"/>
      <c r="AF79" s="31">
        <f>F79+J79+N79+R79+V79+Z79+AD79</f>
        <v>19</v>
      </c>
      <c r="AI79" s="77">
        <v>11461</v>
      </c>
    </row>
    <row r="80" spans="1:35" x14ac:dyDescent="0.25">
      <c r="A80" s="33"/>
      <c r="B80" s="33"/>
      <c r="C80" s="50"/>
      <c r="D80" s="35">
        <v>13</v>
      </c>
      <c r="E80" s="36">
        <v>208</v>
      </c>
      <c r="F80" s="36">
        <v>2</v>
      </c>
      <c r="G80" s="51"/>
      <c r="H80" s="35">
        <v>13</v>
      </c>
      <c r="I80" s="36">
        <v>208</v>
      </c>
      <c r="J80" s="36">
        <v>5</v>
      </c>
      <c r="K80" s="51">
        <v>38</v>
      </c>
      <c r="L80" s="35">
        <v>13</v>
      </c>
      <c r="M80" s="36">
        <v>208</v>
      </c>
      <c r="N80" s="51">
        <v>3</v>
      </c>
      <c r="O80" s="51">
        <v>38</v>
      </c>
      <c r="P80" s="35">
        <v>13</v>
      </c>
      <c r="Q80" s="36">
        <v>208</v>
      </c>
      <c r="R80" s="36">
        <v>2</v>
      </c>
      <c r="S80" s="51">
        <v>38</v>
      </c>
      <c r="T80" s="35">
        <v>13</v>
      </c>
      <c r="U80" s="36">
        <v>208</v>
      </c>
      <c r="V80" s="36">
        <v>2.5</v>
      </c>
      <c r="W80" s="51">
        <v>83</v>
      </c>
      <c r="X80" s="35"/>
      <c r="Y80" s="36"/>
      <c r="Z80" s="146"/>
      <c r="AA80" s="51"/>
      <c r="AB80" s="35"/>
      <c r="AC80" s="36"/>
      <c r="AD80" s="146"/>
      <c r="AE80" s="51"/>
      <c r="AF80" s="31">
        <f>F80+J80+N80+R80+V80+Z80+AD80</f>
        <v>14.5</v>
      </c>
      <c r="AI80" s="33"/>
    </row>
    <row r="81" spans="1:35" ht="15.75" thickBot="1" x14ac:dyDescent="0.3">
      <c r="A81" s="39"/>
      <c r="B81" s="39"/>
      <c r="C81" s="52"/>
      <c r="D81" s="53"/>
      <c r="E81" s="54"/>
      <c r="F81" s="54"/>
      <c r="G81" s="55"/>
      <c r="H81" s="53"/>
      <c r="I81" s="54"/>
      <c r="J81" s="54"/>
      <c r="K81" s="55"/>
      <c r="L81" s="53"/>
      <c r="M81" s="54"/>
      <c r="N81" s="55"/>
      <c r="O81" s="55"/>
      <c r="P81" s="53"/>
      <c r="Q81" s="54"/>
      <c r="R81" s="54"/>
      <c r="S81" s="55"/>
      <c r="T81" s="53"/>
      <c r="U81" s="54"/>
      <c r="V81" s="54"/>
      <c r="W81" s="55"/>
      <c r="X81" s="53"/>
      <c r="Y81" s="54"/>
      <c r="Z81" s="149"/>
      <c r="AA81" s="55"/>
      <c r="AB81" s="53"/>
      <c r="AC81" s="42"/>
      <c r="AD81" s="147"/>
      <c r="AE81" s="44"/>
      <c r="AF81" s="189"/>
      <c r="AI81" s="39"/>
    </row>
    <row r="82" spans="1:35" ht="15.75" thickBot="1" x14ac:dyDescent="0.3">
      <c r="A82" s="26">
        <v>3</v>
      </c>
      <c r="B82" s="77">
        <v>11459</v>
      </c>
      <c r="C82" s="27" t="s">
        <v>48</v>
      </c>
      <c r="D82" s="28">
        <v>13</v>
      </c>
      <c r="E82" s="29">
        <v>209</v>
      </c>
      <c r="F82" s="29">
        <v>6.5</v>
      </c>
      <c r="G82" s="49">
        <v>38</v>
      </c>
      <c r="H82" s="28">
        <v>13</v>
      </c>
      <c r="I82" s="29">
        <v>209</v>
      </c>
      <c r="J82" s="29">
        <v>4</v>
      </c>
      <c r="K82" s="49">
        <v>38</v>
      </c>
      <c r="L82" s="28">
        <v>13</v>
      </c>
      <c r="M82" s="29">
        <v>209</v>
      </c>
      <c r="N82" s="49">
        <v>8</v>
      </c>
      <c r="O82" s="49">
        <v>38</v>
      </c>
      <c r="P82" s="28">
        <v>13</v>
      </c>
      <c r="Q82" s="29">
        <v>209</v>
      </c>
      <c r="R82" s="29">
        <v>6</v>
      </c>
      <c r="S82" s="49">
        <v>38</v>
      </c>
      <c r="T82" s="28">
        <v>13</v>
      </c>
      <c r="U82" s="29">
        <v>209</v>
      </c>
      <c r="V82" s="29">
        <v>2</v>
      </c>
      <c r="W82" s="49">
        <v>38</v>
      </c>
      <c r="X82" s="28"/>
      <c r="Y82" s="29"/>
      <c r="Z82" s="145"/>
      <c r="AA82" s="49"/>
      <c r="AB82" s="28"/>
      <c r="AC82" s="29"/>
      <c r="AD82" s="145"/>
      <c r="AE82" s="49"/>
      <c r="AF82" s="31">
        <f>F82+J82+N82+R82+V82+Z82+AD82</f>
        <v>26.5</v>
      </c>
      <c r="AI82" s="77">
        <v>11459</v>
      </c>
    </row>
    <row r="83" spans="1:35" ht="15.75" thickBot="1" x14ac:dyDescent="0.3">
      <c r="A83" s="33"/>
      <c r="B83" s="33"/>
      <c r="C83" s="50"/>
      <c r="D83" s="35"/>
      <c r="E83" s="36"/>
      <c r="F83" s="36"/>
      <c r="G83" s="56"/>
      <c r="H83" s="35"/>
      <c r="I83" s="36"/>
      <c r="J83" s="36"/>
      <c r="K83" s="56"/>
      <c r="L83" s="35"/>
      <c r="M83" s="36"/>
      <c r="N83" s="56"/>
      <c r="O83" s="56"/>
      <c r="P83" s="35"/>
      <c r="Q83" s="36"/>
      <c r="R83" s="36"/>
      <c r="S83" s="56"/>
      <c r="T83" s="35">
        <v>13</v>
      </c>
      <c r="U83" s="36">
        <v>208</v>
      </c>
      <c r="V83" s="36">
        <v>4</v>
      </c>
      <c r="W83" s="56">
        <v>38</v>
      </c>
      <c r="X83" s="35"/>
      <c r="Y83" s="36"/>
      <c r="Z83" s="146"/>
      <c r="AA83" s="56"/>
      <c r="AB83" s="35"/>
      <c r="AC83" s="36"/>
      <c r="AD83" s="146"/>
      <c r="AE83" s="51"/>
      <c r="AF83" s="57">
        <f>F83+J83+N83+R83+V83+Z83+AD83</f>
        <v>4</v>
      </c>
      <c r="AI83" s="33"/>
    </row>
    <row r="84" spans="1:35" ht="15.75" thickBot="1" x14ac:dyDescent="0.3">
      <c r="A84" s="39"/>
      <c r="B84" s="39"/>
      <c r="C84" s="52"/>
      <c r="D84" s="41"/>
      <c r="E84" s="42"/>
      <c r="F84" s="42"/>
      <c r="G84" s="44"/>
      <c r="H84" s="41"/>
      <c r="I84" s="42"/>
      <c r="J84" s="42"/>
      <c r="K84" s="44"/>
      <c r="L84" s="41"/>
      <c r="M84" s="42"/>
      <c r="N84" s="44"/>
      <c r="O84" s="44"/>
      <c r="P84" s="41"/>
      <c r="Q84" s="42"/>
      <c r="R84" s="42"/>
      <c r="S84" s="44"/>
      <c r="T84" s="41"/>
      <c r="U84" s="42"/>
      <c r="V84" s="42"/>
      <c r="W84" s="44"/>
      <c r="X84" s="41"/>
      <c r="Y84" s="42"/>
      <c r="Z84" s="147"/>
      <c r="AA84" s="44"/>
      <c r="AB84" s="41"/>
      <c r="AC84" s="42"/>
      <c r="AD84" s="147"/>
      <c r="AE84" s="44"/>
      <c r="AF84" s="189"/>
      <c r="AI84" s="39"/>
    </row>
    <row r="85" spans="1:35" ht="15.75" thickBot="1" x14ac:dyDescent="0.3">
      <c r="A85" s="26">
        <v>4</v>
      </c>
      <c r="B85" s="77">
        <v>11488</v>
      </c>
      <c r="C85" s="27" t="s">
        <v>15</v>
      </c>
      <c r="D85" s="46">
        <v>13</v>
      </c>
      <c r="E85" s="47">
        <v>209</v>
      </c>
      <c r="F85" s="47">
        <v>4.5</v>
      </c>
      <c r="G85" s="48">
        <v>38</v>
      </c>
      <c r="H85" s="46"/>
      <c r="I85" s="47"/>
      <c r="J85" s="47"/>
      <c r="K85" s="48"/>
      <c r="L85" s="46">
        <v>13</v>
      </c>
      <c r="M85" s="47">
        <v>209</v>
      </c>
      <c r="N85" s="48">
        <v>5</v>
      </c>
      <c r="O85" s="48">
        <v>38</v>
      </c>
      <c r="P85" s="46">
        <v>13</v>
      </c>
      <c r="Q85" s="47">
        <v>209</v>
      </c>
      <c r="R85" s="47">
        <v>4</v>
      </c>
      <c r="S85" s="48">
        <v>38</v>
      </c>
      <c r="T85" s="46">
        <v>13</v>
      </c>
      <c r="U85" s="29">
        <v>208</v>
      </c>
      <c r="V85" s="29">
        <v>4</v>
      </c>
      <c r="W85" s="49">
        <v>38</v>
      </c>
      <c r="X85" s="46"/>
      <c r="Y85" s="29"/>
      <c r="Z85" s="145"/>
      <c r="AA85" s="49"/>
      <c r="AB85" s="46"/>
      <c r="AC85" s="29"/>
      <c r="AD85" s="145"/>
      <c r="AE85" s="49"/>
      <c r="AF85" s="31">
        <f>F85+J85+N85+R85+V85+Z85+AD85</f>
        <v>17.5</v>
      </c>
      <c r="AI85" s="77">
        <v>11488</v>
      </c>
    </row>
    <row r="86" spans="1:35" x14ac:dyDescent="0.25">
      <c r="A86" s="33"/>
      <c r="B86" s="33"/>
      <c r="C86" s="50"/>
      <c r="D86" s="35">
        <v>13</v>
      </c>
      <c r="E86" s="36">
        <v>208</v>
      </c>
      <c r="F86" s="36">
        <v>2</v>
      </c>
      <c r="G86" s="51">
        <v>38</v>
      </c>
      <c r="H86" s="35"/>
      <c r="I86" s="36"/>
      <c r="J86" s="36"/>
      <c r="K86" s="51"/>
      <c r="L86" s="35">
        <v>13</v>
      </c>
      <c r="M86" s="36">
        <v>208</v>
      </c>
      <c r="N86" s="51">
        <v>3</v>
      </c>
      <c r="O86" s="51">
        <v>38</v>
      </c>
      <c r="P86" s="35">
        <v>13</v>
      </c>
      <c r="Q86" s="36">
        <v>208</v>
      </c>
      <c r="R86" s="36">
        <v>2</v>
      </c>
      <c r="S86" s="51">
        <v>38</v>
      </c>
      <c r="T86" s="35">
        <v>13</v>
      </c>
      <c r="U86" s="36">
        <v>109</v>
      </c>
      <c r="V86" s="36">
        <v>3</v>
      </c>
      <c r="W86" s="51">
        <v>38</v>
      </c>
      <c r="X86" s="35"/>
      <c r="Y86" s="36"/>
      <c r="Z86" s="146"/>
      <c r="AA86" s="51"/>
      <c r="AB86" s="35"/>
      <c r="AC86" s="36"/>
      <c r="AD86" s="146"/>
      <c r="AE86" s="51"/>
      <c r="AF86" s="38">
        <f>F86+J86+N86+R86+V86+Z86+AD86</f>
        <v>10</v>
      </c>
      <c r="AI86" s="33"/>
    </row>
    <row r="87" spans="1:35" ht="15.75" thickBot="1" x14ac:dyDescent="0.3">
      <c r="A87" s="39"/>
      <c r="B87" s="39"/>
      <c r="C87" s="52"/>
      <c r="D87" s="53"/>
      <c r="E87" s="54"/>
      <c r="F87" s="54"/>
      <c r="G87" s="55"/>
      <c r="H87" s="53"/>
      <c r="I87" s="54"/>
      <c r="J87" s="54"/>
      <c r="K87" s="55"/>
      <c r="L87" s="53"/>
      <c r="M87" s="54"/>
      <c r="N87" s="55"/>
      <c r="O87" s="55"/>
      <c r="P87" s="53"/>
      <c r="Q87" s="54"/>
      <c r="R87" s="54"/>
      <c r="S87" s="55"/>
      <c r="T87" s="53"/>
      <c r="U87" s="54"/>
      <c r="V87" s="54"/>
      <c r="W87" s="55"/>
      <c r="X87" s="53"/>
      <c r="Y87" s="54"/>
      <c r="Z87" s="149"/>
      <c r="AA87" s="55"/>
      <c r="AB87" s="53"/>
      <c r="AC87" s="42"/>
      <c r="AD87" s="147"/>
      <c r="AE87" s="44"/>
      <c r="AF87" s="189"/>
      <c r="AI87" s="39"/>
    </row>
    <row r="88" spans="1:35" ht="15.75" thickBot="1" x14ac:dyDescent="0.3">
      <c r="A88" s="26">
        <v>5</v>
      </c>
      <c r="B88" s="77">
        <v>11490</v>
      </c>
      <c r="C88" s="27" t="s">
        <v>94</v>
      </c>
      <c r="D88" s="28">
        <v>13</v>
      </c>
      <c r="E88" s="29">
        <v>209</v>
      </c>
      <c r="F88" s="29">
        <v>6.5</v>
      </c>
      <c r="G88" s="49">
        <v>38</v>
      </c>
      <c r="H88" s="28"/>
      <c r="I88" s="29"/>
      <c r="J88" s="29"/>
      <c r="K88" s="49"/>
      <c r="L88" s="28">
        <v>13</v>
      </c>
      <c r="M88" s="29">
        <v>209</v>
      </c>
      <c r="N88" s="49">
        <v>8</v>
      </c>
      <c r="O88" s="49">
        <v>38</v>
      </c>
      <c r="P88" s="28">
        <v>13</v>
      </c>
      <c r="Q88" s="29">
        <v>209</v>
      </c>
      <c r="R88" s="29">
        <v>6</v>
      </c>
      <c r="S88" s="49">
        <v>38</v>
      </c>
      <c r="T88" s="28"/>
      <c r="U88" s="29"/>
      <c r="V88" s="29"/>
      <c r="W88" s="49"/>
      <c r="X88" s="28"/>
      <c r="Y88" s="29"/>
      <c r="Z88" s="145"/>
      <c r="AA88" s="49"/>
      <c r="AB88" s="28"/>
      <c r="AC88" s="29"/>
      <c r="AD88" s="145"/>
      <c r="AE88" s="49"/>
      <c r="AF88" s="31">
        <f>F88+J88+N88+R88+V88+Z88+AD88</f>
        <v>20.5</v>
      </c>
      <c r="AI88" s="77">
        <v>11490</v>
      </c>
    </row>
    <row r="89" spans="1:35" x14ac:dyDescent="0.25">
      <c r="A89" s="33"/>
      <c r="B89" s="33"/>
      <c r="C89" s="50"/>
      <c r="D89" s="35"/>
      <c r="E89" s="36"/>
      <c r="F89" s="36"/>
      <c r="G89" s="51"/>
      <c r="H89" s="35"/>
      <c r="I89" s="36"/>
      <c r="J89" s="36"/>
      <c r="K89" s="51"/>
      <c r="L89" s="35"/>
      <c r="M89" s="36"/>
      <c r="N89" s="51"/>
      <c r="O89" s="51"/>
      <c r="P89" s="35"/>
      <c r="Q89" s="36"/>
      <c r="R89" s="36"/>
      <c r="S89" s="51"/>
      <c r="T89" s="35"/>
      <c r="U89" s="36"/>
      <c r="V89" s="36"/>
      <c r="W89" s="51"/>
      <c r="X89" s="35"/>
      <c r="Y89" s="36"/>
      <c r="Z89" s="146"/>
      <c r="AA89" s="51"/>
      <c r="AB89" s="35"/>
      <c r="AC89" s="36"/>
      <c r="AD89" s="146"/>
      <c r="AE89" s="51"/>
      <c r="AF89" s="38">
        <f>F89+J89+N89+R89+V89+Z89+AD89</f>
        <v>0</v>
      </c>
      <c r="AI89" s="33"/>
    </row>
    <row r="90" spans="1:35" ht="15.75" thickBot="1" x14ac:dyDescent="0.3">
      <c r="A90" s="39"/>
      <c r="B90" s="39"/>
      <c r="C90" s="52"/>
      <c r="D90" s="41"/>
      <c r="E90" s="42"/>
      <c r="F90" s="42"/>
      <c r="G90" s="44"/>
      <c r="H90" s="41"/>
      <c r="I90" s="42"/>
      <c r="J90" s="42"/>
      <c r="K90" s="44"/>
      <c r="L90" s="41"/>
      <c r="M90" s="42"/>
      <c r="N90" s="44"/>
      <c r="O90" s="44"/>
      <c r="P90" s="41"/>
      <c r="Q90" s="42"/>
      <c r="R90" s="42"/>
      <c r="S90" s="44"/>
      <c r="T90" s="41"/>
      <c r="U90" s="42"/>
      <c r="V90" s="42"/>
      <c r="W90" s="44"/>
      <c r="X90" s="41"/>
      <c r="Y90" s="42"/>
      <c r="Z90" s="147"/>
      <c r="AA90" s="44"/>
      <c r="AB90" s="41"/>
      <c r="AC90" s="42"/>
      <c r="AD90" s="147"/>
      <c r="AE90" s="44"/>
      <c r="AF90" s="189"/>
      <c r="AI90" s="39"/>
    </row>
    <row r="91" spans="1:35" ht="15.75" thickBot="1" x14ac:dyDescent="0.3">
      <c r="A91" s="26">
        <v>6</v>
      </c>
      <c r="B91" s="77">
        <v>11482</v>
      </c>
      <c r="C91" s="27" t="s">
        <v>18</v>
      </c>
      <c r="D91" s="28">
        <v>13</v>
      </c>
      <c r="E91" s="47">
        <v>209</v>
      </c>
      <c r="F91" s="29">
        <v>6.5</v>
      </c>
      <c r="G91" s="49">
        <v>38</v>
      </c>
      <c r="H91" s="28">
        <v>13</v>
      </c>
      <c r="I91" s="47">
        <v>109</v>
      </c>
      <c r="J91" s="29">
        <v>5</v>
      </c>
      <c r="K91" s="49">
        <v>38</v>
      </c>
      <c r="L91" s="28">
        <v>13</v>
      </c>
      <c r="M91" s="47">
        <v>209</v>
      </c>
      <c r="N91" s="49">
        <v>8</v>
      </c>
      <c r="O91" s="49">
        <v>38</v>
      </c>
      <c r="P91" s="28"/>
      <c r="Q91" s="47"/>
      <c r="R91" s="29"/>
      <c r="S91" s="49"/>
      <c r="T91" s="28">
        <v>13</v>
      </c>
      <c r="U91" s="47">
        <v>209</v>
      </c>
      <c r="V91" s="29">
        <v>7</v>
      </c>
      <c r="W91" s="49">
        <v>38</v>
      </c>
      <c r="X91" s="28"/>
      <c r="Y91" s="47"/>
      <c r="Z91" s="145"/>
      <c r="AA91" s="49"/>
      <c r="AB91" s="28"/>
      <c r="AC91" s="29"/>
      <c r="AD91" s="145"/>
      <c r="AE91" s="49"/>
      <c r="AF91" s="31">
        <f>F91+J91+N91+R91+V91+Z91+AD91</f>
        <v>26.5</v>
      </c>
      <c r="AI91" s="77">
        <v>11482</v>
      </c>
    </row>
    <row r="92" spans="1:35" x14ac:dyDescent="0.25">
      <c r="A92" s="33"/>
      <c r="B92" s="33"/>
      <c r="C92" s="50"/>
      <c r="D92" s="35"/>
      <c r="E92" s="36"/>
      <c r="F92" s="36"/>
      <c r="G92" s="51"/>
      <c r="H92" s="35"/>
      <c r="I92" s="36"/>
      <c r="J92" s="36"/>
      <c r="K92" s="51"/>
      <c r="L92" s="35"/>
      <c r="M92" s="36"/>
      <c r="N92" s="51"/>
      <c r="O92" s="51"/>
      <c r="P92" s="35"/>
      <c r="Q92" s="36"/>
      <c r="R92" s="36"/>
      <c r="S92" s="51"/>
      <c r="T92" s="35"/>
      <c r="U92" s="36"/>
      <c r="V92" s="36"/>
      <c r="W92" s="51"/>
      <c r="X92" s="35"/>
      <c r="Y92" s="36"/>
      <c r="Z92" s="146"/>
      <c r="AA92" s="51"/>
      <c r="AB92" s="35"/>
      <c r="AC92" s="36"/>
      <c r="AD92" s="146"/>
      <c r="AE92" s="51"/>
      <c r="AF92" s="38">
        <f>F92+J92+N92+R92+V92+Z92+AD92</f>
        <v>0</v>
      </c>
      <c r="AI92" s="33"/>
    </row>
    <row r="93" spans="1:35" ht="15.75" thickBot="1" x14ac:dyDescent="0.3">
      <c r="A93" s="39"/>
      <c r="B93" s="39"/>
      <c r="C93" s="52"/>
      <c r="D93" s="41"/>
      <c r="E93" s="42"/>
      <c r="F93" s="42"/>
      <c r="G93" s="44"/>
      <c r="H93" s="41"/>
      <c r="I93" s="42"/>
      <c r="J93" s="42"/>
      <c r="K93" s="44"/>
      <c r="L93" s="41"/>
      <c r="M93" s="42"/>
      <c r="N93" s="44"/>
      <c r="O93" s="44"/>
      <c r="P93" s="41"/>
      <c r="Q93" s="42"/>
      <c r="R93" s="42"/>
      <c r="S93" s="44"/>
      <c r="T93" s="41"/>
      <c r="U93" s="42"/>
      <c r="V93" s="42"/>
      <c r="W93" s="44"/>
      <c r="X93" s="41"/>
      <c r="Y93" s="42"/>
      <c r="Z93" s="147"/>
      <c r="AA93" s="44"/>
      <c r="AB93" s="41"/>
      <c r="AC93" s="42"/>
      <c r="AD93" s="147"/>
      <c r="AE93" s="44"/>
      <c r="AF93" s="189"/>
      <c r="AI93" s="39"/>
    </row>
    <row r="94" spans="1:35" x14ac:dyDescent="0.25">
      <c r="A94" s="26">
        <v>7</v>
      </c>
      <c r="B94" s="77">
        <v>11483</v>
      </c>
      <c r="C94" s="27" t="s">
        <v>19</v>
      </c>
      <c r="D94" s="28">
        <v>13</v>
      </c>
      <c r="E94" s="29">
        <v>209</v>
      </c>
      <c r="F94" s="29">
        <v>6.5</v>
      </c>
      <c r="G94" s="49">
        <v>38</v>
      </c>
      <c r="H94" s="28">
        <v>13</v>
      </c>
      <c r="I94" s="29">
        <v>209</v>
      </c>
      <c r="J94" s="29">
        <v>8</v>
      </c>
      <c r="K94" s="49">
        <v>38</v>
      </c>
      <c r="L94" s="28">
        <v>13</v>
      </c>
      <c r="M94" s="47">
        <v>209</v>
      </c>
      <c r="N94" s="49">
        <v>8</v>
      </c>
      <c r="O94" s="49">
        <v>38</v>
      </c>
      <c r="P94" s="28">
        <v>13</v>
      </c>
      <c r="Q94" s="29">
        <v>209</v>
      </c>
      <c r="R94" s="29">
        <v>6</v>
      </c>
      <c r="S94" s="49">
        <v>38</v>
      </c>
      <c r="T94" s="28"/>
      <c r="U94" s="29"/>
      <c r="V94" s="29"/>
      <c r="W94" s="49"/>
      <c r="X94" s="28"/>
      <c r="Y94" s="29"/>
      <c r="Z94" s="145"/>
      <c r="AA94" s="49"/>
      <c r="AB94" s="28"/>
      <c r="AC94" s="29"/>
      <c r="AD94" s="145"/>
      <c r="AE94" s="49"/>
      <c r="AF94" s="31">
        <f>F94+J94+N94+R94+V94+Z94+AD94</f>
        <v>28.5</v>
      </c>
      <c r="AI94" s="77">
        <v>11483</v>
      </c>
    </row>
    <row r="95" spans="1:35" ht="15.75" thickBot="1" x14ac:dyDescent="0.3">
      <c r="A95" s="33"/>
      <c r="B95" s="33"/>
      <c r="C95" s="34"/>
      <c r="D95" s="35"/>
      <c r="E95" s="36"/>
      <c r="F95" s="36"/>
      <c r="G95" s="51"/>
      <c r="H95" s="35"/>
      <c r="I95" s="36"/>
      <c r="J95" s="36"/>
      <c r="K95" s="51"/>
      <c r="L95" s="35"/>
      <c r="M95" s="36"/>
      <c r="N95" s="51"/>
      <c r="O95" s="51"/>
      <c r="P95" s="35"/>
      <c r="Q95" s="36"/>
      <c r="R95" s="36"/>
      <c r="S95" s="51"/>
      <c r="T95" s="35"/>
      <c r="U95" s="36"/>
      <c r="V95" s="36"/>
      <c r="W95" s="51"/>
      <c r="X95" s="35"/>
      <c r="Y95" s="36"/>
      <c r="Z95" s="146"/>
      <c r="AA95" s="51"/>
      <c r="AB95" s="35"/>
      <c r="AC95" s="36"/>
      <c r="AD95" s="146"/>
      <c r="AE95" s="51"/>
      <c r="AF95" s="59">
        <f>F95+J95+N95+R95+V95+Z95+AD95</f>
        <v>0</v>
      </c>
      <c r="AI95" s="33"/>
    </row>
    <row r="96" spans="1:35" ht="15.75" thickBot="1" x14ac:dyDescent="0.3">
      <c r="A96" s="39"/>
      <c r="B96" s="39"/>
      <c r="C96" s="40"/>
      <c r="D96" s="41"/>
      <c r="E96" s="42"/>
      <c r="F96" s="42"/>
      <c r="G96" s="44"/>
      <c r="H96" s="41"/>
      <c r="I96" s="42"/>
      <c r="J96" s="42"/>
      <c r="K96" s="44"/>
      <c r="L96" s="41"/>
      <c r="M96" s="42"/>
      <c r="N96" s="44"/>
      <c r="O96" s="44"/>
      <c r="P96" s="41"/>
      <c r="Q96" s="42"/>
      <c r="R96" s="42"/>
      <c r="S96" s="44"/>
      <c r="T96" s="41"/>
      <c r="U96" s="42"/>
      <c r="V96" s="42"/>
      <c r="W96" s="44"/>
      <c r="X96" s="41"/>
      <c r="Y96" s="42"/>
      <c r="Z96" s="147"/>
      <c r="AA96" s="44"/>
      <c r="AB96" s="41"/>
      <c r="AC96" s="42"/>
      <c r="AD96" s="147"/>
      <c r="AE96" s="44"/>
      <c r="AF96" s="189"/>
      <c r="AI96" s="39"/>
    </row>
    <row r="97" spans="1:35" ht="15.75" thickBot="1" x14ac:dyDescent="0.3">
      <c r="A97" s="60">
        <v>8</v>
      </c>
      <c r="B97" s="77">
        <v>11487</v>
      </c>
      <c r="C97" s="27" t="s">
        <v>20</v>
      </c>
      <c r="D97" s="28"/>
      <c r="E97" s="47"/>
      <c r="F97" s="29"/>
      <c r="G97" s="49"/>
      <c r="H97" s="28">
        <v>13</v>
      </c>
      <c r="I97" s="47">
        <v>209</v>
      </c>
      <c r="J97" s="29">
        <v>8</v>
      </c>
      <c r="K97" s="49">
        <v>38</v>
      </c>
      <c r="L97" s="28">
        <v>13</v>
      </c>
      <c r="M97" s="47">
        <v>209</v>
      </c>
      <c r="N97" s="49">
        <v>8</v>
      </c>
      <c r="O97" s="49">
        <v>38</v>
      </c>
      <c r="P97" s="28">
        <v>13</v>
      </c>
      <c r="Q97" s="47">
        <v>209</v>
      </c>
      <c r="R97" s="29">
        <v>6</v>
      </c>
      <c r="S97" s="49">
        <v>38</v>
      </c>
      <c r="T97" s="28"/>
      <c r="U97" s="47"/>
      <c r="V97" s="29"/>
      <c r="W97" s="49"/>
      <c r="X97" s="28"/>
      <c r="Y97" s="47"/>
      <c r="Z97" s="145"/>
      <c r="AA97" s="49"/>
      <c r="AB97" s="28"/>
      <c r="AC97" s="29"/>
      <c r="AD97" s="145"/>
      <c r="AE97" s="49"/>
      <c r="AF97" s="31">
        <f>F97+J97+N97+R97+V97+Z97+AD97</f>
        <v>22</v>
      </c>
      <c r="AI97" s="77">
        <v>11487</v>
      </c>
    </row>
    <row r="98" spans="1:35" x14ac:dyDescent="0.25">
      <c r="A98" s="33"/>
      <c r="B98" s="33"/>
      <c r="C98" s="50"/>
      <c r="D98" s="35"/>
      <c r="E98" s="36"/>
      <c r="F98" s="36"/>
      <c r="G98" s="51"/>
      <c r="H98" s="35"/>
      <c r="I98" s="36"/>
      <c r="J98" s="36"/>
      <c r="K98" s="51"/>
      <c r="L98" s="35"/>
      <c r="M98" s="36"/>
      <c r="N98" s="51"/>
      <c r="O98" s="51"/>
      <c r="P98" s="35"/>
      <c r="Q98" s="36"/>
      <c r="R98" s="36"/>
      <c r="S98" s="51"/>
      <c r="T98" s="35"/>
      <c r="U98" s="36"/>
      <c r="V98" s="36"/>
      <c r="W98" s="51"/>
      <c r="X98" s="35"/>
      <c r="Y98" s="36"/>
      <c r="Z98" s="146"/>
      <c r="AA98" s="51"/>
      <c r="AB98" s="35"/>
      <c r="AC98" s="36"/>
      <c r="AD98" s="146"/>
      <c r="AE98" s="51"/>
      <c r="AF98" s="38">
        <f>F98+J98+N98+R98+V98+Z98+AD98</f>
        <v>0</v>
      </c>
      <c r="AI98" s="33"/>
    </row>
    <row r="99" spans="1:35" ht="15.75" thickBot="1" x14ac:dyDescent="0.3">
      <c r="A99" s="39"/>
      <c r="B99" s="39"/>
      <c r="C99" s="52"/>
      <c r="D99" s="41"/>
      <c r="E99" s="42"/>
      <c r="F99" s="42"/>
      <c r="G99" s="44"/>
      <c r="H99" s="41"/>
      <c r="I99" s="42"/>
      <c r="J99" s="42"/>
      <c r="K99" s="44"/>
      <c r="L99" s="41"/>
      <c r="M99" s="42"/>
      <c r="N99" s="44"/>
      <c r="O99" s="44"/>
      <c r="P99" s="41"/>
      <c r="Q99" s="42"/>
      <c r="R99" s="42"/>
      <c r="S99" s="44"/>
      <c r="T99" s="41"/>
      <c r="U99" s="42"/>
      <c r="V99" s="42"/>
      <c r="W99" s="44"/>
      <c r="X99" s="41"/>
      <c r="Y99" s="42"/>
      <c r="Z99" s="147"/>
      <c r="AA99" s="44"/>
      <c r="AB99" s="41"/>
      <c r="AC99" s="42"/>
      <c r="AD99" s="147"/>
      <c r="AE99" s="44"/>
      <c r="AF99" s="189"/>
      <c r="AI99" s="39"/>
    </row>
    <row r="100" spans="1:35" ht="15.75" thickBot="1" x14ac:dyDescent="0.3">
      <c r="A100" s="61">
        <v>9</v>
      </c>
      <c r="B100" s="77">
        <v>11505</v>
      </c>
      <c r="C100" s="27" t="s">
        <v>100</v>
      </c>
      <c r="D100" s="28">
        <v>13</v>
      </c>
      <c r="E100" s="47">
        <v>209</v>
      </c>
      <c r="F100" s="29">
        <v>6.5</v>
      </c>
      <c r="G100" s="49">
        <v>38</v>
      </c>
      <c r="H100" s="28">
        <v>13</v>
      </c>
      <c r="I100" s="47">
        <v>209</v>
      </c>
      <c r="J100" s="29">
        <v>8</v>
      </c>
      <c r="K100" s="49">
        <v>38</v>
      </c>
      <c r="L100" s="28">
        <v>13</v>
      </c>
      <c r="M100" s="47">
        <v>209</v>
      </c>
      <c r="N100" s="49">
        <v>4</v>
      </c>
      <c r="O100" s="49">
        <v>38</v>
      </c>
      <c r="P100" s="28">
        <v>13</v>
      </c>
      <c r="Q100" s="140">
        <v>209</v>
      </c>
      <c r="R100" s="29">
        <v>4</v>
      </c>
      <c r="S100" s="49">
        <v>38</v>
      </c>
      <c r="T100" s="28">
        <v>13</v>
      </c>
      <c r="U100" s="140">
        <v>209</v>
      </c>
      <c r="V100" s="29">
        <v>3</v>
      </c>
      <c r="W100" s="49">
        <v>38</v>
      </c>
      <c r="X100" s="28"/>
      <c r="Y100" s="140"/>
      <c r="Z100" s="145"/>
      <c r="AA100" s="49"/>
      <c r="AB100" s="28"/>
      <c r="AC100" s="29"/>
      <c r="AD100" s="145"/>
      <c r="AE100" s="49"/>
      <c r="AF100" s="31">
        <f>F100+J100+N100+R100+V100+Z100+AD100</f>
        <v>25.5</v>
      </c>
      <c r="AI100" s="77">
        <v>11505</v>
      </c>
    </row>
    <row r="101" spans="1:35" x14ac:dyDescent="0.25">
      <c r="A101" s="33"/>
      <c r="B101" s="33"/>
      <c r="C101" s="50"/>
      <c r="D101" s="35"/>
      <c r="E101" s="36"/>
      <c r="F101" s="36"/>
      <c r="G101" s="51"/>
      <c r="H101" s="35"/>
      <c r="I101" s="36"/>
      <c r="J101" s="36"/>
      <c r="K101" s="51"/>
      <c r="L101" s="35">
        <v>13</v>
      </c>
      <c r="M101" s="36">
        <v>208</v>
      </c>
      <c r="N101" s="51">
        <v>4</v>
      </c>
      <c r="O101" s="51">
        <v>38</v>
      </c>
      <c r="P101" s="35">
        <v>13</v>
      </c>
      <c r="Q101" s="36">
        <v>109</v>
      </c>
      <c r="R101" s="36">
        <v>2</v>
      </c>
      <c r="S101" s="51">
        <v>38</v>
      </c>
      <c r="T101" s="35">
        <v>13</v>
      </c>
      <c r="U101" s="36">
        <v>208</v>
      </c>
      <c r="V101" s="36">
        <v>4</v>
      </c>
      <c r="W101" s="51">
        <v>38</v>
      </c>
      <c r="X101" s="35"/>
      <c r="Y101" s="36"/>
      <c r="Z101" s="146"/>
      <c r="AA101" s="51"/>
      <c r="AB101" s="35"/>
      <c r="AC101" s="36"/>
      <c r="AD101" s="146"/>
      <c r="AE101" s="51"/>
      <c r="AF101" s="38">
        <f>F101+J101+N101+R101+V101+Z101+AD101</f>
        <v>10</v>
      </c>
      <c r="AI101" s="33"/>
    </row>
    <row r="102" spans="1:35" ht="15.75" thickBot="1" x14ac:dyDescent="0.3">
      <c r="A102" s="33"/>
      <c r="B102" s="39"/>
      <c r="C102" s="52"/>
      <c r="D102" s="41"/>
      <c r="E102" s="42"/>
      <c r="F102" s="42"/>
      <c r="G102" s="44"/>
      <c r="H102" s="41"/>
      <c r="I102" s="42"/>
      <c r="J102" s="42"/>
      <c r="K102" s="44"/>
      <c r="L102" s="41"/>
      <c r="M102" s="42"/>
      <c r="N102" s="44"/>
      <c r="O102" s="44"/>
      <c r="P102" s="41"/>
      <c r="Q102" s="42"/>
      <c r="R102" s="42"/>
      <c r="S102" s="44"/>
      <c r="T102" s="41"/>
      <c r="U102" s="42"/>
      <c r="V102" s="42"/>
      <c r="W102" s="44"/>
      <c r="X102" s="41"/>
      <c r="Y102" s="42"/>
      <c r="Z102" s="147"/>
      <c r="AA102" s="44"/>
      <c r="AB102" s="41"/>
      <c r="AC102" s="42"/>
      <c r="AD102" s="147"/>
      <c r="AE102" s="44"/>
      <c r="AF102" s="189"/>
      <c r="AI102" s="39"/>
    </row>
    <row r="103" spans="1:35" x14ac:dyDescent="0.25">
      <c r="A103" s="26">
        <v>10</v>
      </c>
      <c r="B103" s="77">
        <v>11375</v>
      </c>
      <c r="C103" s="27" t="s">
        <v>99</v>
      </c>
      <c r="D103" s="28">
        <v>13</v>
      </c>
      <c r="E103" s="47">
        <v>209</v>
      </c>
      <c r="F103" s="29">
        <v>3</v>
      </c>
      <c r="G103" s="49">
        <v>38</v>
      </c>
      <c r="H103" s="28">
        <v>13</v>
      </c>
      <c r="I103" s="47">
        <v>209</v>
      </c>
      <c r="J103" s="29">
        <v>4</v>
      </c>
      <c r="K103" s="49">
        <v>38</v>
      </c>
      <c r="L103" s="28">
        <v>13</v>
      </c>
      <c r="M103" s="47">
        <v>209</v>
      </c>
      <c r="N103" s="49">
        <v>2.5</v>
      </c>
      <c r="O103" s="49">
        <v>38</v>
      </c>
      <c r="P103" s="28">
        <v>13</v>
      </c>
      <c r="Q103" s="47">
        <v>209</v>
      </c>
      <c r="R103" s="29">
        <v>4</v>
      </c>
      <c r="S103" s="49">
        <v>38</v>
      </c>
      <c r="T103" s="28">
        <v>13</v>
      </c>
      <c r="U103" s="47">
        <v>209</v>
      </c>
      <c r="V103" s="29">
        <v>3</v>
      </c>
      <c r="W103" s="49">
        <v>38</v>
      </c>
      <c r="X103" s="28"/>
      <c r="Y103" s="47"/>
      <c r="Z103" s="145"/>
      <c r="AA103" s="49"/>
      <c r="AB103" s="28"/>
      <c r="AC103" s="29"/>
      <c r="AD103" s="145"/>
      <c r="AE103" s="49"/>
      <c r="AF103" s="31">
        <f>F103+J103+N103+R103+V103+Z103+AD103</f>
        <v>16.5</v>
      </c>
      <c r="AI103" s="77">
        <v>11375</v>
      </c>
    </row>
    <row r="104" spans="1:35" ht="15.75" thickBot="1" x14ac:dyDescent="0.3">
      <c r="A104" s="33"/>
      <c r="B104" s="33"/>
      <c r="C104" s="34"/>
      <c r="D104" s="35">
        <v>13</v>
      </c>
      <c r="E104" s="36">
        <v>208</v>
      </c>
      <c r="F104" s="36">
        <v>2</v>
      </c>
      <c r="G104" s="51">
        <v>38</v>
      </c>
      <c r="H104" s="35">
        <v>13</v>
      </c>
      <c r="I104" s="36"/>
      <c r="J104" s="36">
        <v>4</v>
      </c>
      <c r="K104" s="51">
        <v>38</v>
      </c>
      <c r="L104" s="35">
        <v>13</v>
      </c>
      <c r="M104" s="36">
        <v>208</v>
      </c>
      <c r="N104" s="51">
        <v>2.5</v>
      </c>
      <c r="O104" s="51">
        <v>38</v>
      </c>
      <c r="P104" s="35">
        <v>13</v>
      </c>
      <c r="Q104" s="36">
        <v>208</v>
      </c>
      <c r="R104" s="36">
        <v>1.5</v>
      </c>
      <c r="S104" s="51">
        <v>38</v>
      </c>
      <c r="T104" s="35">
        <v>13</v>
      </c>
      <c r="U104" s="36">
        <v>208</v>
      </c>
      <c r="V104" s="36">
        <v>4</v>
      </c>
      <c r="W104" s="51">
        <v>83</v>
      </c>
      <c r="X104" s="35"/>
      <c r="Y104" s="36"/>
      <c r="Z104" s="146"/>
      <c r="AA104" s="51"/>
      <c r="AB104" s="35"/>
      <c r="AC104" s="36"/>
      <c r="AD104" s="146"/>
      <c r="AE104" s="51"/>
      <c r="AF104" s="59">
        <f>F104+J104+N104+R104+V104+Z104+AD104</f>
        <v>14</v>
      </c>
      <c r="AI104" s="33"/>
    </row>
    <row r="105" spans="1:35" x14ac:dyDescent="0.25">
      <c r="A105" s="33"/>
      <c r="B105" s="33"/>
      <c r="C105" s="62"/>
      <c r="D105" s="53">
        <v>13</v>
      </c>
      <c r="E105" s="54">
        <v>109</v>
      </c>
      <c r="F105" s="54">
        <v>1.5</v>
      </c>
      <c r="G105" s="55">
        <v>38</v>
      </c>
      <c r="H105" s="53"/>
      <c r="I105" s="54"/>
      <c r="J105" s="54"/>
      <c r="K105" s="55"/>
      <c r="L105" s="53"/>
      <c r="M105" s="54"/>
      <c r="N105" s="55"/>
      <c r="O105" s="55"/>
      <c r="P105" s="53"/>
      <c r="Q105" s="54"/>
      <c r="R105" s="54"/>
      <c r="S105" s="55"/>
      <c r="T105" s="53"/>
      <c r="U105" s="54"/>
      <c r="V105" s="54"/>
      <c r="W105" s="55"/>
      <c r="X105" s="53"/>
      <c r="Y105" s="54"/>
      <c r="Z105" s="149"/>
      <c r="AA105" s="55"/>
      <c r="AB105" s="53"/>
      <c r="AC105" s="54"/>
      <c r="AD105" s="149"/>
      <c r="AE105" s="55"/>
      <c r="AF105" s="38">
        <f>F105+J105+N105+R105+V105+Z105+AD105</f>
        <v>1.5</v>
      </c>
      <c r="AI105" s="33"/>
    </row>
    <row r="106" spans="1:35" ht="15.75" thickBot="1" x14ac:dyDescent="0.3">
      <c r="A106" s="39"/>
      <c r="B106" s="33"/>
      <c r="C106" s="40"/>
      <c r="D106" s="41"/>
      <c r="E106" s="42"/>
      <c r="F106" s="42"/>
      <c r="G106" s="44"/>
      <c r="H106" s="41"/>
      <c r="I106" s="42"/>
      <c r="J106" s="42"/>
      <c r="K106" s="44"/>
      <c r="L106" s="41"/>
      <c r="M106" s="42"/>
      <c r="N106" s="44"/>
      <c r="O106" s="44"/>
      <c r="P106" s="41"/>
      <c r="Q106" s="42"/>
      <c r="R106" s="42"/>
      <c r="S106" s="44"/>
      <c r="T106" s="41"/>
      <c r="U106" s="42"/>
      <c r="V106" s="42"/>
      <c r="W106" s="44"/>
      <c r="X106" s="41"/>
      <c r="Y106" s="42"/>
      <c r="Z106" s="147"/>
      <c r="AA106" s="44"/>
      <c r="AB106" s="41"/>
      <c r="AC106" s="42"/>
      <c r="AD106" s="147"/>
      <c r="AE106" s="44"/>
      <c r="AF106" s="189"/>
      <c r="AI106" s="33"/>
    </row>
    <row r="107" spans="1:35" x14ac:dyDescent="0.25">
      <c r="A107" s="26">
        <v>11</v>
      </c>
      <c r="B107" s="77">
        <v>11523</v>
      </c>
      <c r="C107" s="27" t="s">
        <v>126</v>
      </c>
      <c r="D107" s="28">
        <v>13</v>
      </c>
      <c r="E107" s="47">
        <v>209</v>
      </c>
      <c r="F107" s="29">
        <v>6.5</v>
      </c>
      <c r="G107" s="49">
        <v>38</v>
      </c>
      <c r="H107" s="28">
        <v>13</v>
      </c>
      <c r="I107" s="47">
        <v>209</v>
      </c>
      <c r="J107" s="29">
        <v>8</v>
      </c>
      <c r="K107" s="49">
        <v>38</v>
      </c>
      <c r="L107" s="28">
        <v>13</v>
      </c>
      <c r="M107" s="47">
        <v>209</v>
      </c>
      <c r="N107" s="49">
        <v>8</v>
      </c>
      <c r="O107" s="49">
        <v>38</v>
      </c>
      <c r="P107" s="28">
        <v>13</v>
      </c>
      <c r="Q107" s="47">
        <v>209</v>
      </c>
      <c r="R107" s="29">
        <v>6</v>
      </c>
      <c r="S107" s="49">
        <v>38</v>
      </c>
      <c r="T107" s="28">
        <v>13</v>
      </c>
      <c r="U107" s="47">
        <v>209</v>
      </c>
      <c r="V107" s="29">
        <v>7</v>
      </c>
      <c r="W107" s="49">
        <v>38</v>
      </c>
      <c r="X107" s="28"/>
      <c r="Y107" s="29"/>
      <c r="Z107" s="145"/>
      <c r="AA107" s="49"/>
      <c r="AB107" s="28"/>
      <c r="AC107" s="29"/>
      <c r="AD107" s="145"/>
      <c r="AE107" s="49"/>
      <c r="AF107" s="31">
        <f>F107+J107+N107+R107+V107+Z107+AD107</f>
        <v>35.5</v>
      </c>
      <c r="AI107" s="77">
        <v>11523</v>
      </c>
    </row>
    <row r="108" spans="1:35" ht="15.75" thickBot="1" x14ac:dyDescent="0.3">
      <c r="A108" s="33"/>
      <c r="B108" s="33"/>
      <c r="C108" s="34"/>
      <c r="D108" s="35"/>
      <c r="E108" s="36"/>
      <c r="F108" s="36"/>
      <c r="G108" s="51"/>
      <c r="H108" s="35"/>
      <c r="I108" s="36"/>
      <c r="J108" s="36"/>
      <c r="K108" s="51"/>
      <c r="L108" s="35"/>
      <c r="M108" s="36"/>
      <c r="N108" s="51"/>
      <c r="O108" s="51"/>
      <c r="P108" s="35"/>
      <c r="Q108" s="36"/>
      <c r="R108" s="36"/>
      <c r="S108" s="51"/>
      <c r="T108" s="35"/>
      <c r="U108" s="36"/>
      <c r="V108" s="36"/>
      <c r="W108" s="51"/>
      <c r="X108" s="35"/>
      <c r="Y108" s="36"/>
      <c r="Z108" s="146"/>
      <c r="AA108" s="51"/>
      <c r="AB108" s="35"/>
      <c r="AC108" s="36"/>
      <c r="AD108" s="146"/>
      <c r="AE108" s="51"/>
      <c r="AF108" s="59">
        <f>F108+J108+N108+R108+V108+Z108+AD108</f>
        <v>0</v>
      </c>
      <c r="AI108" s="33"/>
    </row>
    <row r="109" spans="1:35" ht="15.75" thickBot="1" x14ac:dyDescent="0.3">
      <c r="A109" s="39"/>
      <c r="B109" s="39"/>
      <c r="C109" s="40"/>
      <c r="D109" s="41"/>
      <c r="E109" s="42"/>
      <c r="F109" s="42"/>
      <c r="G109" s="44"/>
      <c r="H109" s="41"/>
      <c r="I109" s="42"/>
      <c r="J109" s="42"/>
      <c r="K109" s="44"/>
      <c r="L109" s="41"/>
      <c r="M109" s="42"/>
      <c r="N109" s="44"/>
      <c r="O109" s="44"/>
      <c r="P109" s="41"/>
      <c r="Q109" s="42"/>
      <c r="R109" s="42"/>
      <c r="S109" s="44"/>
      <c r="T109" s="41"/>
      <c r="U109" s="42"/>
      <c r="V109" s="42"/>
      <c r="W109" s="44"/>
      <c r="X109" s="41"/>
      <c r="Y109" s="42"/>
      <c r="Z109" s="147"/>
      <c r="AA109" s="44"/>
      <c r="AB109" s="41"/>
      <c r="AC109" s="42"/>
      <c r="AD109" s="147"/>
      <c r="AE109" s="44"/>
      <c r="AF109" s="189"/>
      <c r="AI109" s="39"/>
    </row>
    <row r="110" spans="1:35" x14ac:dyDescent="0.25">
      <c r="A110" s="26">
        <v>12</v>
      </c>
      <c r="B110" s="77">
        <v>11524</v>
      </c>
      <c r="C110" s="27" t="s">
        <v>125</v>
      </c>
      <c r="D110" s="28">
        <v>13</v>
      </c>
      <c r="E110" s="29">
        <v>209</v>
      </c>
      <c r="F110" s="29">
        <v>6.5</v>
      </c>
      <c r="G110" s="49">
        <v>38</v>
      </c>
      <c r="H110" s="28">
        <v>13</v>
      </c>
      <c r="I110" s="29">
        <v>209</v>
      </c>
      <c r="J110" s="29">
        <v>4.5</v>
      </c>
      <c r="K110" s="49">
        <v>38</v>
      </c>
      <c r="L110" s="28">
        <v>13</v>
      </c>
      <c r="M110" s="29">
        <v>209</v>
      </c>
      <c r="N110" s="49">
        <v>8</v>
      </c>
      <c r="O110" s="49">
        <v>38</v>
      </c>
      <c r="P110" s="28">
        <v>13</v>
      </c>
      <c r="Q110" s="29">
        <v>209</v>
      </c>
      <c r="R110" s="29">
        <v>6</v>
      </c>
      <c r="S110" s="49">
        <v>38</v>
      </c>
      <c r="T110" s="28">
        <v>13</v>
      </c>
      <c r="U110" s="29">
        <v>209</v>
      </c>
      <c r="V110" s="29">
        <v>7</v>
      </c>
      <c r="W110" s="49">
        <v>38</v>
      </c>
      <c r="X110" s="28"/>
      <c r="Y110" s="29"/>
      <c r="Z110" s="145"/>
      <c r="AA110" s="49"/>
      <c r="AB110" s="28"/>
      <c r="AC110" s="29"/>
      <c r="AD110" s="145"/>
      <c r="AE110" s="49"/>
      <c r="AF110" s="31">
        <f>F110+J110+N110+R110+V110+Z110+AD110</f>
        <v>32</v>
      </c>
      <c r="AI110" s="77">
        <v>11524</v>
      </c>
    </row>
    <row r="111" spans="1:35" ht="15.75" thickBot="1" x14ac:dyDescent="0.3">
      <c r="A111" s="33"/>
      <c r="B111" s="33"/>
      <c r="C111" s="34"/>
      <c r="D111" s="35"/>
      <c r="E111" s="36"/>
      <c r="F111" s="36"/>
      <c r="G111" s="51"/>
      <c r="H111" s="35"/>
      <c r="I111" s="36"/>
      <c r="J111" s="36"/>
      <c r="K111" s="51"/>
      <c r="L111" s="35"/>
      <c r="M111" s="36"/>
      <c r="N111" s="51"/>
      <c r="O111" s="51"/>
      <c r="P111" s="35"/>
      <c r="Q111" s="36"/>
      <c r="R111" s="36"/>
      <c r="S111" s="51"/>
      <c r="T111" s="35"/>
      <c r="U111" s="36"/>
      <c r="V111" s="36"/>
      <c r="W111" s="51"/>
      <c r="X111" s="35"/>
      <c r="Y111" s="36"/>
      <c r="Z111" s="146"/>
      <c r="AA111" s="51"/>
      <c r="AB111" s="35"/>
      <c r="AC111" s="36"/>
      <c r="AD111" s="146"/>
      <c r="AE111" s="51"/>
      <c r="AF111" s="59">
        <f>F111+J111+N111+R111+V111+Z111+AD111</f>
        <v>0</v>
      </c>
      <c r="AI111" s="33"/>
    </row>
    <row r="112" spans="1:35" ht="15.75" thickBot="1" x14ac:dyDescent="0.3">
      <c r="A112" s="39"/>
      <c r="B112" s="39"/>
      <c r="C112" s="40"/>
      <c r="D112" s="41"/>
      <c r="E112" s="42"/>
      <c r="F112" s="42"/>
      <c r="G112" s="44"/>
      <c r="H112" s="41"/>
      <c r="I112" s="42"/>
      <c r="J112" s="42"/>
      <c r="K112" s="44"/>
      <c r="L112" s="41"/>
      <c r="M112" s="42"/>
      <c r="N112" s="44"/>
      <c r="O112" s="44"/>
      <c r="P112" s="41"/>
      <c r="Q112" s="42"/>
      <c r="R112" s="42"/>
      <c r="S112" s="44"/>
      <c r="T112" s="41"/>
      <c r="U112" s="42"/>
      <c r="V112" s="42"/>
      <c r="W112" s="44"/>
      <c r="X112" s="41"/>
      <c r="Y112" s="42"/>
      <c r="Z112" s="147"/>
      <c r="AA112" s="44"/>
      <c r="AB112" s="41"/>
      <c r="AC112" s="42"/>
      <c r="AD112" s="147"/>
      <c r="AE112" s="44"/>
      <c r="AF112" s="189"/>
      <c r="AI112" s="39"/>
    </row>
    <row r="113" spans="1:35" x14ac:dyDescent="0.25">
      <c r="A113" s="26">
        <v>13</v>
      </c>
      <c r="B113" s="77">
        <v>11525</v>
      </c>
      <c r="C113" s="27" t="s">
        <v>127</v>
      </c>
      <c r="D113" s="28">
        <v>13</v>
      </c>
      <c r="E113" s="29">
        <v>108</v>
      </c>
      <c r="F113" s="29">
        <v>4</v>
      </c>
      <c r="G113" s="49">
        <v>38</v>
      </c>
      <c r="H113" s="28">
        <v>13</v>
      </c>
      <c r="I113" s="29">
        <v>208</v>
      </c>
      <c r="J113" s="29">
        <v>2</v>
      </c>
      <c r="K113" s="49">
        <v>38</v>
      </c>
      <c r="L113" s="28">
        <v>13</v>
      </c>
      <c r="M113" s="29">
        <v>109</v>
      </c>
      <c r="N113" s="49">
        <v>8</v>
      </c>
      <c r="O113" s="49">
        <v>38</v>
      </c>
      <c r="P113" s="28">
        <v>13</v>
      </c>
      <c r="Q113" s="29">
        <v>108</v>
      </c>
      <c r="R113" s="29">
        <v>3</v>
      </c>
      <c r="S113" s="49">
        <v>38</v>
      </c>
      <c r="T113" s="28">
        <v>13</v>
      </c>
      <c r="U113" s="29">
        <v>109</v>
      </c>
      <c r="V113" s="29">
        <v>7</v>
      </c>
      <c r="W113" s="49">
        <v>38</v>
      </c>
      <c r="X113" s="28">
        <v>13</v>
      </c>
      <c r="Y113" s="29">
        <v>109</v>
      </c>
      <c r="Z113" s="145">
        <v>2</v>
      </c>
      <c r="AA113" s="49">
        <v>38</v>
      </c>
      <c r="AB113" s="28"/>
      <c r="AC113" s="29"/>
      <c r="AD113" s="145"/>
      <c r="AE113" s="49"/>
      <c r="AF113" s="31">
        <f>F113+J113+N113+R113+V113+Z113+AD113</f>
        <v>26</v>
      </c>
      <c r="AI113" s="77">
        <v>11525</v>
      </c>
    </row>
    <row r="114" spans="1:35" ht="15.75" thickBot="1" x14ac:dyDescent="0.3">
      <c r="A114" s="33"/>
      <c r="B114" s="33"/>
      <c r="C114" s="34"/>
      <c r="D114" s="35">
        <v>13</v>
      </c>
      <c r="E114" s="36">
        <v>109</v>
      </c>
      <c r="F114" s="36">
        <v>2.5</v>
      </c>
      <c r="G114" s="51">
        <v>38</v>
      </c>
      <c r="H114" s="35">
        <v>13</v>
      </c>
      <c r="I114" s="36">
        <v>109</v>
      </c>
      <c r="J114" s="36">
        <v>6</v>
      </c>
      <c r="K114" s="51">
        <v>38</v>
      </c>
      <c r="L114" s="35"/>
      <c r="M114" s="36"/>
      <c r="N114" s="51"/>
      <c r="O114" s="51"/>
      <c r="P114" s="35">
        <v>13</v>
      </c>
      <c r="Q114" s="36">
        <v>109</v>
      </c>
      <c r="R114" s="36">
        <v>3</v>
      </c>
      <c r="S114" s="51">
        <v>38</v>
      </c>
      <c r="T114" s="35"/>
      <c r="U114" s="36"/>
      <c r="V114" s="36"/>
      <c r="W114" s="51"/>
      <c r="X114" s="35"/>
      <c r="Y114" s="36">
        <v>108</v>
      </c>
      <c r="Z114" s="146">
        <v>4</v>
      </c>
      <c r="AA114" s="51"/>
      <c r="AB114" s="35"/>
      <c r="AC114" s="36"/>
      <c r="AD114" s="146"/>
      <c r="AE114" s="51"/>
      <c r="AF114" s="59">
        <f>F114+J114+N114+R114+V114+Z114+AD114</f>
        <v>15.5</v>
      </c>
      <c r="AI114" s="33"/>
    </row>
    <row r="115" spans="1:35" ht="15.75" thickBot="1" x14ac:dyDescent="0.3">
      <c r="A115" s="39"/>
      <c r="B115" s="39"/>
      <c r="C115" s="40"/>
      <c r="D115" s="41"/>
      <c r="E115" s="42"/>
      <c r="F115" s="42"/>
      <c r="G115" s="44"/>
      <c r="H115" s="41"/>
      <c r="I115" s="42"/>
      <c r="J115" s="42"/>
      <c r="K115" s="44"/>
      <c r="L115" s="41"/>
      <c r="M115" s="42"/>
      <c r="N115" s="44"/>
      <c r="O115" s="44"/>
      <c r="P115" s="41"/>
      <c r="Q115" s="42"/>
      <c r="R115" s="42"/>
      <c r="S115" s="44"/>
      <c r="T115" s="41"/>
      <c r="U115" s="42"/>
      <c r="V115" s="42"/>
      <c r="W115" s="44"/>
      <c r="X115" s="41"/>
      <c r="Y115" s="42"/>
      <c r="Z115" s="147"/>
      <c r="AA115" s="44"/>
      <c r="AB115" s="41"/>
      <c r="AC115" s="42"/>
      <c r="AD115" s="147"/>
      <c r="AE115" s="44"/>
      <c r="AF115" s="191"/>
      <c r="AI115" s="39"/>
    </row>
  </sheetData>
  <mergeCells count="9">
    <mergeCell ref="X2:AA2"/>
    <mergeCell ref="AB2:AE2"/>
    <mergeCell ref="B1:T1"/>
    <mergeCell ref="C2:C3"/>
    <mergeCell ref="D2:G2"/>
    <mergeCell ref="H2:K2"/>
    <mergeCell ref="L2:O2"/>
    <mergeCell ref="P2:S2"/>
    <mergeCell ref="T2:W2"/>
  </mergeCells>
  <conditionalFormatting sqref="B5:B6 B8:B9 B11:B12 B14:B15 B17:B18 B20:B21 B23:B24 B26:B27 B29:B30 B32:B33 B35:B36 B38:B39 B41:B42 B44:B45 B47:B48 B50:B51 B53:B54 B56:B57 B59:B60 B62:B69 B71:B115">
    <cfRule type="duplicateValues" dxfId="2659" priority="3731"/>
  </conditionalFormatting>
  <conditionalFormatting sqref="B5:B6 B8:B9 B11:B12 B14:B15 B17:B18 B20:B21 B23:B24 B26:B27 B29:B30 B32:B33 B35:B36 B38:B39 B41:B42 B44:B45 B47:B48 B50:B51 B53:B54 B56:B57 B59:B60 B62:B69">
    <cfRule type="duplicateValues" dxfId="2658" priority="3730"/>
  </conditionalFormatting>
  <conditionalFormatting sqref="B5:B6 B8:B9 B11:B12 B14:B15 B17:B18 B20:B21 B23:B24 B26:B27 B29:B30 B32:B33 B35:B36 B38:B39 B41:B42 B44:B45 B47:B48 B50:B51 B53:B54 B56:B57 B59:B60 B62:B69">
    <cfRule type="duplicateValues" dxfId="2657" priority="3729"/>
  </conditionalFormatting>
  <conditionalFormatting sqref="B5:B6 B8:B9 B11:B12 B14:B15 B17:B18 B20:B21 B23:B24 B26:B27 B29:B30 B32:B33 B35:B36 B38:B39 B41:B42 B44:B45 B47:B48 B50:B51 B53:B54 B56:B57 B59:B60 B62:B69">
    <cfRule type="duplicateValues" dxfId="2656" priority="3728"/>
  </conditionalFormatting>
  <conditionalFormatting sqref="B5:B6 B8:B9 B11:B12 B14:B15 B17:B18 B20:B21 B23:B24 B26:B27 B29:B30 B32:B33 B35:B36 B38:B39 B41:B42 B44:B45 B47:B48 B50:B51 B53:B54 B56:B57 B59:B60 B62:B69">
    <cfRule type="duplicateValues" dxfId="2655" priority="3727"/>
  </conditionalFormatting>
  <conditionalFormatting sqref="B5:B6 B8:B9 B11:B12 B14:B15 B17:B18 B20:B21 B23:B24 B26:B27 B29:B30 B32:B33 B35:B36 B38:B39 B41:B42 B44:B45 B47:B48 B50:B51 B53:B54 B56:B57 B59:B60 B62:B69">
    <cfRule type="duplicateValues" dxfId="2654" priority="3726"/>
  </conditionalFormatting>
  <conditionalFormatting sqref="B5:B6 B8:B9 B11:B12 B14:B15 B17:B18 B20:B21 B23:B24 B26:B27 B29:B30 B32:B33 B35:B36 B38:B39 B41:B42 B44:B45 B47:B48 B50:B51 B53:B54 B56:B57 B59:B60 B62:B69">
    <cfRule type="duplicateValues" dxfId="2653" priority="3725"/>
  </conditionalFormatting>
  <conditionalFormatting sqref="B5:B6 B8:B9 B11:B12 B14:B15 B17:B18 B20:B21 B23:B24 B26:B27 B29:B30 B32:B33 B35:B36 B38:B39 B41:B42 B44:B45 B47:B48 B50:B51 B53:B54 B56:B57 B59:B60 B62:B69">
    <cfRule type="duplicateValues" dxfId="2652" priority="3724"/>
  </conditionalFormatting>
  <conditionalFormatting sqref="B5:B6 B8:B9 B11:B12 B14:B15 B17:B18 B20:B21 B23:B24 B26:B27 B29:B30 B32:B33 B35:B36 B38:B39 B41:B42 B44:B45 B47:B48 B50:B51 B53:B54 B56:B57 B59:B60 B62:B69">
    <cfRule type="duplicateValues" dxfId="2651" priority="3723"/>
  </conditionalFormatting>
  <conditionalFormatting sqref="B5:B6 B8:B9 B11:B12 B14:B15 B17:B18 B20:B21 B23:B24 B26:B27 B29:B30 B32:B33 B35:B36 B38:B39 B41:B42 B44:B45 B47:B48 B50:B51 B53:B54 B56:B57 B59:B60 B62:B69">
    <cfRule type="duplicateValues" dxfId="2650" priority="3722"/>
  </conditionalFormatting>
  <conditionalFormatting sqref="B5:B6 B8:B9 B11:B12 B14:B15 B17:B18 B20:B21 B23:B24 B26:B27 B29:B30 B32:B33 B35:B36 B38:B39 B41:B42 B44:B45 B47:B48 B50:B51 B53:B54 B56:B57 B59:B60 B62:B69">
    <cfRule type="duplicateValues" dxfId="2649" priority="3721"/>
  </conditionalFormatting>
  <conditionalFormatting sqref="B70">
    <cfRule type="duplicateValues" dxfId="2648" priority="3720"/>
  </conditionalFormatting>
  <conditionalFormatting sqref="B70">
    <cfRule type="duplicateValues" dxfId="2647" priority="3719"/>
  </conditionalFormatting>
  <conditionalFormatting sqref="B70">
    <cfRule type="duplicateValues" dxfId="2646" priority="3718"/>
  </conditionalFormatting>
  <conditionalFormatting sqref="B5:B6 B8:B9 B11:B12 B14:B15 B17:B18 B20:B21 B23:B24 B26:B27 B29:B30 B32:B33 B35:B36 B38:B39 B41:B42 B44:B45 B47:B48 B50:B51 B53:B54 B56:B57 B59:B60 B62:B115">
    <cfRule type="duplicateValues" dxfId="2645" priority="3703"/>
    <cfRule type="duplicateValues" dxfId="2644" priority="3709"/>
    <cfRule type="duplicateValues" dxfId="2643" priority="3710"/>
    <cfRule type="duplicateValues" dxfId="2642" priority="3711"/>
    <cfRule type="duplicateValues" dxfId="2641" priority="3712"/>
    <cfRule type="duplicateValues" dxfId="2640" priority="3713"/>
    <cfRule type="duplicateValues" dxfId="2639" priority="3714"/>
    <cfRule type="duplicateValues" dxfId="2638" priority="3715"/>
    <cfRule type="duplicateValues" dxfId="2637" priority="3716"/>
    <cfRule type="duplicateValues" dxfId="2636" priority="3717"/>
  </conditionalFormatting>
  <conditionalFormatting sqref="B5:B6 B8:B9 B11:B12 B14:B15 B17:B18 B20:B21 B23:B24 B26:B27 B29:B30 B32:B33 B35:B36 B38:B39 B41:B42 B44:B45 B47:B48 B50:B51 B53:B54 B56:B57 B59:B60 B62:B115">
    <cfRule type="duplicateValues" dxfId="2635" priority="3708"/>
  </conditionalFormatting>
  <conditionalFormatting sqref="B5:B6 B8:B9 B11:B12 B14:B15 B17:B18 B20:B21 B23:B24 B26:B27 B29:B30 B32:B33 B35:B36 B38:B39 B41:B42 B44:B45 B47:B48 B50:B51 B53:B54 B56:B57 B59:B60 B62:B115">
    <cfRule type="duplicateValues" dxfId="2634" priority="3707"/>
  </conditionalFormatting>
  <conditionalFormatting sqref="B5:B6 B8:B9 B11:B12 B14:B15 B17:B18 B20:B21 B23:B24 B26:B27 B29:B30 B32:B33 B35:B36 B38:B39 B41:B42 B44:B45 B47:B48 B50:B51 B53:B54 B56:B57 B59:B60 B62:B115">
    <cfRule type="duplicateValues" dxfId="2633" priority="3706"/>
  </conditionalFormatting>
  <conditionalFormatting sqref="B5:B6 B8:B9 B11:B12 B14:B15 B17:B18 B20:B21 B23:B24 B26:B27 B29:B30 B32:B33 B35:B36 B38:B39 B41:B42 B44:B45 B47:B48 B50:B51 B53:B54 B56:B57 B59:B60 B62:B115">
    <cfRule type="duplicateValues" dxfId="2632" priority="3705"/>
  </conditionalFormatting>
  <conditionalFormatting sqref="B5:B6 B8:B9 B11:B12 B14:B15 B17:B18 B20:B21 B23:B24 B26:B27 B29:B30 B32:B33 B35:B36 B38:B39 B41:B42 B44:B45 B47:B48 B50:B51 B53:B54 B56:B57 B59:B60 B62:B115">
    <cfRule type="duplicateValues" dxfId="2631" priority="3702"/>
    <cfRule type="duplicateValues" dxfId="2630" priority="3704"/>
  </conditionalFormatting>
  <conditionalFormatting sqref="B5:B6 B8:B9 B11:B12 B14:B15 B17:B18 B20:B21 B23:B24 B26:B27 B29:B30 B32:B33 B35:B36 B38:B39 B41:B42 B44:B45 B47:B48 B50:B51 B53:B54 B56:B57 B59:B60 B62:B801">
    <cfRule type="duplicateValues" dxfId="2629" priority="3639"/>
    <cfRule type="duplicateValues" dxfId="2628" priority="3640"/>
    <cfRule type="duplicateValues" dxfId="2627" priority="3641"/>
    <cfRule type="duplicateValues" dxfId="2626" priority="3701"/>
  </conditionalFormatting>
  <conditionalFormatting sqref="B5:B6 B8:B9 B11:B12 B14:B15 B17:B18 B20:B21 B23:B24 B26:B27 B29:B30 B32:B33 B35:B36 B38:B39 B41:B42 B44:B45 B47:B48 B50:B51 B53:B54 B56:B57 B59:B60 B62:B1001">
    <cfRule type="duplicateValues" dxfId="2625" priority="3637"/>
    <cfRule type="duplicateValues" dxfId="2624" priority="3638"/>
  </conditionalFormatting>
  <conditionalFormatting sqref="B5:B6 B8:B9 B11:B12 B14:B15 B17:B18 B20:B21 B23:B24 B26:B27 B29:B30 B32:B33 B35:B36 B38:B39 B41:B42 B44:B45 B47:B48 B50:B51 B53:B54 B56:B57 B59:B60 B62:B2001">
    <cfRule type="duplicateValues" dxfId="2623" priority="3636"/>
  </conditionalFormatting>
  <conditionalFormatting sqref="B5:B6 B8:B9 B11:B12 B14:B15 B17:B18 B20:B21 B23:B24 B26:B27 B29:B30 B32:B33 B35:B36 B38:B39 B41:B42 B44:B45 B47:B48 B50:B51 B53:B54 B56:B57 B59:B60 B62:B20001">
    <cfRule type="duplicateValues" dxfId="2622" priority="3622"/>
    <cfRule type="duplicateValues" dxfId="2621" priority="3623"/>
    <cfRule type="duplicateValues" dxfId="2620" priority="3624"/>
    <cfRule type="duplicateValues" dxfId="2619" priority="3625"/>
    <cfRule type="duplicateValues" dxfId="2618" priority="3626"/>
    <cfRule type="duplicateValues" dxfId="2617" priority="3627"/>
    <cfRule type="duplicateValues" dxfId="2616" priority="3628"/>
    <cfRule type="duplicateValues" dxfId="2615" priority="3629"/>
    <cfRule type="duplicateValues" dxfId="2614" priority="3630"/>
    <cfRule type="duplicateValues" dxfId="2613" priority="3631"/>
    <cfRule type="duplicateValues" dxfId="2612" priority="3632"/>
    <cfRule type="duplicateValues" dxfId="2611" priority="3633"/>
    <cfRule type="duplicateValues" dxfId="2610" priority="3634"/>
    <cfRule type="duplicateValues" dxfId="2609" priority="3635"/>
  </conditionalFormatting>
  <conditionalFormatting sqref="B5:B6 B8:B9 B11:B12 B14:B15 B17:B18 B20:B21 B23:B24 B26:B27 B29:B30 B32:B33 B35:B36 B38:B39 B41:B42 B44:B45 B47:B48 B50:B51 B53:B54 B56:B57 B59:B60 B62:B20000">
    <cfRule type="duplicateValues" dxfId="2608" priority="3621"/>
  </conditionalFormatting>
  <conditionalFormatting sqref="B5:B6 B8:B9 B11:B12 B14:B15 B17:B18 B20:B21 B23:B24 B26:B27 B29:B30 B32:B33 B35:B36 B38:B39 B41:B42 B44:B45 B47:B48 B50:B51 B53:B54 B56:B57 B59:B60 B62:B20000">
    <cfRule type="duplicateValues" dxfId="2607" priority="3620"/>
  </conditionalFormatting>
  <conditionalFormatting sqref="B5:B6 B8:B9 B11:B12 B14:B15 B17:B18 B20:B21 B23:B24 B26:B27 B29:B30 B32:B33 B35:B36 B38:B39 B41:B42 B44:B45 B47:B48 B50:B51 B53:B54 B56:B57 B59:B60 B62:B20000">
    <cfRule type="duplicateValues" dxfId="2606" priority="3614"/>
    <cfRule type="duplicateValues" dxfId="2605" priority="3619"/>
  </conditionalFormatting>
  <conditionalFormatting sqref="B5:B6 B8:B9 B11:B12 B14:B15 B17:B18 B20:B21 B23:B24 B26:B27 B29:B30 B32:B33 B35:B36 B38:B39 B41:B42 B44:B45 B47:B48 B50:B51 B53:B54 B56:B57 B59:B60 B62:B20000">
    <cfRule type="duplicateValues" dxfId="2604" priority="3618"/>
  </conditionalFormatting>
  <conditionalFormatting sqref="B5:B6 B8:B9 B11:B12 B14:B15 B17:B18 B20:B21 B23:B24 B26:B27 B29:B30 B32:B33 B35:B36 B38:B39 B41:B42 B44:B45 B47:B48 B50:B51 B53:B54 B56:B57 B59:B60 B62:B20000">
    <cfRule type="duplicateValues" dxfId="2603" priority="3617"/>
  </conditionalFormatting>
  <conditionalFormatting sqref="B5:B6 B8:B9 B11:B12 B14:B15 B17:B18 B20:B21 B23:B24 B26:B27 B29:B30 B32:B33 B35:B36 B38:B39 B41:B42 B44:B45 B47:B48 B50:B51 B53:B54 B56:B57 B59:B60 B62:B20000">
    <cfRule type="duplicateValues" dxfId="2602" priority="3616"/>
  </conditionalFormatting>
  <conditionalFormatting sqref="B5:B6 B8:B9 B11:B12 B14:B15 B17:B18 B20:B21 B23:B24 B26:B27 B29:B30 B32:B33 B35:B36 B38:B39 B41:B42 B44:B45 B47:B48 B50:B51 B53:B54 B56:B57 B59:B60 B62:B20000">
    <cfRule type="duplicateValues" dxfId="2601" priority="3615"/>
  </conditionalFormatting>
  <conditionalFormatting sqref="B4">
    <cfRule type="duplicateValues" dxfId="2600" priority="3452"/>
  </conditionalFormatting>
  <conditionalFormatting sqref="B4">
    <cfRule type="duplicateValues" dxfId="2599" priority="3451"/>
  </conditionalFormatting>
  <conditionalFormatting sqref="B4">
    <cfRule type="duplicateValues" dxfId="2598" priority="3450"/>
  </conditionalFormatting>
  <conditionalFormatting sqref="B4">
    <cfRule type="duplicateValues" dxfId="2597" priority="3449"/>
  </conditionalFormatting>
  <conditionalFormatting sqref="B4">
    <cfRule type="duplicateValues" dxfId="2596" priority="3448"/>
  </conditionalFormatting>
  <conditionalFormatting sqref="B4">
    <cfRule type="duplicateValues" dxfId="2595" priority="3447"/>
  </conditionalFormatting>
  <conditionalFormatting sqref="B4">
    <cfRule type="duplicateValues" dxfId="2594" priority="3446"/>
  </conditionalFormatting>
  <conditionalFormatting sqref="B4">
    <cfRule type="duplicateValues" dxfId="2593" priority="3445"/>
  </conditionalFormatting>
  <conditionalFormatting sqref="B4">
    <cfRule type="duplicateValues" dxfId="2592" priority="3444"/>
  </conditionalFormatting>
  <conditionalFormatting sqref="B4">
    <cfRule type="duplicateValues" dxfId="2591" priority="3443"/>
  </conditionalFormatting>
  <conditionalFormatting sqref="B4">
    <cfRule type="duplicateValues" dxfId="2590" priority="3442"/>
  </conditionalFormatting>
  <conditionalFormatting sqref="B4">
    <cfRule type="duplicateValues" dxfId="2589" priority="3427"/>
    <cfRule type="duplicateValues" dxfId="2588" priority="3433"/>
    <cfRule type="duplicateValues" dxfId="2587" priority="3434"/>
    <cfRule type="duplicateValues" dxfId="2586" priority="3435"/>
    <cfRule type="duplicateValues" dxfId="2585" priority="3436"/>
    <cfRule type="duplicateValues" dxfId="2584" priority="3437"/>
    <cfRule type="duplicateValues" dxfId="2583" priority="3438"/>
    <cfRule type="duplicateValues" dxfId="2582" priority="3439"/>
    <cfRule type="duplicateValues" dxfId="2581" priority="3440"/>
    <cfRule type="duplicateValues" dxfId="2580" priority="3441"/>
  </conditionalFormatting>
  <conditionalFormatting sqref="B4">
    <cfRule type="duplicateValues" dxfId="2579" priority="3432"/>
  </conditionalFormatting>
  <conditionalFormatting sqref="B4">
    <cfRule type="duplicateValues" dxfId="2578" priority="3431"/>
  </conditionalFormatting>
  <conditionalFormatting sqref="B4">
    <cfRule type="duplicateValues" dxfId="2577" priority="3430"/>
  </conditionalFormatting>
  <conditionalFormatting sqref="B4">
    <cfRule type="duplicateValues" dxfId="2576" priority="3429"/>
  </conditionalFormatting>
  <conditionalFormatting sqref="B4">
    <cfRule type="duplicateValues" dxfId="2575" priority="3426"/>
    <cfRule type="duplicateValues" dxfId="2574" priority="3428"/>
  </conditionalFormatting>
  <conditionalFormatting sqref="B4">
    <cfRule type="duplicateValues" dxfId="2573" priority="3422"/>
    <cfRule type="duplicateValues" dxfId="2572" priority="3423"/>
    <cfRule type="duplicateValues" dxfId="2571" priority="3424"/>
    <cfRule type="duplicateValues" dxfId="2570" priority="3425"/>
  </conditionalFormatting>
  <conditionalFormatting sqref="B4">
    <cfRule type="duplicateValues" dxfId="2569" priority="3420"/>
    <cfRule type="duplicateValues" dxfId="2568" priority="3421"/>
  </conditionalFormatting>
  <conditionalFormatting sqref="B4">
    <cfRule type="duplicateValues" dxfId="2567" priority="3419"/>
  </conditionalFormatting>
  <conditionalFormatting sqref="B4">
    <cfRule type="duplicateValues" dxfId="2566" priority="3405"/>
    <cfRule type="duplicateValues" dxfId="2565" priority="3406"/>
    <cfRule type="duplicateValues" dxfId="2564" priority="3407"/>
    <cfRule type="duplicateValues" dxfId="2563" priority="3408"/>
    <cfRule type="duplicateValues" dxfId="2562" priority="3409"/>
    <cfRule type="duplicateValues" dxfId="2561" priority="3410"/>
    <cfRule type="duplicateValues" dxfId="2560" priority="3411"/>
    <cfRule type="duplicateValues" dxfId="2559" priority="3412"/>
    <cfRule type="duplicateValues" dxfId="2558" priority="3413"/>
    <cfRule type="duplicateValues" dxfId="2557" priority="3414"/>
    <cfRule type="duplicateValues" dxfId="2556" priority="3415"/>
    <cfRule type="duplicateValues" dxfId="2555" priority="3416"/>
    <cfRule type="duplicateValues" dxfId="2554" priority="3417"/>
    <cfRule type="duplicateValues" dxfId="2553" priority="3418"/>
  </conditionalFormatting>
  <conditionalFormatting sqref="B4">
    <cfRule type="duplicateValues" dxfId="2552" priority="3404"/>
  </conditionalFormatting>
  <conditionalFormatting sqref="B4">
    <cfRule type="duplicateValues" dxfId="2551" priority="3403"/>
  </conditionalFormatting>
  <conditionalFormatting sqref="B4">
    <cfRule type="duplicateValues" dxfId="2550" priority="3397"/>
    <cfRule type="duplicateValues" dxfId="2549" priority="3402"/>
  </conditionalFormatting>
  <conditionalFormatting sqref="B4">
    <cfRule type="duplicateValues" dxfId="2548" priority="3401"/>
  </conditionalFormatting>
  <conditionalFormatting sqref="B4">
    <cfRule type="duplicateValues" dxfId="2547" priority="3400"/>
  </conditionalFormatting>
  <conditionalFormatting sqref="B4">
    <cfRule type="duplicateValues" dxfId="2546" priority="3399"/>
  </conditionalFormatting>
  <conditionalFormatting sqref="B4">
    <cfRule type="duplicateValues" dxfId="2545" priority="3398"/>
  </conditionalFormatting>
  <conditionalFormatting sqref="B7">
    <cfRule type="duplicateValues" dxfId="2544" priority="3340"/>
  </conditionalFormatting>
  <conditionalFormatting sqref="B7">
    <cfRule type="duplicateValues" dxfId="2543" priority="3339"/>
  </conditionalFormatting>
  <conditionalFormatting sqref="B7">
    <cfRule type="duplicateValues" dxfId="2542" priority="3338"/>
  </conditionalFormatting>
  <conditionalFormatting sqref="B7">
    <cfRule type="duplicateValues" dxfId="2541" priority="3337"/>
  </conditionalFormatting>
  <conditionalFormatting sqref="B7">
    <cfRule type="duplicateValues" dxfId="2540" priority="3336"/>
  </conditionalFormatting>
  <conditionalFormatting sqref="B7">
    <cfRule type="duplicateValues" dxfId="2539" priority="3335"/>
  </conditionalFormatting>
  <conditionalFormatting sqref="B7">
    <cfRule type="duplicateValues" dxfId="2538" priority="3334"/>
  </conditionalFormatting>
  <conditionalFormatting sqref="B7">
    <cfRule type="duplicateValues" dxfId="2537" priority="3333"/>
  </conditionalFormatting>
  <conditionalFormatting sqref="B7">
    <cfRule type="duplicateValues" dxfId="2536" priority="3332"/>
  </conditionalFormatting>
  <conditionalFormatting sqref="B7">
    <cfRule type="duplicateValues" dxfId="2535" priority="3331"/>
  </conditionalFormatting>
  <conditionalFormatting sqref="B7">
    <cfRule type="duplicateValues" dxfId="2534" priority="3330"/>
  </conditionalFormatting>
  <conditionalFormatting sqref="B7">
    <cfRule type="duplicateValues" dxfId="2533" priority="3315"/>
    <cfRule type="duplicateValues" dxfId="2532" priority="3321"/>
    <cfRule type="duplicateValues" dxfId="2531" priority="3322"/>
    <cfRule type="duplicateValues" dxfId="2530" priority="3323"/>
    <cfRule type="duplicateValues" dxfId="2529" priority="3324"/>
    <cfRule type="duplicateValues" dxfId="2528" priority="3325"/>
    <cfRule type="duplicateValues" dxfId="2527" priority="3326"/>
    <cfRule type="duplicateValues" dxfId="2526" priority="3327"/>
    <cfRule type="duplicateValues" dxfId="2525" priority="3328"/>
    <cfRule type="duplicateValues" dxfId="2524" priority="3329"/>
  </conditionalFormatting>
  <conditionalFormatting sqref="B7">
    <cfRule type="duplicateValues" dxfId="2523" priority="3320"/>
  </conditionalFormatting>
  <conditionalFormatting sqref="B7">
    <cfRule type="duplicateValues" dxfId="2522" priority="3319"/>
  </conditionalFormatting>
  <conditionalFormatting sqref="B7">
    <cfRule type="duplicateValues" dxfId="2521" priority="3318"/>
  </conditionalFormatting>
  <conditionalFormatting sqref="B7">
    <cfRule type="duplicateValues" dxfId="2520" priority="3317"/>
  </conditionalFormatting>
  <conditionalFormatting sqref="B7">
    <cfRule type="duplicateValues" dxfId="2519" priority="3314"/>
    <cfRule type="duplicateValues" dxfId="2518" priority="3316"/>
  </conditionalFormatting>
  <conditionalFormatting sqref="B7">
    <cfRule type="duplicateValues" dxfId="2517" priority="3310"/>
    <cfRule type="duplicateValues" dxfId="2516" priority="3311"/>
    <cfRule type="duplicateValues" dxfId="2515" priority="3312"/>
    <cfRule type="duplicateValues" dxfId="2514" priority="3313"/>
  </conditionalFormatting>
  <conditionalFormatting sqref="B7">
    <cfRule type="duplicateValues" dxfId="2513" priority="3308"/>
    <cfRule type="duplicateValues" dxfId="2512" priority="3309"/>
  </conditionalFormatting>
  <conditionalFormatting sqref="B7">
    <cfRule type="duplicateValues" dxfId="2511" priority="3307"/>
  </conditionalFormatting>
  <conditionalFormatting sqref="B7">
    <cfRule type="duplicateValues" dxfId="2510" priority="3293"/>
    <cfRule type="duplicateValues" dxfId="2509" priority="3294"/>
    <cfRule type="duplicateValues" dxfId="2508" priority="3295"/>
    <cfRule type="duplicateValues" dxfId="2507" priority="3296"/>
    <cfRule type="duplicateValues" dxfId="2506" priority="3297"/>
    <cfRule type="duplicateValues" dxfId="2505" priority="3298"/>
    <cfRule type="duplicateValues" dxfId="2504" priority="3299"/>
    <cfRule type="duplicateValues" dxfId="2503" priority="3300"/>
    <cfRule type="duplicateValues" dxfId="2502" priority="3301"/>
    <cfRule type="duplicateValues" dxfId="2501" priority="3302"/>
    <cfRule type="duplicateValues" dxfId="2500" priority="3303"/>
    <cfRule type="duplicateValues" dxfId="2499" priority="3304"/>
    <cfRule type="duplicateValues" dxfId="2498" priority="3305"/>
    <cfRule type="duplicateValues" dxfId="2497" priority="3306"/>
  </conditionalFormatting>
  <conditionalFormatting sqref="B7">
    <cfRule type="duplicateValues" dxfId="2496" priority="3292"/>
  </conditionalFormatting>
  <conditionalFormatting sqref="B7">
    <cfRule type="duplicateValues" dxfId="2495" priority="3291"/>
  </conditionalFormatting>
  <conditionalFormatting sqref="B7">
    <cfRule type="duplicateValues" dxfId="2494" priority="3285"/>
    <cfRule type="duplicateValues" dxfId="2493" priority="3290"/>
  </conditionalFormatting>
  <conditionalFormatting sqref="B7">
    <cfRule type="duplicateValues" dxfId="2492" priority="3289"/>
  </conditionalFormatting>
  <conditionalFormatting sqref="B7">
    <cfRule type="duplicateValues" dxfId="2491" priority="3288"/>
  </conditionalFormatting>
  <conditionalFormatting sqref="B7">
    <cfRule type="duplicateValues" dxfId="2490" priority="3287"/>
  </conditionalFormatting>
  <conditionalFormatting sqref="B7">
    <cfRule type="duplicateValues" dxfId="2489" priority="3286"/>
  </conditionalFormatting>
  <conditionalFormatting sqref="B10">
    <cfRule type="duplicateValues" dxfId="2488" priority="3284"/>
  </conditionalFormatting>
  <conditionalFormatting sqref="B10">
    <cfRule type="duplicateValues" dxfId="2487" priority="3283"/>
  </conditionalFormatting>
  <conditionalFormatting sqref="B10">
    <cfRule type="duplicateValues" dxfId="2486" priority="3282"/>
  </conditionalFormatting>
  <conditionalFormatting sqref="B10">
    <cfRule type="duplicateValues" dxfId="2485" priority="3281"/>
  </conditionalFormatting>
  <conditionalFormatting sqref="B10">
    <cfRule type="duplicateValues" dxfId="2484" priority="3280"/>
  </conditionalFormatting>
  <conditionalFormatting sqref="B10">
    <cfRule type="duplicateValues" dxfId="2483" priority="3279"/>
  </conditionalFormatting>
  <conditionalFormatting sqref="B10">
    <cfRule type="duplicateValues" dxfId="2482" priority="3278"/>
  </conditionalFormatting>
  <conditionalFormatting sqref="B10">
    <cfRule type="duplicateValues" dxfId="2481" priority="3277"/>
  </conditionalFormatting>
  <conditionalFormatting sqref="B10">
    <cfRule type="duplicateValues" dxfId="2480" priority="3276"/>
  </conditionalFormatting>
  <conditionalFormatting sqref="B10">
    <cfRule type="duplicateValues" dxfId="2479" priority="3275"/>
  </conditionalFormatting>
  <conditionalFormatting sqref="B10">
    <cfRule type="duplicateValues" dxfId="2478" priority="3274"/>
  </conditionalFormatting>
  <conditionalFormatting sqref="B10">
    <cfRule type="duplicateValues" dxfId="2477" priority="3259"/>
    <cfRule type="duplicateValues" dxfId="2476" priority="3265"/>
    <cfRule type="duplicateValues" dxfId="2475" priority="3266"/>
    <cfRule type="duplicateValues" dxfId="2474" priority="3267"/>
    <cfRule type="duplicateValues" dxfId="2473" priority="3268"/>
    <cfRule type="duplicateValues" dxfId="2472" priority="3269"/>
    <cfRule type="duplicateValues" dxfId="2471" priority="3270"/>
    <cfRule type="duplicateValues" dxfId="2470" priority="3271"/>
    <cfRule type="duplicateValues" dxfId="2469" priority="3272"/>
    <cfRule type="duplicateValues" dxfId="2468" priority="3273"/>
  </conditionalFormatting>
  <conditionalFormatting sqref="B10">
    <cfRule type="duplicateValues" dxfId="2467" priority="3264"/>
  </conditionalFormatting>
  <conditionalFormatting sqref="B10">
    <cfRule type="duplicateValues" dxfId="2466" priority="3263"/>
  </conditionalFormatting>
  <conditionalFormatting sqref="B10">
    <cfRule type="duplicateValues" dxfId="2465" priority="3262"/>
  </conditionalFormatting>
  <conditionalFormatting sqref="B10">
    <cfRule type="duplicateValues" dxfId="2464" priority="3261"/>
  </conditionalFormatting>
  <conditionalFormatting sqref="B10">
    <cfRule type="duplicateValues" dxfId="2463" priority="3258"/>
    <cfRule type="duplicateValues" dxfId="2462" priority="3260"/>
  </conditionalFormatting>
  <conditionalFormatting sqref="B10">
    <cfRule type="duplicateValues" dxfId="2461" priority="3254"/>
    <cfRule type="duplicateValues" dxfId="2460" priority="3255"/>
    <cfRule type="duplicateValues" dxfId="2459" priority="3256"/>
    <cfRule type="duplicateValues" dxfId="2458" priority="3257"/>
  </conditionalFormatting>
  <conditionalFormatting sqref="B10">
    <cfRule type="duplicateValues" dxfId="2457" priority="3252"/>
    <cfRule type="duplicateValues" dxfId="2456" priority="3253"/>
  </conditionalFormatting>
  <conditionalFormatting sqref="B10">
    <cfRule type="duplicateValues" dxfId="2455" priority="3251"/>
  </conditionalFormatting>
  <conditionalFormatting sqref="B10">
    <cfRule type="duplicateValues" dxfId="2454" priority="3237"/>
    <cfRule type="duplicateValues" dxfId="2453" priority="3238"/>
    <cfRule type="duplicateValues" dxfId="2452" priority="3239"/>
    <cfRule type="duplicateValues" dxfId="2451" priority="3240"/>
    <cfRule type="duplicateValues" dxfId="2450" priority="3241"/>
    <cfRule type="duplicateValues" dxfId="2449" priority="3242"/>
    <cfRule type="duplicateValues" dxfId="2448" priority="3243"/>
    <cfRule type="duplicateValues" dxfId="2447" priority="3244"/>
    <cfRule type="duplicateValues" dxfId="2446" priority="3245"/>
    <cfRule type="duplicateValues" dxfId="2445" priority="3246"/>
    <cfRule type="duplicateValues" dxfId="2444" priority="3247"/>
    <cfRule type="duplicateValues" dxfId="2443" priority="3248"/>
    <cfRule type="duplicateValues" dxfId="2442" priority="3249"/>
    <cfRule type="duplicateValues" dxfId="2441" priority="3250"/>
  </conditionalFormatting>
  <conditionalFormatting sqref="B10">
    <cfRule type="duplicateValues" dxfId="2440" priority="3236"/>
  </conditionalFormatting>
  <conditionalFormatting sqref="B10">
    <cfRule type="duplicateValues" dxfId="2439" priority="3235"/>
  </conditionalFormatting>
  <conditionalFormatting sqref="B10">
    <cfRule type="duplicateValues" dxfId="2438" priority="3229"/>
    <cfRule type="duplicateValues" dxfId="2437" priority="3234"/>
  </conditionalFormatting>
  <conditionalFormatting sqref="B10">
    <cfRule type="duplicateValues" dxfId="2436" priority="3233"/>
  </conditionalFormatting>
  <conditionalFormatting sqref="B10">
    <cfRule type="duplicateValues" dxfId="2435" priority="3232"/>
  </conditionalFormatting>
  <conditionalFormatting sqref="B10">
    <cfRule type="duplicateValues" dxfId="2434" priority="3231"/>
  </conditionalFormatting>
  <conditionalFormatting sqref="B10">
    <cfRule type="duplicateValues" dxfId="2433" priority="3230"/>
  </conditionalFormatting>
  <conditionalFormatting sqref="B13">
    <cfRule type="duplicateValues" dxfId="2432" priority="3228"/>
  </conditionalFormatting>
  <conditionalFormatting sqref="B13">
    <cfRule type="duplicateValues" dxfId="2431" priority="3227"/>
  </conditionalFormatting>
  <conditionalFormatting sqref="B13">
    <cfRule type="duplicateValues" dxfId="2430" priority="3226"/>
  </conditionalFormatting>
  <conditionalFormatting sqref="B13">
    <cfRule type="duplicateValues" dxfId="2429" priority="3225"/>
  </conditionalFormatting>
  <conditionalFormatting sqref="B13">
    <cfRule type="duplicateValues" dxfId="2428" priority="3224"/>
  </conditionalFormatting>
  <conditionalFormatting sqref="B13">
    <cfRule type="duplicateValues" dxfId="2427" priority="3223"/>
  </conditionalFormatting>
  <conditionalFormatting sqref="B13">
    <cfRule type="duplicateValues" dxfId="2426" priority="3222"/>
  </conditionalFormatting>
  <conditionalFormatting sqref="B13">
    <cfRule type="duplicateValues" dxfId="2425" priority="3221"/>
  </conditionalFormatting>
  <conditionalFormatting sqref="B13">
    <cfRule type="duplicateValues" dxfId="2424" priority="3220"/>
  </conditionalFormatting>
  <conditionalFormatting sqref="B13">
    <cfRule type="duplicateValues" dxfId="2423" priority="3219"/>
  </conditionalFormatting>
  <conditionalFormatting sqref="B13">
    <cfRule type="duplicateValues" dxfId="2422" priority="3218"/>
  </conditionalFormatting>
  <conditionalFormatting sqref="B13">
    <cfRule type="duplicateValues" dxfId="2421" priority="3203"/>
    <cfRule type="duplicateValues" dxfId="2420" priority="3209"/>
    <cfRule type="duplicateValues" dxfId="2419" priority="3210"/>
    <cfRule type="duplicateValues" dxfId="2418" priority="3211"/>
    <cfRule type="duplicateValues" dxfId="2417" priority="3212"/>
    <cfRule type="duplicateValues" dxfId="2416" priority="3213"/>
    <cfRule type="duplicateValues" dxfId="2415" priority="3214"/>
    <cfRule type="duplicateValues" dxfId="2414" priority="3215"/>
    <cfRule type="duplicateValues" dxfId="2413" priority="3216"/>
    <cfRule type="duplicateValues" dxfId="2412" priority="3217"/>
  </conditionalFormatting>
  <conditionalFormatting sqref="B13">
    <cfRule type="duplicateValues" dxfId="2411" priority="3208"/>
  </conditionalFormatting>
  <conditionalFormatting sqref="B13">
    <cfRule type="duplicateValues" dxfId="2410" priority="3207"/>
  </conditionalFormatting>
  <conditionalFormatting sqref="B13">
    <cfRule type="duplicateValues" dxfId="2409" priority="3206"/>
  </conditionalFormatting>
  <conditionalFormatting sqref="B13">
    <cfRule type="duplicateValues" dxfId="2408" priority="3205"/>
  </conditionalFormatting>
  <conditionalFormatting sqref="B13">
    <cfRule type="duplicateValues" dxfId="2407" priority="3202"/>
    <cfRule type="duplicateValues" dxfId="2406" priority="3204"/>
  </conditionalFormatting>
  <conditionalFormatting sqref="B13">
    <cfRule type="duplicateValues" dxfId="2405" priority="3198"/>
    <cfRule type="duplicateValues" dxfId="2404" priority="3199"/>
    <cfRule type="duplicateValues" dxfId="2403" priority="3200"/>
    <cfRule type="duplicateValues" dxfId="2402" priority="3201"/>
  </conditionalFormatting>
  <conditionalFormatting sqref="B13">
    <cfRule type="duplicateValues" dxfId="2401" priority="3196"/>
    <cfRule type="duplicateValues" dxfId="2400" priority="3197"/>
  </conditionalFormatting>
  <conditionalFormatting sqref="B13">
    <cfRule type="duplicateValues" dxfId="2399" priority="3195"/>
  </conditionalFormatting>
  <conditionalFormatting sqref="B13">
    <cfRule type="duplicateValues" dxfId="2398" priority="3181"/>
    <cfRule type="duplicateValues" dxfId="2397" priority="3182"/>
    <cfRule type="duplicateValues" dxfId="2396" priority="3183"/>
    <cfRule type="duplicateValues" dxfId="2395" priority="3184"/>
    <cfRule type="duplicateValues" dxfId="2394" priority="3185"/>
    <cfRule type="duplicateValues" dxfId="2393" priority="3186"/>
    <cfRule type="duplicateValues" dxfId="2392" priority="3187"/>
    <cfRule type="duplicateValues" dxfId="2391" priority="3188"/>
    <cfRule type="duplicateValues" dxfId="2390" priority="3189"/>
    <cfRule type="duplicateValues" dxfId="2389" priority="3190"/>
    <cfRule type="duplicateValues" dxfId="2388" priority="3191"/>
    <cfRule type="duplicateValues" dxfId="2387" priority="3192"/>
    <cfRule type="duplicateValues" dxfId="2386" priority="3193"/>
    <cfRule type="duplicateValues" dxfId="2385" priority="3194"/>
  </conditionalFormatting>
  <conditionalFormatting sqref="B13">
    <cfRule type="duplicateValues" dxfId="2384" priority="3180"/>
  </conditionalFormatting>
  <conditionalFormatting sqref="B13">
    <cfRule type="duplicateValues" dxfId="2383" priority="3179"/>
  </conditionalFormatting>
  <conditionalFormatting sqref="B13">
    <cfRule type="duplicateValues" dxfId="2382" priority="3173"/>
    <cfRule type="duplicateValues" dxfId="2381" priority="3178"/>
  </conditionalFormatting>
  <conditionalFormatting sqref="B13">
    <cfRule type="duplicateValues" dxfId="2380" priority="3177"/>
  </conditionalFormatting>
  <conditionalFormatting sqref="B13">
    <cfRule type="duplicateValues" dxfId="2379" priority="3176"/>
  </conditionalFormatting>
  <conditionalFormatting sqref="B13">
    <cfRule type="duplicateValues" dxfId="2378" priority="3175"/>
  </conditionalFormatting>
  <conditionalFormatting sqref="B13">
    <cfRule type="duplicateValues" dxfId="2377" priority="3174"/>
  </conditionalFormatting>
  <conditionalFormatting sqref="B16">
    <cfRule type="duplicateValues" dxfId="2376" priority="3172"/>
  </conditionalFormatting>
  <conditionalFormatting sqref="B16">
    <cfRule type="duplicateValues" dxfId="2375" priority="3171"/>
  </conditionalFormatting>
  <conditionalFormatting sqref="B16">
    <cfRule type="duplicateValues" dxfId="2374" priority="3170"/>
  </conditionalFormatting>
  <conditionalFormatting sqref="B16">
    <cfRule type="duplicateValues" dxfId="2373" priority="3169"/>
  </conditionalFormatting>
  <conditionalFormatting sqref="B16">
    <cfRule type="duplicateValues" dxfId="2372" priority="3168"/>
  </conditionalFormatting>
  <conditionalFormatting sqref="B16">
    <cfRule type="duplicateValues" dxfId="2371" priority="3167"/>
  </conditionalFormatting>
  <conditionalFormatting sqref="B16">
    <cfRule type="duplicateValues" dxfId="2370" priority="3166"/>
  </conditionalFormatting>
  <conditionalFormatting sqref="B16">
    <cfRule type="duplicateValues" dxfId="2369" priority="3165"/>
  </conditionalFormatting>
  <conditionalFormatting sqref="B16">
    <cfRule type="duplicateValues" dxfId="2368" priority="3164"/>
  </conditionalFormatting>
  <conditionalFormatting sqref="B16">
    <cfRule type="duplicateValues" dxfId="2367" priority="3163"/>
  </conditionalFormatting>
  <conditionalFormatting sqref="B16">
    <cfRule type="duplicateValues" dxfId="2366" priority="3162"/>
  </conditionalFormatting>
  <conditionalFormatting sqref="B16">
    <cfRule type="duplicateValues" dxfId="2365" priority="3147"/>
    <cfRule type="duplicateValues" dxfId="2364" priority="3153"/>
    <cfRule type="duplicateValues" dxfId="2363" priority="3154"/>
    <cfRule type="duplicateValues" dxfId="2362" priority="3155"/>
    <cfRule type="duplicateValues" dxfId="2361" priority="3156"/>
    <cfRule type="duplicateValues" dxfId="2360" priority="3157"/>
    <cfRule type="duplicateValues" dxfId="2359" priority="3158"/>
    <cfRule type="duplicateValues" dxfId="2358" priority="3159"/>
    <cfRule type="duplicateValues" dxfId="2357" priority="3160"/>
    <cfRule type="duplicateValues" dxfId="2356" priority="3161"/>
  </conditionalFormatting>
  <conditionalFormatting sqref="B16">
    <cfRule type="duplicateValues" dxfId="2355" priority="3152"/>
  </conditionalFormatting>
  <conditionalFormatting sqref="B16">
    <cfRule type="duplicateValues" dxfId="2354" priority="3151"/>
  </conditionalFormatting>
  <conditionalFormatting sqref="B16">
    <cfRule type="duplicateValues" dxfId="2353" priority="3150"/>
  </conditionalFormatting>
  <conditionalFormatting sqref="B16">
    <cfRule type="duplicateValues" dxfId="2352" priority="3149"/>
  </conditionalFormatting>
  <conditionalFormatting sqref="B16">
    <cfRule type="duplicateValues" dxfId="2351" priority="3146"/>
    <cfRule type="duplicateValues" dxfId="2350" priority="3148"/>
  </conditionalFormatting>
  <conditionalFormatting sqref="B16">
    <cfRule type="duplicateValues" dxfId="2349" priority="3142"/>
    <cfRule type="duplicateValues" dxfId="2348" priority="3143"/>
    <cfRule type="duplicateValues" dxfId="2347" priority="3144"/>
    <cfRule type="duplicateValues" dxfId="2346" priority="3145"/>
  </conditionalFormatting>
  <conditionalFormatting sqref="B16">
    <cfRule type="duplicateValues" dxfId="2345" priority="3140"/>
    <cfRule type="duplicateValues" dxfId="2344" priority="3141"/>
  </conditionalFormatting>
  <conditionalFormatting sqref="B16">
    <cfRule type="duplicateValues" dxfId="2343" priority="3139"/>
  </conditionalFormatting>
  <conditionalFormatting sqref="B16">
    <cfRule type="duplicateValues" dxfId="2342" priority="3125"/>
    <cfRule type="duplicateValues" dxfId="2341" priority="3126"/>
    <cfRule type="duplicateValues" dxfId="2340" priority="3127"/>
    <cfRule type="duplicateValues" dxfId="2339" priority="3128"/>
    <cfRule type="duplicateValues" dxfId="2338" priority="3129"/>
    <cfRule type="duplicateValues" dxfId="2337" priority="3130"/>
    <cfRule type="duplicateValues" dxfId="2336" priority="3131"/>
    <cfRule type="duplicateValues" dxfId="2335" priority="3132"/>
    <cfRule type="duplicateValues" dxfId="2334" priority="3133"/>
    <cfRule type="duplicateValues" dxfId="2333" priority="3134"/>
    <cfRule type="duplicateValues" dxfId="2332" priority="3135"/>
    <cfRule type="duplicateValues" dxfId="2331" priority="3136"/>
    <cfRule type="duplicateValues" dxfId="2330" priority="3137"/>
    <cfRule type="duplicateValues" dxfId="2329" priority="3138"/>
  </conditionalFormatting>
  <conditionalFormatting sqref="B16">
    <cfRule type="duplicateValues" dxfId="2328" priority="3124"/>
  </conditionalFormatting>
  <conditionalFormatting sqref="B16">
    <cfRule type="duplicateValues" dxfId="2327" priority="3123"/>
  </conditionalFormatting>
  <conditionalFormatting sqref="B16">
    <cfRule type="duplicateValues" dxfId="2326" priority="3117"/>
    <cfRule type="duplicateValues" dxfId="2325" priority="3122"/>
  </conditionalFormatting>
  <conditionalFormatting sqref="B16">
    <cfRule type="duplicateValues" dxfId="2324" priority="3121"/>
  </conditionalFormatting>
  <conditionalFormatting sqref="B16">
    <cfRule type="duplicateValues" dxfId="2323" priority="3120"/>
  </conditionalFormatting>
  <conditionalFormatting sqref="B16">
    <cfRule type="duplicateValues" dxfId="2322" priority="3119"/>
  </conditionalFormatting>
  <conditionalFormatting sqref="B16">
    <cfRule type="duplicateValues" dxfId="2321" priority="3118"/>
  </conditionalFormatting>
  <conditionalFormatting sqref="B19">
    <cfRule type="duplicateValues" dxfId="2320" priority="3116"/>
  </conditionalFormatting>
  <conditionalFormatting sqref="B19">
    <cfRule type="duplicateValues" dxfId="2319" priority="3115"/>
  </conditionalFormatting>
  <conditionalFormatting sqref="B19">
    <cfRule type="duplicateValues" dxfId="2318" priority="3114"/>
  </conditionalFormatting>
  <conditionalFormatting sqref="B19">
    <cfRule type="duplicateValues" dxfId="2317" priority="3113"/>
  </conditionalFormatting>
  <conditionalFormatting sqref="B19">
    <cfRule type="duplicateValues" dxfId="2316" priority="3112"/>
  </conditionalFormatting>
  <conditionalFormatting sqref="B19">
    <cfRule type="duplicateValues" dxfId="2315" priority="3111"/>
  </conditionalFormatting>
  <conditionalFormatting sqref="B19">
    <cfRule type="duplicateValues" dxfId="2314" priority="3110"/>
  </conditionalFormatting>
  <conditionalFormatting sqref="B19">
    <cfRule type="duplicateValues" dxfId="2313" priority="3109"/>
  </conditionalFormatting>
  <conditionalFormatting sqref="B19">
    <cfRule type="duplicateValues" dxfId="2312" priority="3108"/>
  </conditionalFormatting>
  <conditionalFormatting sqref="B19">
    <cfRule type="duplicateValues" dxfId="2311" priority="3107"/>
  </conditionalFormatting>
  <conditionalFormatting sqref="B19">
    <cfRule type="duplicateValues" dxfId="2310" priority="3106"/>
  </conditionalFormatting>
  <conditionalFormatting sqref="B19">
    <cfRule type="duplicateValues" dxfId="2309" priority="3091"/>
    <cfRule type="duplicateValues" dxfId="2308" priority="3097"/>
    <cfRule type="duplicateValues" dxfId="2307" priority="3098"/>
    <cfRule type="duplicateValues" dxfId="2306" priority="3099"/>
    <cfRule type="duplicateValues" dxfId="2305" priority="3100"/>
    <cfRule type="duplicateValues" dxfId="2304" priority="3101"/>
    <cfRule type="duplicateValues" dxfId="2303" priority="3102"/>
    <cfRule type="duplicateValues" dxfId="2302" priority="3103"/>
    <cfRule type="duplicateValues" dxfId="2301" priority="3104"/>
    <cfRule type="duplicateValues" dxfId="2300" priority="3105"/>
  </conditionalFormatting>
  <conditionalFormatting sqref="B19">
    <cfRule type="duplicateValues" dxfId="2299" priority="3096"/>
  </conditionalFormatting>
  <conditionalFormatting sqref="B19">
    <cfRule type="duplicateValues" dxfId="2298" priority="3095"/>
  </conditionalFormatting>
  <conditionalFormatting sqref="B19">
    <cfRule type="duplicateValues" dxfId="2297" priority="3094"/>
  </conditionalFormatting>
  <conditionalFormatting sqref="B19">
    <cfRule type="duplicateValues" dxfId="2296" priority="3093"/>
  </conditionalFormatting>
  <conditionalFormatting sqref="B19">
    <cfRule type="duplicateValues" dxfId="2295" priority="3090"/>
    <cfRule type="duplicateValues" dxfId="2294" priority="3092"/>
  </conditionalFormatting>
  <conditionalFormatting sqref="B19">
    <cfRule type="duplicateValues" dxfId="2293" priority="3086"/>
    <cfRule type="duplicateValues" dxfId="2292" priority="3087"/>
    <cfRule type="duplicateValues" dxfId="2291" priority="3088"/>
    <cfRule type="duplicateValues" dxfId="2290" priority="3089"/>
  </conditionalFormatting>
  <conditionalFormatting sqref="B19">
    <cfRule type="duplicateValues" dxfId="2289" priority="3084"/>
    <cfRule type="duplicateValues" dxfId="2288" priority="3085"/>
  </conditionalFormatting>
  <conditionalFormatting sqref="B19">
    <cfRule type="duplicateValues" dxfId="2287" priority="3083"/>
  </conditionalFormatting>
  <conditionalFormatting sqref="B19">
    <cfRule type="duplicateValues" dxfId="2286" priority="3069"/>
    <cfRule type="duplicateValues" dxfId="2285" priority="3070"/>
    <cfRule type="duplicateValues" dxfId="2284" priority="3071"/>
    <cfRule type="duplicateValues" dxfId="2283" priority="3072"/>
    <cfRule type="duplicateValues" dxfId="2282" priority="3073"/>
    <cfRule type="duplicateValues" dxfId="2281" priority="3074"/>
    <cfRule type="duplicateValues" dxfId="2280" priority="3075"/>
    <cfRule type="duplicateValues" dxfId="2279" priority="3076"/>
    <cfRule type="duplicateValues" dxfId="2278" priority="3077"/>
    <cfRule type="duplicateValues" dxfId="2277" priority="3078"/>
    <cfRule type="duplicateValues" dxfId="2276" priority="3079"/>
    <cfRule type="duplicateValues" dxfId="2275" priority="3080"/>
    <cfRule type="duplicateValues" dxfId="2274" priority="3081"/>
    <cfRule type="duplicateValues" dxfId="2273" priority="3082"/>
  </conditionalFormatting>
  <conditionalFormatting sqref="B19">
    <cfRule type="duplicateValues" dxfId="2272" priority="3068"/>
  </conditionalFormatting>
  <conditionalFormatting sqref="B19">
    <cfRule type="duplicateValues" dxfId="2271" priority="3067"/>
  </conditionalFormatting>
  <conditionalFormatting sqref="B19">
    <cfRule type="duplicateValues" dxfId="2270" priority="3061"/>
    <cfRule type="duplicateValues" dxfId="2269" priority="3066"/>
  </conditionalFormatting>
  <conditionalFormatting sqref="B19">
    <cfRule type="duplicateValues" dxfId="2268" priority="3065"/>
  </conditionalFormatting>
  <conditionalFormatting sqref="B19">
    <cfRule type="duplicateValues" dxfId="2267" priority="3064"/>
  </conditionalFormatting>
  <conditionalFormatting sqref="B19">
    <cfRule type="duplicateValues" dxfId="2266" priority="3063"/>
  </conditionalFormatting>
  <conditionalFormatting sqref="B19">
    <cfRule type="duplicateValues" dxfId="2265" priority="3062"/>
  </conditionalFormatting>
  <conditionalFormatting sqref="B22">
    <cfRule type="duplicateValues" dxfId="2264" priority="3060"/>
  </conditionalFormatting>
  <conditionalFormatting sqref="B22">
    <cfRule type="duplicateValues" dxfId="2263" priority="3059"/>
  </conditionalFormatting>
  <conditionalFormatting sqref="B22">
    <cfRule type="duplicateValues" dxfId="2262" priority="3058"/>
  </conditionalFormatting>
  <conditionalFormatting sqref="B22">
    <cfRule type="duplicateValues" dxfId="2261" priority="3057"/>
  </conditionalFormatting>
  <conditionalFormatting sqref="B22">
    <cfRule type="duplicateValues" dxfId="2260" priority="3056"/>
  </conditionalFormatting>
  <conditionalFormatting sqref="B22">
    <cfRule type="duplicateValues" dxfId="2259" priority="3055"/>
  </conditionalFormatting>
  <conditionalFormatting sqref="B22">
    <cfRule type="duplicateValues" dxfId="2258" priority="3054"/>
  </conditionalFormatting>
  <conditionalFormatting sqref="B22">
    <cfRule type="duplicateValues" dxfId="2257" priority="3053"/>
  </conditionalFormatting>
  <conditionalFormatting sqref="B22">
    <cfRule type="duplicateValues" dxfId="2256" priority="3052"/>
  </conditionalFormatting>
  <conditionalFormatting sqref="B22">
    <cfRule type="duplicateValues" dxfId="2255" priority="3051"/>
  </conditionalFormatting>
  <conditionalFormatting sqref="B22">
    <cfRule type="duplicateValues" dxfId="2254" priority="3050"/>
  </conditionalFormatting>
  <conditionalFormatting sqref="B22">
    <cfRule type="duplicateValues" dxfId="2253" priority="3035"/>
    <cfRule type="duplicateValues" dxfId="2252" priority="3041"/>
    <cfRule type="duplicateValues" dxfId="2251" priority="3042"/>
    <cfRule type="duplicateValues" dxfId="2250" priority="3043"/>
    <cfRule type="duplicateValues" dxfId="2249" priority="3044"/>
    <cfRule type="duplicateValues" dxfId="2248" priority="3045"/>
    <cfRule type="duplicateValues" dxfId="2247" priority="3046"/>
    <cfRule type="duplicateValues" dxfId="2246" priority="3047"/>
    <cfRule type="duplicateValues" dxfId="2245" priority="3048"/>
    <cfRule type="duplicateValues" dxfId="2244" priority="3049"/>
  </conditionalFormatting>
  <conditionalFormatting sqref="B22">
    <cfRule type="duplicateValues" dxfId="2243" priority="3040"/>
  </conditionalFormatting>
  <conditionalFormatting sqref="B22">
    <cfRule type="duplicateValues" dxfId="2242" priority="3039"/>
  </conditionalFormatting>
  <conditionalFormatting sqref="B22">
    <cfRule type="duplicateValues" dxfId="2241" priority="3038"/>
  </conditionalFormatting>
  <conditionalFormatting sqref="B22">
    <cfRule type="duplicateValues" dxfId="2240" priority="3037"/>
  </conditionalFormatting>
  <conditionalFormatting sqref="B22">
    <cfRule type="duplicateValues" dxfId="2239" priority="3034"/>
    <cfRule type="duplicateValues" dxfId="2238" priority="3036"/>
  </conditionalFormatting>
  <conditionalFormatting sqref="B22">
    <cfRule type="duplicateValues" dxfId="2237" priority="3030"/>
    <cfRule type="duplicateValues" dxfId="2236" priority="3031"/>
    <cfRule type="duplicateValues" dxfId="2235" priority="3032"/>
    <cfRule type="duplicateValues" dxfId="2234" priority="3033"/>
  </conditionalFormatting>
  <conditionalFormatting sqref="B22">
    <cfRule type="duplicateValues" dxfId="2233" priority="3028"/>
    <cfRule type="duplicateValues" dxfId="2232" priority="3029"/>
  </conditionalFormatting>
  <conditionalFormatting sqref="B22">
    <cfRule type="duplicateValues" dxfId="2231" priority="3027"/>
  </conditionalFormatting>
  <conditionalFormatting sqref="B22">
    <cfRule type="duplicateValues" dxfId="2230" priority="3013"/>
    <cfRule type="duplicateValues" dxfId="2229" priority="3014"/>
    <cfRule type="duplicateValues" dxfId="2228" priority="3015"/>
    <cfRule type="duplicateValues" dxfId="2227" priority="3016"/>
    <cfRule type="duplicateValues" dxfId="2226" priority="3017"/>
    <cfRule type="duplicateValues" dxfId="2225" priority="3018"/>
    <cfRule type="duplicateValues" dxfId="2224" priority="3019"/>
    <cfRule type="duplicateValues" dxfId="2223" priority="3020"/>
    <cfRule type="duplicateValues" dxfId="2222" priority="3021"/>
    <cfRule type="duplicateValues" dxfId="2221" priority="3022"/>
    <cfRule type="duplicateValues" dxfId="2220" priority="3023"/>
    <cfRule type="duplicateValues" dxfId="2219" priority="3024"/>
    <cfRule type="duplicateValues" dxfId="2218" priority="3025"/>
    <cfRule type="duplicateValues" dxfId="2217" priority="3026"/>
  </conditionalFormatting>
  <conditionalFormatting sqref="B22">
    <cfRule type="duplicateValues" dxfId="2216" priority="3012"/>
  </conditionalFormatting>
  <conditionalFormatting sqref="B22">
    <cfRule type="duplicateValues" dxfId="2215" priority="3011"/>
  </conditionalFormatting>
  <conditionalFormatting sqref="B22">
    <cfRule type="duplicateValues" dxfId="2214" priority="3005"/>
    <cfRule type="duplicateValues" dxfId="2213" priority="3010"/>
  </conditionalFormatting>
  <conditionalFormatting sqref="B22">
    <cfRule type="duplicateValues" dxfId="2212" priority="3009"/>
  </conditionalFormatting>
  <conditionalFormatting sqref="B22">
    <cfRule type="duplicateValues" dxfId="2211" priority="3008"/>
  </conditionalFormatting>
  <conditionalFormatting sqref="B22">
    <cfRule type="duplicateValues" dxfId="2210" priority="3007"/>
  </conditionalFormatting>
  <conditionalFormatting sqref="B22">
    <cfRule type="duplicateValues" dxfId="2209" priority="3006"/>
  </conditionalFormatting>
  <conditionalFormatting sqref="B25">
    <cfRule type="duplicateValues" dxfId="2208" priority="3004"/>
  </conditionalFormatting>
  <conditionalFormatting sqref="B25">
    <cfRule type="duplicateValues" dxfId="2207" priority="3003"/>
  </conditionalFormatting>
  <conditionalFormatting sqref="B25">
    <cfRule type="duplicateValues" dxfId="2206" priority="3002"/>
  </conditionalFormatting>
  <conditionalFormatting sqref="B25">
    <cfRule type="duplicateValues" dxfId="2205" priority="3001"/>
  </conditionalFormatting>
  <conditionalFormatting sqref="B25">
    <cfRule type="duplicateValues" dxfId="2204" priority="3000"/>
  </conditionalFormatting>
  <conditionalFormatting sqref="B25">
    <cfRule type="duplicateValues" dxfId="2203" priority="2999"/>
  </conditionalFormatting>
  <conditionalFormatting sqref="B25">
    <cfRule type="duplicateValues" dxfId="2202" priority="2998"/>
  </conditionalFormatting>
  <conditionalFormatting sqref="B25">
    <cfRule type="duplicateValues" dxfId="2201" priority="2997"/>
  </conditionalFormatting>
  <conditionalFormatting sqref="B25">
    <cfRule type="duplicateValues" dxfId="2200" priority="2996"/>
  </conditionalFormatting>
  <conditionalFormatting sqref="B25">
    <cfRule type="duplicateValues" dxfId="2199" priority="2995"/>
  </conditionalFormatting>
  <conditionalFormatting sqref="B25">
    <cfRule type="duplicateValues" dxfId="2198" priority="2994"/>
  </conditionalFormatting>
  <conditionalFormatting sqref="B25">
    <cfRule type="duplicateValues" dxfId="2197" priority="2979"/>
    <cfRule type="duplicateValues" dxfId="2196" priority="2985"/>
    <cfRule type="duplicateValues" dxfId="2195" priority="2986"/>
    <cfRule type="duplicateValues" dxfId="2194" priority="2987"/>
    <cfRule type="duplicateValues" dxfId="2193" priority="2988"/>
    <cfRule type="duplicateValues" dxfId="2192" priority="2989"/>
    <cfRule type="duplicateValues" dxfId="2191" priority="2990"/>
    <cfRule type="duplicateValues" dxfId="2190" priority="2991"/>
    <cfRule type="duplicateValues" dxfId="2189" priority="2992"/>
    <cfRule type="duplicateValues" dxfId="2188" priority="2993"/>
  </conditionalFormatting>
  <conditionalFormatting sqref="B25">
    <cfRule type="duplicateValues" dxfId="2187" priority="2984"/>
  </conditionalFormatting>
  <conditionalFormatting sqref="B25">
    <cfRule type="duplicateValues" dxfId="2186" priority="2983"/>
  </conditionalFormatting>
  <conditionalFormatting sqref="B25">
    <cfRule type="duplicateValues" dxfId="2185" priority="2982"/>
  </conditionalFormatting>
  <conditionalFormatting sqref="B25">
    <cfRule type="duplicateValues" dxfId="2184" priority="2981"/>
  </conditionalFormatting>
  <conditionalFormatting sqref="B25">
    <cfRule type="duplicateValues" dxfId="2183" priority="2978"/>
    <cfRule type="duplicateValues" dxfId="2182" priority="2980"/>
  </conditionalFormatting>
  <conditionalFormatting sqref="B25">
    <cfRule type="duplicateValues" dxfId="2181" priority="2974"/>
    <cfRule type="duplicateValues" dxfId="2180" priority="2975"/>
    <cfRule type="duplicateValues" dxfId="2179" priority="2976"/>
    <cfRule type="duplicateValues" dxfId="2178" priority="2977"/>
  </conditionalFormatting>
  <conditionalFormatting sqref="B25">
    <cfRule type="duplicateValues" dxfId="2177" priority="2972"/>
    <cfRule type="duplicateValues" dxfId="2176" priority="2973"/>
  </conditionalFormatting>
  <conditionalFormatting sqref="B25">
    <cfRule type="duplicateValues" dxfId="2175" priority="2971"/>
  </conditionalFormatting>
  <conditionalFormatting sqref="B25">
    <cfRule type="duplicateValues" dxfId="2174" priority="2957"/>
    <cfRule type="duplicateValues" dxfId="2173" priority="2958"/>
    <cfRule type="duplicateValues" dxfId="2172" priority="2959"/>
    <cfRule type="duplicateValues" dxfId="2171" priority="2960"/>
    <cfRule type="duplicateValues" dxfId="2170" priority="2961"/>
    <cfRule type="duplicateValues" dxfId="2169" priority="2962"/>
    <cfRule type="duplicateValues" dxfId="2168" priority="2963"/>
    <cfRule type="duplicateValues" dxfId="2167" priority="2964"/>
    <cfRule type="duplicateValues" dxfId="2166" priority="2965"/>
    <cfRule type="duplicateValues" dxfId="2165" priority="2966"/>
    <cfRule type="duplicateValues" dxfId="2164" priority="2967"/>
    <cfRule type="duplicateValues" dxfId="2163" priority="2968"/>
    <cfRule type="duplicateValues" dxfId="2162" priority="2969"/>
    <cfRule type="duplicateValues" dxfId="2161" priority="2970"/>
  </conditionalFormatting>
  <conditionalFormatting sqref="B25">
    <cfRule type="duplicateValues" dxfId="2160" priority="2956"/>
  </conditionalFormatting>
  <conditionalFormatting sqref="B25">
    <cfRule type="duplicateValues" dxfId="2159" priority="2955"/>
  </conditionalFormatting>
  <conditionalFormatting sqref="B25">
    <cfRule type="duplicateValues" dxfId="2158" priority="2949"/>
    <cfRule type="duplicateValues" dxfId="2157" priority="2954"/>
  </conditionalFormatting>
  <conditionalFormatting sqref="B25">
    <cfRule type="duplicateValues" dxfId="2156" priority="2953"/>
  </conditionalFormatting>
  <conditionalFormatting sqref="B25">
    <cfRule type="duplicateValues" dxfId="2155" priority="2952"/>
  </conditionalFormatting>
  <conditionalFormatting sqref="B25">
    <cfRule type="duplicateValues" dxfId="2154" priority="2951"/>
  </conditionalFormatting>
  <conditionalFormatting sqref="B25">
    <cfRule type="duplicateValues" dxfId="2153" priority="2950"/>
  </conditionalFormatting>
  <conditionalFormatting sqref="B28">
    <cfRule type="duplicateValues" dxfId="2152" priority="2948"/>
  </conditionalFormatting>
  <conditionalFormatting sqref="B28">
    <cfRule type="duplicateValues" dxfId="2151" priority="2947"/>
  </conditionalFormatting>
  <conditionalFormatting sqref="B28">
    <cfRule type="duplicateValues" dxfId="2150" priority="2946"/>
  </conditionalFormatting>
  <conditionalFormatting sqref="B28">
    <cfRule type="duplicateValues" dxfId="2149" priority="2945"/>
  </conditionalFormatting>
  <conditionalFormatting sqref="B28">
    <cfRule type="duplicateValues" dxfId="2148" priority="2944"/>
  </conditionalFormatting>
  <conditionalFormatting sqref="B28">
    <cfRule type="duplicateValues" dxfId="2147" priority="2943"/>
  </conditionalFormatting>
  <conditionalFormatting sqref="B28">
    <cfRule type="duplicateValues" dxfId="2146" priority="2942"/>
  </conditionalFormatting>
  <conditionalFormatting sqref="B28">
    <cfRule type="duplicateValues" dxfId="2145" priority="2941"/>
  </conditionalFormatting>
  <conditionalFormatting sqref="B28">
    <cfRule type="duplicateValues" dxfId="2144" priority="2940"/>
  </conditionalFormatting>
  <conditionalFormatting sqref="B28">
    <cfRule type="duplicateValues" dxfId="2143" priority="2939"/>
  </conditionalFormatting>
  <conditionalFormatting sqref="B28">
    <cfRule type="duplicateValues" dxfId="2142" priority="2938"/>
  </conditionalFormatting>
  <conditionalFormatting sqref="B28">
    <cfRule type="duplicateValues" dxfId="2141" priority="2923"/>
    <cfRule type="duplicateValues" dxfId="2140" priority="2929"/>
    <cfRule type="duplicateValues" dxfId="2139" priority="2930"/>
    <cfRule type="duplicateValues" dxfId="2138" priority="2931"/>
    <cfRule type="duplicateValues" dxfId="2137" priority="2932"/>
    <cfRule type="duplicateValues" dxfId="2136" priority="2933"/>
    <cfRule type="duplicateValues" dxfId="2135" priority="2934"/>
    <cfRule type="duplicateValues" dxfId="2134" priority="2935"/>
    <cfRule type="duplicateValues" dxfId="2133" priority="2936"/>
    <cfRule type="duplicateValues" dxfId="2132" priority="2937"/>
  </conditionalFormatting>
  <conditionalFormatting sqref="B28">
    <cfRule type="duplicateValues" dxfId="2131" priority="2928"/>
  </conditionalFormatting>
  <conditionalFormatting sqref="B28">
    <cfRule type="duplicateValues" dxfId="2130" priority="2927"/>
  </conditionalFormatting>
  <conditionalFormatting sqref="B28">
    <cfRule type="duplicateValues" dxfId="2129" priority="2926"/>
  </conditionalFormatting>
  <conditionalFormatting sqref="B28">
    <cfRule type="duplicateValues" dxfId="2128" priority="2925"/>
  </conditionalFormatting>
  <conditionalFormatting sqref="B28">
    <cfRule type="duplicateValues" dxfId="2127" priority="2922"/>
    <cfRule type="duplicateValues" dxfId="2126" priority="2924"/>
  </conditionalFormatting>
  <conditionalFormatting sqref="B28">
    <cfRule type="duplicateValues" dxfId="2125" priority="2918"/>
    <cfRule type="duplicateValues" dxfId="2124" priority="2919"/>
    <cfRule type="duplicateValues" dxfId="2123" priority="2920"/>
    <cfRule type="duplicateValues" dxfId="2122" priority="2921"/>
  </conditionalFormatting>
  <conditionalFormatting sqref="B28">
    <cfRule type="duplicateValues" dxfId="2121" priority="2916"/>
    <cfRule type="duplicateValues" dxfId="2120" priority="2917"/>
  </conditionalFormatting>
  <conditionalFormatting sqref="B28">
    <cfRule type="duplicateValues" dxfId="2119" priority="2915"/>
  </conditionalFormatting>
  <conditionalFormatting sqref="B28">
    <cfRule type="duplicateValues" dxfId="2118" priority="2901"/>
    <cfRule type="duplicateValues" dxfId="2117" priority="2902"/>
    <cfRule type="duplicateValues" dxfId="2116" priority="2903"/>
    <cfRule type="duplicateValues" dxfId="2115" priority="2904"/>
    <cfRule type="duplicateValues" dxfId="2114" priority="2905"/>
    <cfRule type="duplicateValues" dxfId="2113" priority="2906"/>
    <cfRule type="duplicateValues" dxfId="2112" priority="2907"/>
    <cfRule type="duplicateValues" dxfId="2111" priority="2908"/>
    <cfRule type="duplicateValues" dxfId="2110" priority="2909"/>
    <cfRule type="duplicateValues" dxfId="2109" priority="2910"/>
    <cfRule type="duplicateValues" dxfId="2108" priority="2911"/>
    <cfRule type="duplicateValues" dxfId="2107" priority="2912"/>
    <cfRule type="duplicateValues" dxfId="2106" priority="2913"/>
    <cfRule type="duplicateValues" dxfId="2105" priority="2914"/>
  </conditionalFormatting>
  <conditionalFormatting sqref="B28">
    <cfRule type="duplicateValues" dxfId="2104" priority="2900"/>
  </conditionalFormatting>
  <conditionalFormatting sqref="B28">
    <cfRule type="duplicateValues" dxfId="2103" priority="2899"/>
  </conditionalFormatting>
  <conditionalFormatting sqref="B28">
    <cfRule type="duplicateValues" dxfId="2102" priority="2893"/>
    <cfRule type="duplicateValues" dxfId="2101" priority="2898"/>
  </conditionalFormatting>
  <conditionalFormatting sqref="B28">
    <cfRule type="duplicateValues" dxfId="2100" priority="2897"/>
  </conditionalFormatting>
  <conditionalFormatting sqref="B28">
    <cfRule type="duplicateValues" dxfId="2099" priority="2896"/>
  </conditionalFormatting>
  <conditionalFormatting sqref="B28">
    <cfRule type="duplicateValues" dxfId="2098" priority="2895"/>
  </conditionalFormatting>
  <conditionalFormatting sqref="B28">
    <cfRule type="duplicateValues" dxfId="2097" priority="2894"/>
  </conditionalFormatting>
  <conditionalFormatting sqref="B31">
    <cfRule type="duplicateValues" dxfId="2096" priority="2892"/>
  </conditionalFormatting>
  <conditionalFormatting sqref="B31">
    <cfRule type="duplicateValues" dxfId="2095" priority="2891"/>
  </conditionalFormatting>
  <conditionalFormatting sqref="B31">
    <cfRule type="duplicateValues" dxfId="2094" priority="2890"/>
  </conditionalFormatting>
  <conditionalFormatting sqref="B31">
    <cfRule type="duplicateValues" dxfId="2093" priority="2889"/>
  </conditionalFormatting>
  <conditionalFormatting sqref="B31">
    <cfRule type="duplicateValues" dxfId="2092" priority="2888"/>
  </conditionalFormatting>
  <conditionalFormatting sqref="B31">
    <cfRule type="duplicateValues" dxfId="2091" priority="2887"/>
  </conditionalFormatting>
  <conditionalFormatting sqref="B31">
    <cfRule type="duplicateValues" dxfId="2090" priority="2886"/>
  </conditionalFormatting>
  <conditionalFormatting sqref="B31">
    <cfRule type="duplicateValues" dxfId="2089" priority="2885"/>
  </conditionalFormatting>
  <conditionalFormatting sqref="B31">
    <cfRule type="duplicateValues" dxfId="2088" priority="2884"/>
  </conditionalFormatting>
  <conditionalFormatting sqref="B31">
    <cfRule type="duplicateValues" dxfId="2087" priority="2883"/>
  </conditionalFormatting>
  <conditionalFormatting sqref="B31">
    <cfRule type="duplicateValues" dxfId="2086" priority="2882"/>
  </conditionalFormatting>
  <conditionalFormatting sqref="B31">
    <cfRule type="duplicateValues" dxfId="2085" priority="2867"/>
    <cfRule type="duplicateValues" dxfId="2084" priority="2873"/>
    <cfRule type="duplicateValues" dxfId="2083" priority="2874"/>
    <cfRule type="duplicateValues" dxfId="2082" priority="2875"/>
    <cfRule type="duplicateValues" dxfId="2081" priority="2876"/>
    <cfRule type="duplicateValues" dxfId="2080" priority="2877"/>
    <cfRule type="duplicateValues" dxfId="2079" priority="2878"/>
    <cfRule type="duplicateValues" dxfId="2078" priority="2879"/>
    <cfRule type="duplicateValues" dxfId="2077" priority="2880"/>
    <cfRule type="duplicateValues" dxfId="2076" priority="2881"/>
  </conditionalFormatting>
  <conditionalFormatting sqref="B31">
    <cfRule type="duplicateValues" dxfId="2075" priority="2872"/>
  </conditionalFormatting>
  <conditionalFormatting sqref="B31">
    <cfRule type="duplicateValues" dxfId="2074" priority="2871"/>
  </conditionalFormatting>
  <conditionalFormatting sqref="B31">
    <cfRule type="duplicateValues" dxfId="2073" priority="2870"/>
  </conditionalFormatting>
  <conditionalFormatting sqref="B31">
    <cfRule type="duplicateValues" dxfId="2072" priority="2869"/>
  </conditionalFormatting>
  <conditionalFormatting sqref="B31">
    <cfRule type="duplicateValues" dxfId="2071" priority="2866"/>
    <cfRule type="duplicateValues" dxfId="2070" priority="2868"/>
  </conditionalFormatting>
  <conditionalFormatting sqref="B31">
    <cfRule type="duplicateValues" dxfId="2069" priority="2862"/>
    <cfRule type="duplicateValues" dxfId="2068" priority="2863"/>
    <cfRule type="duplicateValues" dxfId="2067" priority="2864"/>
    <cfRule type="duplicateValues" dxfId="2066" priority="2865"/>
  </conditionalFormatting>
  <conditionalFormatting sqref="B31">
    <cfRule type="duplicateValues" dxfId="2065" priority="2860"/>
    <cfRule type="duplicateValues" dxfId="2064" priority="2861"/>
  </conditionalFormatting>
  <conditionalFormatting sqref="B31">
    <cfRule type="duplicateValues" dxfId="2063" priority="2859"/>
  </conditionalFormatting>
  <conditionalFormatting sqref="B31">
    <cfRule type="duplicateValues" dxfId="2062" priority="2845"/>
    <cfRule type="duplicateValues" dxfId="2061" priority="2846"/>
    <cfRule type="duplicateValues" dxfId="2060" priority="2847"/>
    <cfRule type="duplicateValues" dxfId="2059" priority="2848"/>
    <cfRule type="duplicateValues" dxfId="2058" priority="2849"/>
    <cfRule type="duplicateValues" dxfId="2057" priority="2850"/>
    <cfRule type="duplicateValues" dxfId="2056" priority="2851"/>
    <cfRule type="duplicateValues" dxfId="2055" priority="2852"/>
    <cfRule type="duplicateValues" dxfId="2054" priority="2853"/>
    <cfRule type="duplicateValues" dxfId="2053" priority="2854"/>
    <cfRule type="duplicateValues" dxfId="2052" priority="2855"/>
    <cfRule type="duplicateValues" dxfId="2051" priority="2856"/>
    <cfRule type="duplicateValues" dxfId="2050" priority="2857"/>
    <cfRule type="duplicateValues" dxfId="2049" priority="2858"/>
  </conditionalFormatting>
  <conditionalFormatting sqref="B31">
    <cfRule type="duplicateValues" dxfId="2048" priority="2844"/>
  </conditionalFormatting>
  <conditionalFormatting sqref="B31">
    <cfRule type="duplicateValues" dxfId="2047" priority="2843"/>
  </conditionalFormatting>
  <conditionalFormatting sqref="B31">
    <cfRule type="duplicateValues" dxfId="2046" priority="2837"/>
    <cfRule type="duplicateValues" dxfId="2045" priority="2842"/>
  </conditionalFormatting>
  <conditionalFormatting sqref="B31">
    <cfRule type="duplicateValues" dxfId="2044" priority="2841"/>
  </conditionalFormatting>
  <conditionalFormatting sqref="B31">
    <cfRule type="duplicateValues" dxfId="2043" priority="2840"/>
  </conditionalFormatting>
  <conditionalFormatting sqref="B31">
    <cfRule type="duplicateValues" dxfId="2042" priority="2839"/>
  </conditionalFormatting>
  <conditionalFormatting sqref="B31">
    <cfRule type="duplicateValues" dxfId="2041" priority="2838"/>
  </conditionalFormatting>
  <conditionalFormatting sqref="B34">
    <cfRule type="duplicateValues" dxfId="2040" priority="2836"/>
  </conditionalFormatting>
  <conditionalFormatting sqref="B34">
    <cfRule type="duplicateValues" dxfId="2039" priority="2835"/>
  </conditionalFormatting>
  <conditionalFormatting sqref="B34">
    <cfRule type="duplicateValues" dxfId="2038" priority="2834"/>
  </conditionalFormatting>
  <conditionalFormatting sqref="B34">
    <cfRule type="duplicateValues" dxfId="2037" priority="2833"/>
  </conditionalFormatting>
  <conditionalFormatting sqref="B34">
    <cfRule type="duplicateValues" dxfId="2036" priority="2832"/>
  </conditionalFormatting>
  <conditionalFormatting sqref="B34">
    <cfRule type="duplicateValues" dxfId="2035" priority="2831"/>
  </conditionalFormatting>
  <conditionalFormatting sqref="B34">
    <cfRule type="duplicateValues" dxfId="2034" priority="2830"/>
  </conditionalFormatting>
  <conditionalFormatting sqref="B34">
    <cfRule type="duplicateValues" dxfId="2033" priority="2829"/>
  </conditionalFormatting>
  <conditionalFormatting sqref="B34">
    <cfRule type="duplicateValues" dxfId="2032" priority="2828"/>
  </conditionalFormatting>
  <conditionalFormatting sqref="B34">
    <cfRule type="duplicateValues" dxfId="2031" priority="2827"/>
  </conditionalFormatting>
  <conditionalFormatting sqref="B34">
    <cfRule type="duplicateValues" dxfId="2030" priority="2826"/>
  </conditionalFormatting>
  <conditionalFormatting sqref="B34">
    <cfRule type="duplicateValues" dxfId="2029" priority="2811"/>
    <cfRule type="duplicateValues" dxfId="2028" priority="2817"/>
    <cfRule type="duplicateValues" dxfId="2027" priority="2818"/>
    <cfRule type="duplicateValues" dxfId="2026" priority="2819"/>
    <cfRule type="duplicateValues" dxfId="2025" priority="2820"/>
    <cfRule type="duplicateValues" dxfId="2024" priority="2821"/>
    <cfRule type="duplicateValues" dxfId="2023" priority="2822"/>
    <cfRule type="duplicateValues" dxfId="2022" priority="2823"/>
    <cfRule type="duplicateValues" dxfId="2021" priority="2824"/>
    <cfRule type="duplicateValues" dxfId="2020" priority="2825"/>
  </conditionalFormatting>
  <conditionalFormatting sqref="B34">
    <cfRule type="duplicateValues" dxfId="2019" priority="2816"/>
  </conditionalFormatting>
  <conditionalFormatting sqref="B34">
    <cfRule type="duplicateValues" dxfId="2018" priority="2815"/>
  </conditionalFormatting>
  <conditionalFormatting sqref="B34">
    <cfRule type="duplicateValues" dxfId="2017" priority="2814"/>
  </conditionalFormatting>
  <conditionalFormatting sqref="B34">
    <cfRule type="duplicateValues" dxfId="2016" priority="2813"/>
  </conditionalFormatting>
  <conditionalFormatting sqref="B34">
    <cfRule type="duplicateValues" dxfId="2015" priority="2810"/>
    <cfRule type="duplicateValues" dxfId="2014" priority="2812"/>
  </conditionalFormatting>
  <conditionalFormatting sqref="B34">
    <cfRule type="duplicateValues" dxfId="2013" priority="2806"/>
    <cfRule type="duplicateValues" dxfId="2012" priority="2807"/>
    <cfRule type="duplicateValues" dxfId="2011" priority="2808"/>
    <cfRule type="duplicateValues" dxfId="2010" priority="2809"/>
  </conditionalFormatting>
  <conditionalFormatting sqref="B34">
    <cfRule type="duplicateValues" dxfId="2009" priority="2804"/>
    <cfRule type="duplicateValues" dxfId="2008" priority="2805"/>
  </conditionalFormatting>
  <conditionalFormatting sqref="B34">
    <cfRule type="duplicateValues" dxfId="2007" priority="2803"/>
  </conditionalFormatting>
  <conditionalFormatting sqref="B34">
    <cfRule type="duplicateValues" dxfId="2006" priority="2789"/>
    <cfRule type="duplicateValues" dxfId="2005" priority="2790"/>
    <cfRule type="duplicateValues" dxfId="2004" priority="2791"/>
    <cfRule type="duplicateValues" dxfId="2003" priority="2792"/>
    <cfRule type="duplicateValues" dxfId="2002" priority="2793"/>
    <cfRule type="duplicateValues" dxfId="2001" priority="2794"/>
    <cfRule type="duplicateValues" dxfId="2000" priority="2795"/>
    <cfRule type="duplicateValues" dxfId="1999" priority="2796"/>
    <cfRule type="duplicateValues" dxfId="1998" priority="2797"/>
    <cfRule type="duplicateValues" dxfId="1997" priority="2798"/>
    <cfRule type="duplicateValues" dxfId="1996" priority="2799"/>
    <cfRule type="duplicateValues" dxfId="1995" priority="2800"/>
    <cfRule type="duplicateValues" dxfId="1994" priority="2801"/>
    <cfRule type="duplicateValues" dxfId="1993" priority="2802"/>
  </conditionalFormatting>
  <conditionalFormatting sqref="B34">
    <cfRule type="duplicateValues" dxfId="1992" priority="2788"/>
  </conditionalFormatting>
  <conditionalFormatting sqref="B34">
    <cfRule type="duplicateValues" dxfId="1991" priority="2787"/>
  </conditionalFormatting>
  <conditionalFormatting sqref="B34">
    <cfRule type="duplicateValues" dxfId="1990" priority="2781"/>
    <cfRule type="duplicateValues" dxfId="1989" priority="2786"/>
  </conditionalFormatting>
  <conditionalFormatting sqref="B34">
    <cfRule type="duplicateValues" dxfId="1988" priority="2785"/>
  </conditionalFormatting>
  <conditionalFormatting sqref="B34">
    <cfRule type="duplicateValues" dxfId="1987" priority="2784"/>
  </conditionalFormatting>
  <conditionalFormatting sqref="B34">
    <cfRule type="duplicateValues" dxfId="1986" priority="2783"/>
  </conditionalFormatting>
  <conditionalFormatting sqref="B34">
    <cfRule type="duplicateValues" dxfId="1985" priority="2782"/>
  </conditionalFormatting>
  <conditionalFormatting sqref="B37">
    <cfRule type="duplicateValues" dxfId="1984" priority="2780"/>
  </conditionalFormatting>
  <conditionalFormatting sqref="B37">
    <cfRule type="duplicateValues" dxfId="1983" priority="2779"/>
  </conditionalFormatting>
  <conditionalFormatting sqref="B37">
    <cfRule type="duplicateValues" dxfId="1982" priority="2778"/>
  </conditionalFormatting>
  <conditionalFormatting sqref="B37">
    <cfRule type="duplicateValues" dxfId="1981" priority="2777"/>
  </conditionalFormatting>
  <conditionalFormatting sqref="B37">
    <cfRule type="duplicateValues" dxfId="1980" priority="2776"/>
  </conditionalFormatting>
  <conditionalFormatting sqref="B37">
    <cfRule type="duplicateValues" dxfId="1979" priority="2775"/>
  </conditionalFormatting>
  <conditionalFormatting sqref="B37">
    <cfRule type="duplicateValues" dxfId="1978" priority="2774"/>
  </conditionalFormatting>
  <conditionalFormatting sqref="B37">
    <cfRule type="duplicateValues" dxfId="1977" priority="2773"/>
  </conditionalFormatting>
  <conditionalFormatting sqref="B37">
    <cfRule type="duplicateValues" dxfId="1976" priority="2772"/>
  </conditionalFormatting>
  <conditionalFormatting sqref="B37">
    <cfRule type="duplicateValues" dxfId="1975" priority="2771"/>
  </conditionalFormatting>
  <conditionalFormatting sqref="B37">
    <cfRule type="duplicateValues" dxfId="1974" priority="2770"/>
  </conditionalFormatting>
  <conditionalFormatting sqref="B37">
    <cfRule type="duplicateValues" dxfId="1973" priority="2755"/>
    <cfRule type="duplicateValues" dxfId="1972" priority="2761"/>
    <cfRule type="duplicateValues" dxfId="1971" priority="2762"/>
    <cfRule type="duplicateValues" dxfId="1970" priority="2763"/>
    <cfRule type="duplicateValues" dxfId="1969" priority="2764"/>
    <cfRule type="duplicateValues" dxfId="1968" priority="2765"/>
    <cfRule type="duplicateValues" dxfId="1967" priority="2766"/>
    <cfRule type="duplicateValues" dxfId="1966" priority="2767"/>
    <cfRule type="duplicateValues" dxfId="1965" priority="2768"/>
    <cfRule type="duplicateValues" dxfId="1964" priority="2769"/>
  </conditionalFormatting>
  <conditionalFormatting sqref="B37">
    <cfRule type="duplicateValues" dxfId="1963" priority="2760"/>
  </conditionalFormatting>
  <conditionalFormatting sqref="B37">
    <cfRule type="duplicateValues" dxfId="1962" priority="2759"/>
  </conditionalFormatting>
  <conditionalFormatting sqref="B37">
    <cfRule type="duplicateValues" dxfId="1961" priority="2758"/>
  </conditionalFormatting>
  <conditionalFormatting sqref="B37">
    <cfRule type="duplicateValues" dxfId="1960" priority="2757"/>
  </conditionalFormatting>
  <conditionalFormatting sqref="B37">
    <cfRule type="duplicateValues" dxfId="1959" priority="2754"/>
    <cfRule type="duplicateValues" dxfId="1958" priority="2756"/>
  </conditionalFormatting>
  <conditionalFormatting sqref="B37">
    <cfRule type="duplicateValues" dxfId="1957" priority="2750"/>
    <cfRule type="duplicateValues" dxfId="1956" priority="2751"/>
    <cfRule type="duplicateValues" dxfId="1955" priority="2752"/>
    <cfRule type="duplicateValues" dxfId="1954" priority="2753"/>
  </conditionalFormatting>
  <conditionalFormatting sqref="B37">
    <cfRule type="duplicateValues" dxfId="1953" priority="2748"/>
    <cfRule type="duplicateValues" dxfId="1952" priority="2749"/>
  </conditionalFormatting>
  <conditionalFormatting sqref="B37">
    <cfRule type="duplicateValues" dxfId="1951" priority="2747"/>
  </conditionalFormatting>
  <conditionalFormatting sqref="B37">
    <cfRule type="duplicateValues" dxfId="1950" priority="2733"/>
    <cfRule type="duplicateValues" dxfId="1949" priority="2734"/>
    <cfRule type="duplicateValues" dxfId="1948" priority="2735"/>
    <cfRule type="duplicateValues" dxfId="1947" priority="2736"/>
    <cfRule type="duplicateValues" dxfId="1946" priority="2737"/>
    <cfRule type="duplicateValues" dxfId="1945" priority="2738"/>
    <cfRule type="duplicateValues" dxfId="1944" priority="2739"/>
    <cfRule type="duplicateValues" dxfId="1943" priority="2740"/>
    <cfRule type="duplicateValues" dxfId="1942" priority="2741"/>
    <cfRule type="duplicateValues" dxfId="1941" priority="2742"/>
    <cfRule type="duplicateValues" dxfId="1940" priority="2743"/>
    <cfRule type="duplicateValues" dxfId="1939" priority="2744"/>
    <cfRule type="duplicateValues" dxfId="1938" priority="2745"/>
    <cfRule type="duplicateValues" dxfId="1937" priority="2746"/>
  </conditionalFormatting>
  <conditionalFormatting sqref="B37">
    <cfRule type="duplicateValues" dxfId="1936" priority="2732"/>
  </conditionalFormatting>
  <conditionalFormatting sqref="B37">
    <cfRule type="duplicateValues" dxfId="1935" priority="2731"/>
  </conditionalFormatting>
  <conditionalFormatting sqref="B37">
    <cfRule type="duplicateValues" dxfId="1934" priority="2725"/>
    <cfRule type="duplicateValues" dxfId="1933" priority="2730"/>
  </conditionalFormatting>
  <conditionalFormatting sqref="B37">
    <cfRule type="duplicateValues" dxfId="1932" priority="2729"/>
  </conditionalFormatting>
  <conditionalFormatting sqref="B37">
    <cfRule type="duplicateValues" dxfId="1931" priority="2728"/>
  </conditionalFormatting>
  <conditionalFormatting sqref="B37">
    <cfRule type="duplicateValues" dxfId="1930" priority="2727"/>
  </conditionalFormatting>
  <conditionalFormatting sqref="B37">
    <cfRule type="duplicateValues" dxfId="1929" priority="2726"/>
  </conditionalFormatting>
  <conditionalFormatting sqref="B40">
    <cfRule type="duplicateValues" dxfId="1928" priority="2724"/>
  </conditionalFormatting>
  <conditionalFormatting sqref="B40">
    <cfRule type="duplicateValues" dxfId="1927" priority="2723"/>
  </conditionalFormatting>
  <conditionalFormatting sqref="B40">
    <cfRule type="duplicateValues" dxfId="1926" priority="2722"/>
  </conditionalFormatting>
  <conditionalFormatting sqref="B40">
    <cfRule type="duplicateValues" dxfId="1925" priority="2721"/>
  </conditionalFormatting>
  <conditionalFormatting sqref="B40">
    <cfRule type="duplicateValues" dxfId="1924" priority="2720"/>
  </conditionalFormatting>
  <conditionalFormatting sqref="B40">
    <cfRule type="duplicateValues" dxfId="1923" priority="2719"/>
  </conditionalFormatting>
  <conditionalFormatting sqref="B40">
    <cfRule type="duplicateValues" dxfId="1922" priority="2718"/>
  </conditionalFormatting>
  <conditionalFormatting sqref="B40">
    <cfRule type="duplicateValues" dxfId="1921" priority="2717"/>
  </conditionalFormatting>
  <conditionalFormatting sqref="B40">
    <cfRule type="duplicateValues" dxfId="1920" priority="2716"/>
  </conditionalFormatting>
  <conditionalFormatting sqref="B40">
    <cfRule type="duplicateValues" dxfId="1919" priority="2715"/>
  </conditionalFormatting>
  <conditionalFormatting sqref="B40">
    <cfRule type="duplicateValues" dxfId="1918" priority="2714"/>
  </conditionalFormatting>
  <conditionalFormatting sqref="B40">
    <cfRule type="duplicateValues" dxfId="1917" priority="2699"/>
    <cfRule type="duplicateValues" dxfId="1916" priority="2705"/>
    <cfRule type="duplicateValues" dxfId="1915" priority="2706"/>
    <cfRule type="duplicateValues" dxfId="1914" priority="2707"/>
    <cfRule type="duplicateValues" dxfId="1913" priority="2708"/>
    <cfRule type="duplicateValues" dxfId="1912" priority="2709"/>
    <cfRule type="duplicateValues" dxfId="1911" priority="2710"/>
    <cfRule type="duplicateValues" dxfId="1910" priority="2711"/>
    <cfRule type="duplicateValues" dxfId="1909" priority="2712"/>
    <cfRule type="duplicateValues" dxfId="1908" priority="2713"/>
  </conditionalFormatting>
  <conditionalFormatting sqref="B40">
    <cfRule type="duplicateValues" dxfId="1907" priority="2704"/>
  </conditionalFormatting>
  <conditionalFormatting sqref="B40">
    <cfRule type="duplicateValues" dxfId="1906" priority="2703"/>
  </conditionalFormatting>
  <conditionalFormatting sqref="B40">
    <cfRule type="duplicateValues" dxfId="1905" priority="2702"/>
  </conditionalFormatting>
  <conditionalFormatting sqref="B40">
    <cfRule type="duplicateValues" dxfId="1904" priority="2701"/>
  </conditionalFormatting>
  <conditionalFormatting sqref="B40">
    <cfRule type="duplicateValues" dxfId="1903" priority="2698"/>
    <cfRule type="duplicateValues" dxfId="1902" priority="2700"/>
  </conditionalFormatting>
  <conditionalFormatting sqref="B40">
    <cfRule type="duplicateValues" dxfId="1901" priority="2694"/>
    <cfRule type="duplicateValues" dxfId="1900" priority="2695"/>
    <cfRule type="duplicateValues" dxfId="1899" priority="2696"/>
    <cfRule type="duplicateValues" dxfId="1898" priority="2697"/>
  </conditionalFormatting>
  <conditionalFormatting sqref="B40">
    <cfRule type="duplicateValues" dxfId="1897" priority="2692"/>
    <cfRule type="duplicateValues" dxfId="1896" priority="2693"/>
  </conditionalFormatting>
  <conditionalFormatting sqref="B40">
    <cfRule type="duplicateValues" dxfId="1895" priority="2691"/>
  </conditionalFormatting>
  <conditionalFormatting sqref="B40">
    <cfRule type="duplicateValues" dxfId="1894" priority="2677"/>
    <cfRule type="duplicateValues" dxfId="1893" priority="2678"/>
    <cfRule type="duplicateValues" dxfId="1892" priority="2679"/>
    <cfRule type="duplicateValues" dxfId="1891" priority="2680"/>
    <cfRule type="duplicateValues" dxfId="1890" priority="2681"/>
    <cfRule type="duplicateValues" dxfId="1889" priority="2682"/>
    <cfRule type="duplicateValues" dxfId="1888" priority="2683"/>
    <cfRule type="duplicateValues" dxfId="1887" priority="2684"/>
    <cfRule type="duplicateValues" dxfId="1886" priority="2685"/>
    <cfRule type="duplicateValues" dxfId="1885" priority="2686"/>
    <cfRule type="duplicateValues" dxfId="1884" priority="2687"/>
    <cfRule type="duplicateValues" dxfId="1883" priority="2688"/>
    <cfRule type="duplicateValues" dxfId="1882" priority="2689"/>
    <cfRule type="duplicateValues" dxfId="1881" priority="2690"/>
  </conditionalFormatting>
  <conditionalFormatting sqref="B40">
    <cfRule type="duplicateValues" dxfId="1880" priority="2676"/>
  </conditionalFormatting>
  <conditionalFormatting sqref="B40">
    <cfRule type="duplicateValues" dxfId="1879" priority="2675"/>
  </conditionalFormatting>
  <conditionalFormatting sqref="B40">
    <cfRule type="duplicateValues" dxfId="1878" priority="2669"/>
    <cfRule type="duplicateValues" dxfId="1877" priority="2674"/>
  </conditionalFormatting>
  <conditionalFormatting sqref="B40">
    <cfRule type="duplicateValues" dxfId="1876" priority="2673"/>
  </conditionalFormatting>
  <conditionalFormatting sqref="B40">
    <cfRule type="duplicateValues" dxfId="1875" priority="2672"/>
  </conditionalFormatting>
  <conditionalFormatting sqref="B40">
    <cfRule type="duplicateValues" dxfId="1874" priority="2671"/>
  </conditionalFormatting>
  <conditionalFormatting sqref="B40">
    <cfRule type="duplicateValues" dxfId="1873" priority="2670"/>
  </conditionalFormatting>
  <conditionalFormatting sqref="B43">
    <cfRule type="duplicateValues" dxfId="1872" priority="2668"/>
  </conditionalFormatting>
  <conditionalFormatting sqref="B43">
    <cfRule type="duplicateValues" dxfId="1871" priority="2667"/>
  </conditionalFormatting>
  <conditionalFormatting sqref="B43">
    <cfRule type="duplicateValues" dxfId="1870" priority="2666"/>
  </conditionalFormatting>
  <conditionalFormatting sqref="B43">
    <cfRule type="duplicateValues" dxfId="1869" priority="2665"/>
  </conditionalFormatting>
  <conditionalFormatting sqref="B43">
    <cfRule type="duplicateValues" dxfId="1868" priority="2664"/>
  </conditionalFormatting>
  <conditionalFormatting sqref="B43">
    <cfRule type="duplicateValues" dxfId="1867" priority="2663"/>
  </conditionalFormatting>
  <conditionalFormatting sqref="B43">
    <cfRule type="duplicateValues" dxfId="1866" priority="2662"/>
  </conditionalFormatting>
  <conditionalFormatting sqref="B43">
    <cfRule type="duplicateValues" dxfId="1865" priority="2661"/>
  </conditionalFormatting>
  <conditionalFormatting sqref="B43">
    <cfRule type="duplicateValues" dxfId="1864" priority="2660"/>
  </conditionalFormatting>
  <conditionalFormatting sqref="B43">
    <cfRule type="duplicateValues" dxfId="1863" priority="2659"/>
  </conditionalFormatting>
  <conditionalFormatting sqref="B43">
    <cfRule type="duplicateValues" dxfId="1862" priority="2658"/>
  </conditionalFormatting>
  <conditionalFormatting sqref="B43">
    <cfRule type="duplicateValues" dxfId="1861" priority="2643"/>
    <cfRule type="duplicateValues" dxfId="1860" priority="2649"/>
    <cfRule type="duplicateValues" dxfId="1859" priority="2650"/>
    <cfRule type="duplicateValues" dxfId="1858" priority="2651"/>
    <cfRule type="duplicateValues" dxfId="1857" priority="2652"/>
    <cfRule type="duplicateValues" dxfId="1856" priority="2653"/>
    <cfRule type="duplicateValues" dxfId="1855" priority="2654"/>
    <cfRule type="duplicateValues" dxfId="1854" priority="2655"/>
    <cfRule type="duplicateValues" dxfId="1853" priority="2656"/>
    <cfRule type="duplicateValues" dxfId="1852" priority="2657"/>
  </conditionalFormatting>
  <conditionalFormatting sqref="B43">
    <cfRule type="duplicateValues" dxfId="1851" priority="2648"/>
  </conditionalFormatting>
  <conditionalFormatting sqref="B43">
    <cfRule type="duplicateValues" dxfId="1850" priority="2647"/>
  </conditionalFormatting>
  <conditionalFormatting sqref="B43">
    <cfRule type="duplicateValues" dxfId="1849" priority="2646"/>
  </conditionalFormatting>
  <conditionalFormatting sqref="B43">
    <cfRule type="duplicateValues" dxfId="1848" priority="2645"/>
  </conditionalFormatting>
  <conditionalFormatting sqref="B43">
    <cfRule type="duplicateValues" dxfId="1847" priority="2642"/>
    <cfRule type="duplicateValues" dxfId="1846" priority="2644"/>
  </conditionalFormatting>
  <conditionalFormatting sqref="B43">
    <cfRule type="duplicateValues" dxfId="1845" priority="2638"/>
    <cfRule type="duplicateValues" dxfId="1844" priority="2639"/>
    <cfRule type="duplicateValues" dxfId="1843" priority="2640"/>
    <cfRule type="duplicateValues" dxfId="1842" priority="2641"/>
  </conditionalFormatting>
  <conditionalFormatting sqref="B43">
    <cfRule type="duplicateValues" dxfId="1841" priority="2636"/>
    <cfRule type="duplicateValues" dxfId="1840" priority="2637"/>
  </conditionalFormatting>
  <conditionalFormatting sqref="B43">
    <cfRule type="duplicateValues" dxfId="1839" priority="2635"/>
  </conditionalFormatting>
  <conditionalFormatting sqref="B43">
    <cfRule type="duplicateValues" dxfId="1838" priority="2621"/>
    <cfRule type="duplicateValues" dxfId="1837" priority="2622"/>
    <cfRule type="duplicateValues" dxfId="1836" priority="2623"/>
    <cfRule type="duplicateValues" dxfId="1835" priority="2624"/>
    <cfRule type="duplicateValues" dxfId="1834" priority="2625"/>
    <cfRule type="duplicateValues" dxfId="1833" priority="2626"/>
    <cfRule type="duplicateValues" dxfId="1832" priority="2627"/>
    <cfRule type="duplicateValues" dxfId="1831" priority="2628"/>
    <cfRule type="duplicateValues" dxfId="1830" priority="2629"/>
    <cfRule type="duplicateValues" dxfId="1829" priority="2630"/>
    <cfRule type="duplicateValues" dxfId="1828" priority="2631"/>
    <cfRule type="duplicateValues" dxfId="1827" priority="2632"/>
    <cfRule type="duplicateValues" dxfId="1826" priority="2633"/>
    <cfRule type="duplicateValues" dxfId="1825" priority="2634"/>
  </conditionalFormatting>
  <conditionalFormatting sqref="B43">
    <cfRule type="duplicateValues" dxfId="1824" priority="2620"/>
  </conditionalFormatting>
  <conditionalFormatting sqref="B43">
    <cfRule type="duplicateValues" dxfId="1823" priority="2619"/>
  </conditionalFormatting>
  <conditionalFormatting sqref="B43">
    <cfRule type="duplicateValues" dxfId="1822" priority="2613"/>
    <cfRule type="duplicateValues" dxfId="1821" priority="2618"/>
  </conditionalFormatting>
  <conditionalFormatting sqref="B43">
    <cfRule type="duplicateValues" dxfId="1820" priority="2617"/>
  </conditionalFormatting>
  <conditionalFormatting sqref="B43">
    <cfRule type="duplicateValues" dxfId="1819" priority="2616"/>
  </conditionalFormatting>
  <conditionalFormatting sqref="B43">
    <cfRule type="duplicateValues" dxfId="1818" priority="2615"/>
  </conditionalFormatting>
  <conditionalFormatting sqref="B43">
    <cfRule type="duplicateValues" dxfId="1817" priority="2614"/>
  </conditionalFormatting>
  <conditionalFormatting sqref="B46">
    <cfRule type="duplicateValues" dxfId="1816" priority="2612"/>
  </conditionalFormatting>
  <conditionalFormatting sqref="B46">
    <cfRule type="duplicateValues" dxfId="1815" priority="2611"/>
  </conditionalFormatting>
  <conditionalFormatting sqref="B46">
    <cfRule type="duplicateValues" dxfId="1814" priority="2610"/>
  </conditionalFormatting>
  <conditionalFormatting sqref="B46">
    <cfRule type="duplicateValues" dxfId="1813" priority="2609"/>
  </conditionalFormatting>
  <conditionalFormatting sqref="B46">
    <cfRule type="duplicateValues" dxfId="1812" priority="2608"/>
  </conditionalFormatting>
  <conditionalFormatting sqref="B46">
    <cfRule type="duplicateValues" dxfId="1811" priority="2607"/>
  </conditionalFormatting>
  <conditionalFormatting sqref="B46">
    <cfRule type="duplicateValues" dxfId="1810" priority="2606"/>
  </conditionalFormatting>
  <conditionalFormatting sqref="B46">
    <cfRule type="duplicateValues" dxfId="1809" priority="2605"/>
  </conditionalFormatting>
  <conditionalFormatting sqref="B46">
    <cfRule type="duplicateValues" dxfId="1808" priority="2604"/>
  </conditionalFormatting>
  <conditionalFormatting sqref="B46">
    <cfRule type="duplicateValues" dxfId="1807" priority="2603"/>
  </conditionalFormatting>
  <conditionalFormatting sqref="B46">
    <cfRule type="duplicateValues" dxfId="1806" priority="2602"/>
  </conditionalFormatting>
  <conditionalFormatting sqref="B46">
    <cfRule type="duplicateValues" dxfId="1805" priority="2587"/>
    <cfRule type="duplicateValues" dxfId="1804" priority="2593"/>
    <cfRule type="duplicateValues" dxfId="1803" priority="2594"/>
    <cfRule type="duplicateValues" dxfId="1802" priority="2595"/>
    <cfRule type="duplicateValues" dxfId="1801" priority="2596"/>
    <cfRule type="duplicateValues" dxfId="1800" priority="2597"/>
    <cfRule type="duplicateValues" dxfId="1799" priority="2598"/>
    <cfRule type="duplicateValues" dxfId="1798" priority="2599"/>
    <cfRule type="duplicateValues" dxfId="1797" priority="2600"/>
    <cfRule type="duplicateValues" dxfId="1796" priority="2601"/>
  </conditionalFormatting>
  <conditionalFormatting sqref="B46">
    <cfRule type="duplicateValues" dxfId="1795" priority="2592"/>
  </conditionalFormatting>
  <conditionalFormatting sqref="B46">
    <cfRule type="duplicateValues" dxfId="1794" priority="2591"/>
  </conditionalFormatting>
  <conditionalFormatting sqref="B46">
    <cfRule type="duplicateValues" dxfId="1793" priority="2590"/>
  </conditionalFormatting>
  <conditionalFormatting sqref="B46">
    <cfRule type="duplicateValues" dxfId="1792" priority="2589"/>
  </conditionalFormatting>
  <conditionalFormatting sqref="B46">
    <cfRule type="duplicateValues" dxfId="1791" priority="2586"/>
    <cfRule type="duplicateValues" dxfId="1790" priority="2588"/>
  </conditionalFormatting>
  <conditionalFormatting sqref="B46">
    <cfRule type="duplicateValues" dxfId="1789" priority="2582"/>
    <cfRule type="duplicateValues" dxfId="1788" priority="2583"/>
    <cfRule type="duplicateValues" dxfId="1787" priority="2584"/>
    <cfRule type="duplicateValues" dxfId="1786" priority="2585"/>
  </conditionalFormatting>
  <conditionalFormatting sqref="B46">
    <cfRule type="duplicateValues" dxfId="1785" priority="2580"/>
    <cfRule type="duplicateValues" dxfId="1784" priority="2581"/>
  </conditionalFormatting>
  <conditionalFormatting sqref="B46">
    <cfRule type="duplicateValues" dxfId="1783" priority="2579"/>
  </conditionalFormatting>
  <conditionalFormatting sqref="B46">
    <cfRule type="duplicateValues" dxfId="1782" priority="2565"/>
    <cfRule type="duplicateValues" dxfId="1781" priority="2566"/>
    <cfRule type="duplicateValues" dxfId="1780" priority="2567"/>
    <cfRule type="duplicateValues" dxfId="1779" priority="2568"/>
    <cfRule type="duplicateValues" dxfId="1778" priority="2569"/>
    <cfRule type="duplicateValues" dxfId="1777" priority="2570"/>
    <cfRule type="duplicateValues" dxfId="1776" priority="2571"/>
    <cfRule type="duplicateValues" dxfId="1775" priority="2572"/>
    <cfRule type="duplicateValues" dxfId="1774" priority="2573"/>
    <cfRule type="duplicateValues" dxfId="1773" priority="2574"/>
    <cfRule type="duplicateValues" dxfId="1772" priority="2575"/>
    <cfRule type="duplicateValues" dxfId="1771" priority="2576"/>
    <cfRule type="duplicateValues" dxfId="1770" priority="2577"/>
    <cfRule type="duplicateValues" dxfId="1769" priority="2578"/>
  </conditionalFormatting>
  <conditionalFormatting sqref="B46">
    <cfRule type="duplicateValues" dxfId="1768" priority="2564"/>
  </conditionalFormatting>
  <conditionalFormatting sqref="B46">
    <cfRule type="duplicateValues" dxfId="1767" priority="2563"/>
  </conditionalFormatting>
  <conditionalFormatting sqref="B46">
    <cfRule type="duplicateValues" dxfId="1766" priority="2557"/>
    <cfRule type="duplicateValues" dxfId="1765" priority="2562"/>
  </conditionalFormatting>
  <conditionalFormatting sqref="B46">
    <cfRule type="duplicateValues" dxfId="1764" priority="2561"/>
  </conditionalFormatting>
  <conditionalFormatting sqref="B46">
    <cfRule type="duplicateValues" dxfId="1763" priority="2560"/>
  </conditionalFormatting>
  <conditionalFormatting sqref="B46">
    <cfRule type="duplicateValues" dxfId="1762" priority="2559"/>
  </conditionalFormatting>
  <conditionalFormatting sqref="B46">
    <cfRule type="duplicateValues" dxfId="1761" priority="2558"/>
  </conditionalFormatting>
  <conditionalFormatting sqref="B49 B52">
    <cfRule type="duplicateValues" dxfId="1760" priority="2556"/>
  </conditionalFormatting>
  <conditionalFormatting sqref="B49 B52">
    <cfRule type="duplicateValues" dxfId="1759" priority="2555"/>
  </conditionalFormatting>
  <conditionalFormatting sqref="B49 B52">
    <cfRule type="duplicateValues" dxfId="1758" priority="2554"/>
  </conditionalFormatting>
  <conditionalFormatting sqref="B49 B52">
    <cfRule type="duplicateValues" dxfId="1757" priority="2553"/>
  </conditionalFormatting>
  <conditionalFormatting sqref="B49 B52">
    <cfRule type="duplicateValues" dxfId="1756" priority="2552"/>
  </conditionalFormatting>
  <conditionalFormatting sqref="B49 B52">
    <cfRule type="duplicateValues" dxfId="1755" priority="2551"/>
  </conditionalFormatting>
  <conditionalFormatting sqref="B49 B52">
    <cfRule type="duplicateValues" dxfId="1754" priority="2550"/>
  </conditionalFormatting>
  <conditionalFormatting sqref="B49 B52">
    <cfRule type="duplicateValues" dxfId="1753" priority="2549"/>
  </conditionalFormatting>
  <conditionalFormatting sqref="B49 B52">
    <cfRule type="duplicateValues" dxfId="1752" priority="2548"/>
  </conditionalFormatting>
  <conditionalFormatting sqref="B49 B52">
    <cfRule type="duplicateValues" dxfId="1751" priority="2547"/>
  </conditionalFormatting>
  <conditionalFormatting sqref="B49 B52">
    <cfRule type="duplicateValues" dxfId="1750" priority="2546"/>
  </conditionalFormatting>
  <conditionalFormatting sqref="B49 B52">
    <cfRule type="duplicateValues" dxfId="1749" priority="2531"/>
    <cfRule type="duplicateValues" dxfId="1748" priority="2537"/>
    <cfRule type="duplicateValues" dxfId="1747" priority="2538"/>
    <cfRule type="duplicateValues" dxfId="1746" priority="2539"/>
    <cfRule type="duplicateValues" dxfId="1745" priority="2540"/>
    <cfRule type="duplicateValues" dxfId="1744" priority="2541"/>
    <cfRule type="duplicateValues" dxfId="1743" priority="2542"/>
    <cfRule type="duplicateValues" dxfId="1742" priority="2543"/>
    <cfRule type="duplicateValues" dxfId="1741" priority="2544"/>
    <cfRule type="duplicateValues" dxfId="1740" priority="2545"/>
  </conditionalFormatting>
  <conditionalFormatting sqref="B49 B52">
    <cfRule type="duplicateValues" dxfId="1739" priority="2536"/>
  </conditionalFormatting>
  <conditionalFormatting sqref="B49 B52">
    <cfRule type="duplicateValues" dxfId="1738" priority="2535"/>
  </conditionalFormatting>
  <conditionalFormatting sqref="B49 B52">
    <cfRule type="duplicateValues" dxfId="1737" priority="2534"/>
  </conditionalFormatting>
  <conditionalFormatting sqref="B49 B52">
    <cfRule type="duplicateValues" dxfId="1736" priority="2533"/>
  </conditionalFormatting>
  <conditionalFormatting sqref="B49 B52">
    <cfRule type="duplicateValues" dxfId="1735" priority="2530"/>
    <cfRule type="duplicateValues" dxfId="1734" priority="2532"/>
  </conditionalFormatting>
  <conditionalFormatting sqref="B49 B52">
    <cfRule type="duplicateValues" dxfId="1733" priority="2526"/>
    <cfRule type="duplicateValues" dxfId="1732" priority="2527"/>
    <cfRule type="duplicateValues" dxfId="1731" priority="2528"/>
    <cfRule type="duplicateValues" dxfId="1730" priority="2529"/>
  </conditionalFormatting>
  <conditionalFormatting sqref="B49 B52">
    <cfRule type="duplicateValues" dxfId="1729" priority="2524"/>
    <cfRule type="duplicateValues" dxfId="1728" priority="2525"/>
  </conditionalFormatting>
  <conditionalFormatting sqref="B49 B52">
    <cfRule type="duplicateValues" dxfId="1727" priority="2523"/>
  </conditionalFormatting>
  <conditionalFormatting sqref="B49 B52">
    <cfRule type="duplicateValues" dxfId="1726" priority="2509"/>
    <cfRule type="duplicateValues" dxfId="1725" priority="2510"/>
    <cfRule type="duplicateValues" dxfId="1724" priority="2511"/>
    <cfRule type="duplicateValues" dxfId="1723" priority="2512"/>
    <cfRule type="duplicateValues" dxfId="1722" priority="2513"/>
    <cfRule type="duplicateValues" dxfId="1721" priority="2514"/>
    <cfRule type="duplicateValues" dxfId="1720" priority="2515"/>
    <cfRule type="duplicateValues" dxfId="1719" priority="2516"/>
    <cfRule type="duplicateValues" dxfId="1718" priority="2517"/>
    <cfRule type="duplicateValues" dxfId="1717" priority="2518"/>
    <cfRule type="duplicateValues" dxfId="1716" priority="2519"/>
    <cfRule type="duplicateValues" dxfId="1715" priority="2520"/>
    <cfRule type="duplicateValues" dxfId="1714" priority="2521"/>
    <cfRule type="duplicateValues" dxfId="1713" priority="2522"/>
  </conditionalFormatting>
  <conditionalFormatting sqref="B49 B52">
    <cfRule type="duplicateValues" dxfId="1712" priority="2508"/>
  </conditionalFormatting>
  <conditionalFormatting sqref="B49 B52">
    <cfRule type="duplicateValues" dxfId="1711" priority="2507"/>
  </conditionalFormatting>
  <conditionalFormatting sqref="B49 B52">
    <cfRule type="duplicateValues" dxfId="1710" priority="2501"/>
    <cfRule type="duplicateValues" dxfId="1709" priority="2506"/>
  </conditionalFormatting>
  <conditionalFormatting sqref="B49 B52">
    <cfRule type="duplicateValues" dxfId="1708" priority="2505"/>
  </conditionalFormatting>
  <conditionalFormatting sqref="B49 B52">
    <cfRule type="duplicateValues" dxfId="1707" priority="2504"/>
  </conditionalFormatting>
  <conditionalFormatting sqref="B49 B52">
    <cfRule type="duplicateValues" dxfId="1706" priority="2503"/>
  </conditionalFormatting>
  <conditionalFormatting sqref="B49 B52">
    <cfRule type="duplicateValues" dxfId="1705" priority="2502"/>
  </conditionalFormatting>
  <conditionalFormatting sqref="B55">
    <cfRule type="duplicateValues" dxfId="1704" priority="2500"/>
  </conditionalFormatting>
  <conditionalFormatting sqref="B55">
    <cfRule type="duplicateValues" dxfId="1703" priority="2499"/>
  </conditionalFormatting>
  <conditionalFormatting sqref="B55">
    <cfRule type="duplicateValues" dxfId="1702" priority="2498"/>
  </conditionalFormatting>
  <conditionalFormatting sqref="B55">
    <cfRule type="duplicateValues" dxfId="1701" priority="2497"/>
  </conditionalFormatting>
  <conditionalFormatting sqref="B55">
    <cfRule type="duplicateValues" dxfId="1700" priority="2496"/>
  </conditionalFormatting>
  <conditionalFormatting sqref="B55">
    <cfRule type="duplicateValues" dxfId="1699" priority="2495"/>
  </conditionalFormatting>
  <conditionalFormatting sqref="B55">
    <cfRule type="duplicateValues" dxfId="1698" priority="2494"/>
  </conditionalFormatting>
  <conditionalFormatting sqref="B55">
    <cfRule type="duplicateValues" dxfId="1697" priority="2493"/>
  </conditionalFormatting>
  <conditionalFormatting sqref="B55">
    <cfRule type="duplicateValues" dxfId="1696" priority="2492"/>
  </conditionalFormatting>
  <conditionalFormatting sqref="B55">
    <cfRule type="duplicateValues" dxfId="1695" priority="2491"/>
  </conditionalFormatting>
  <conditionalFormatting sqref="B55">
    <cfRule type="duplicateValues" dxfId="1694" priority="2490"/>
  </conditionalFormatting>
  <conditionalFormatting sqref="B55">
    <cfRule type="duplicateValues" dxfId="1693" priority="2475"/>
    <cfRule type="duplicateValues" dxfId="1692" priority="2481"/>
    <cfRule type="duplicateValues" dxfId="1691" priority="2482"/>
    <cfRule type="duplicateValues" dxfId="1690" priority="2483"/>
    <cfRule type="duplicateValues" dxfId="1689" priority="2484"/>
    <cfRule type="duplicateValues" dxfId="1688" priority="2485"/>
    <cfRule type="duplicateValues" dxfId="1687" priority="2486"/>
    <cfRule type="duplicateValues" dxfId="1686" priority="2487"/>
    <cfRule type="duplicateValues" dxfId="1685" priority="2488"/>
    <cfRule type="duplicateValues" dxfId="1684" priority="2489"/>
  </conditionalFormatting>
  <conditionalFormatting sqref="B55">
    <cfRule type="duplicateValues" dxfId="1683" priority="2480"/>
  </conditionalFormatting>
  <conditionalFormatting sqref="B55">
    <cfRule type="duplicateValues" dxfId="1682" priority="2479"/>
  </conditionalFormatting>
  <conditionalFormatting sqref="B55">
    <cfRule type="duplicateValues" dxfId="1681" priority="2478"/>
  </conditionalFormatting>
  <conditionalFormatting sqref="B55">
    <cfRule type="duplicateValues" dxfId="1680" priority="2477"/>
  </conditionalFormatting>
  <conditionalFormatting sqref="B55">
    <cfRule type="duplicateValues" dxfId="1679" priority="2474"/>
    <cfRule type="duplicateValues" dxfId="1678" priority="2476"/>
  </conditionalFormatting>
  <conditionalFormatting sqref="B55">
    <cfRule type="duplicateValues" dxfId="1677" priority="2470"/>
    <cfRule type="duplicateValues" dxfId="1676" priority="2471"/>
    <cfRule type="duplicateValues" dxfId="1675" priority="2472"/>
    <cfRule type="duplicateValues" dxfId="1674" priority="2473"/>
  </conditionalFormatting>
  <conditionalFormatting sqref="B55">
    <cfRule type="duplicateValues" dxfId="1673" priority="2468"/>
    <cfRule type="duplicateValues" dxfId="1672" priority="2469"/>
  </conditionalFormatting>
  <conditionalFormatting sqref="B55">
    <cfRule type="duplicateValues" dxfId="1671" priority="2467"/>
  </conditionalFormatting>
  <conditionalFormatting sqref="B55">
    <cfRule type="duplicateValues" dxfId="1670" priority="2453"/>
    <cfRule type="duplicateValues" dxfId="1669" priority="2454"/>
    <cfRule type="duplicateValues" dxfId="1668" priority="2455"/>
    <cfRule type="duplicateValues" dxfId="1667" priority="2456"/>
    <cfRule type="duplicateValues" dxfId="1666" priority="2457"/>
    <cfRule type="duplicateValues" dxfId="1665" priority="2458"/>
    <cfRule type="duplicateValues" dxfId="1664" priority="2459"/>
    <cfRule type="duplicateValues" dxfId="1663" priority="2460"/>
    <cfRule type="duplicateValues" dxfId="1662" priority="2461"/>
    <cfRule type="duplicateValues" dxfId="1661" priority="2462"/>
    <cfRule type="duplicateValues" dxfId="1660" priority="2463"/>
    <cfRule type="duplicateValues" dxfId="1659" priority="2464"/>
    <cfRule type="duplicateValues" dxfId="1658" priority="2465"/>
    <cfRule type="duplicateValues" dxfId="1657" priority="2466"/>
  </conditionalFormatting>
  <conditionalFormatting sqref="B55">
    <cfRule type="duplicateValues" dxfId="1656" priority="2452"/>
  </conditionalFormatting>
  <conditionalFormatting sqref="B55">
    <cfRule type="duplicateValues" dxfId="1655" priority="2451"/>
  </conditionalFormatting>
  <conditionalFormatting sqref="B55">
    <cfRule type="duplicateValues" dxfId="1654" priority="2445"/>
    <cfRule type="duplicateValues" dxfId="1653" priority="2450"/>
  </conditionalFormatting>
  <conditionalFormatting sqref="B55">
    <cfRule type="duplicateValues" dxfId="1652" priority="2449"/>
  </conditionalFormatting>
  <conditionalFormatting sqref="B55">
    <cfRule type="duplicateValues" dxfId="1651" priority="2448"/>
  </conditionalFormatting>
  <conditionalFormatting sqref="B55">
    <cfRule type="duplicateValues" dxfId="1650" priority="2447"/>
  </conditionalFormatting>
  <conditionalFormatting sqref="B55">
    <cfRule type="duplicateValues" dxfId="1649" priority="2446"/>
  </conditionalFormatting>
  <conditionalFormatting sqref="B58">
    <cfRule type="duplicateValues" dxfId="1648" priority="2444"/>
  </conditionalFormatting>
  <conditionalFormatting sqref="B58">
    <cfRule type="duplicateValues" dxfId="1647" priority="2443"/>
  </conditionalFormatting>
  <conditionalFormatting sqref="B58">
    <cfRule type="duplicateValues" dxfId="1646" priority="2442"/>
  </conditionalFormatting>
  <conditionalFormatting sqref="B58">
    <cfRule type="duplicateValues" dxfId="1645" priority="2441"/>
  </conditionalFormatting>
  <conditionalFormatting sqref="B58">
    <cfRule type="duplicateValues" dxfId="1644" priority="2440"/>
  </conditionalFormatting>
  <conditionalFormatting sqref="B58">
    <cfRule type="duplicateValues" dxfId="1643" priority="2439"/>
  </conditionalFormatting>
  <conditionalFormatting sqref="B58">
    <cfRule type="duplicateValues" dxfId="1642" priority="2438"/>
  </conditionalFormatting>
  <conditionalFormatting sqref="B58">
    <cfRule type="duplicateValues" dxfId="1641" priority="2437"/>
  </conditionalFormatting>
  <conditionalFormatting sqref="B58">
    <cfRule type="duplicateValues" dxfId="1640" priority="2436"/>
  </conditionalFormatting>
  <conditionalFormatting sqref="B58">
    <cfRule type="duplicateValues" dxfId="1639" priority="2435"/>
  </conditionalFormatting>
  <conditionalFormatting sqref="B58">
    <cfRule type="duplicateValues" dxfId="1638" priority="2434"/>
  </conditionalFormatting>
  <conditionalFormatting sqref="B58">
    <cfRule type="duplicateValues" dxfId="1637" priority="2419"/>
    <cfRule type="duplicateValues" dxfId="1636" priority="2425"/>
    <cfRule type="duplicateValues" dxfId="1635" priority="2426"/>
    <cfRule type="duplicateValues" dxfId="1634" priority="2427"/>
    <cfRule type="duplicateValues" dxfId="1633" priority="2428"/>
    <cfRule type="duplicateValues" dxfId="1632" priority="2429"/>
    <cfRule type="duplicateValues" dxfId="1631" priority="2430"/>
    <cfRule type="duplicateValues" dxfId="1630" priority="2431"/>
    <cfRule type="duplicateValues" dxfId="1629" priority="2432"/>
    <cfRule type="duplicateValues" dxfId="1628" priority="2433"/>
  </conditionalFormatting>
  <conditionalFormatting sqref="B58">
    <cfRule type="duplicateValues" dxfId="1627" priority="2424"/>
  </conditionalFormatting>
  <conditionalFormatting sqref="B58">
    <cfRule type="duplicateValues" dxfId="1626" priority="2423"/>
  </conditionalFormatting>
  <conditionalFormatting sqref="B58">
    <cfRule type="duplicateValues" dxfId="1625" priority="2422"/>
  </conditionalFormatting>
  <conditionalFormatting sqref="B58">
    <cfRule type="duplicateValues" dxfId="1624" priority="2421"/>
  </conditionalFormatting>
  <conditionalFormatting sqref="B58">
    <cfRule type="duplicateValues" dxfId="1623" priority="2418"/>
    <cfRule type="duplicateValues" dxfId="1622" priority="2420"/>
  </conditionalFormatting>
  <conditionalFormatting sqref="B58">
    <cfRule type="duplicateValues" dxfId="1621" priority="2414"/>
    <cfRule type="duplicateValues" dxfId="1620" priority="2415"/>
    <cfRule type="duplicateValues" dxfId="1619" priority="2416"/>
    <cfRule type="duplicateValues" dxfId="1618" priority="2417"/>
  </conditionalFormatting>
  <conditionalFormatting sqref="B58">
    <cfRule type="duplicateValues" dxfId="1617" priority="2412"/>
    <cfRule type="duplicateValues" dxfId="1616" priority="2413"/>
  </conditionalFormatting>
  <conditionalFormatting sqref="B58">
    <cfRule type="duplicateValues" dxfId="1615" priority="2411"/>
  </conditionalFormatting>
  <conditionalFormatting sqref="B58">
    <cfRule type="duplicateValues" dxfId="1614" priority="2397"/>
    <cfRule type="duplicateValues" dxfId="1613" priority="2398"/>
    <cfRule type="duplicateValues" dxfId="1612" priority="2399"/>
    <cfRule type="duplicateValues" dxfId="1611" priority="2400"/>
    <cfRule type="duplicateValues" dxfId="1610" priority="2401"/>
    <cfRule type="duplicateValues" dxfId="1609" priority="2402"/>
    <cfRule type="duplicateValues" dxfId="1608" priority="2403"/>
    <cfRule type="duplicateValues" dxfId="1607" priority="2404"/>
    <cfRule type="duplicateValues" dxfId="1606" priority="2405"/>
    <cfRule type="duplicateValues" dxfId="1605" priority="2406"/>
    <cfRule type="duplicateValues" dxfId="1604" priority="2407"/>
    <cfRule type="duplicateValues" dxfId="1603" priority="2408"/>
    <cfRule type="duplicateValues" dxfId="1602" priority="2409"/>
    <cfRule type="duplicateValues" dxfId="1601" priority="2410"/>
  </conditionalFormatting>
  <conditionalFormatting sqref="B58">
    <cfRule type="duplicateValues" dxfId="1600" priority="2396"/>
  </conditionalFormatting>
  <conditionalFormatting sqref="B58">
    <cfRule type="duplicateValues" dxfId="1599" priority="2395"/>
  </conditionalFormatting>
  <conditionalFormatting sqref="B58">
    <cfRule type="duplicateValues" dxfId="1598" priority="2389"/>
    <cfRule type="duplicateValues" dxfId="1597" priority="2394"/>
  </conditionalFormatting>
  <conditionalFormatting sqref="B58">
    <cfRule type="duplicateValues" dxfId="1596" priority="2393"/>
  </conditionalFormatting>
  <conditionalFormatting sqref="B58">
    <cfRule type="duplicateValues" dxfId="1595" priority="2392"/>
  </conditionalFormatting>
  <conditionalFormatting sqref="B58">
    <cfRule type="duplicateValues" dxfId="1594" priority="2391"/>
  </conditionalFormatting>
  <conditionalFormatting sqref="B58">
    <cfRule type="duplicateValues" dxfId="1593" priority="2390"/>
  </conditionalFormatting>
  <conditionalFormatting sqref="B61">
    <cfRule type="duplicateValues" dxfId="1592" priority="2388"/>
  </conditionalFormatting>
  <conditionalFormatting sqref="B61">
    <cfRule type="duplicateValues" dxfId="1591" priority="2387"/>
  </conditionalFormatting>
  <conditionalFormatting sqref="B61">
    <cfRule type="duplicateValues" dxfId="1590" priority="2386"/>
  </conditionalFormatting>
  <conditionalFormatting sqref="B61">
    <cfRule type="duplicateValues" dxfId="1589" priority="2385"/>
  </conditionalFormatting>
  <conditionalFormatting sqref="B61">
    <cfRule type="duplicateValues" dxfId="1588" priority="2384"/>
  </conditionalFormatting>
  <conditionalFormatting sqref="B61">
    <cfRule type="duplicateValues" dxfId="1587" priority="2383"/>
  </conditionalFormatting>
  <conditionalFormatting sqref="B61">
    <cfRule type="duplicateValues" dxfId="1586" priority="2382"/>
  </conditionalFormatting>
  <conditionalFormatting sqref="B61">
    <cfRule type="duplicateValues" dxfId="1585" priority="2381"/>
  </conditionalFormatting>
  <conditionalFormatting sqref="B61">
    <cfRule type="duplicateValues" dxfId="1584" priority="2380"/>
  </conditionalFormatting>
  <conditionalFormatting sqref="B61">
    <cfRule type="duplicateValues" dxfId="1583" priority="2379"/>
  </conditionalFormatting>
  <conditionalFormatting sqref="B61">
    <cfRule type="duplicateValues" dxfId="1582" priority="2378"/>
  </conditionalFormatting>
  <conditionalFormatting sqref="B61">
    <cfRule type="duplicateValues" dxfId="1581" priority="2363"/>
    <cfRule type="duplicateValues" dxfId="1580" priority="2369"/>
    <cfRule type="duplicateValues" dxfId="1579" priority="2370"/>
    <cfRule type="duplicateValues" dxfId="1578" priority="2371"/>
    <cfRule type="duplicateValues" dxfId="1577" priority="2372"/>
    <cfRule type="duplicateValues" dxfId="1576" priority="2373"/>
    <cfRule type="duplicateValues" dxfId="1575" priority="2374"/>
    <cfRule type="duplicateValues" dxfId="1574" priority="2375"/>
    <cfRule type="duplicateValues" dxfId="1573" priority="2376"/>
    <cfRule type="duplicateValues" dxfId="1572" priority="2377"/>
  </conditionalFormatting>
  <conditionalFormatting sqref="B61">
    <cfRule type="duplicateValues" dxfId="1571" priority="2368"/>
  </conditionalFormatting>
  <conditionalFormatting sqref="B61">
    <cfRule type="duplicateValues" dxfId="1570" priority="2367"/>
  </conditionalFormatting>
  <conditionalFormatting sqref="B61">
    <cfRule type="duplicateValues" dxfId="1569" priority="2366"/>
  </conditionalFormatting>
  <conditionalFormatting sqref="B61">
    <cfRule type="duplicateValues" dxfId="1568" priority="2365"/>
  </conditionalFormatting>
  <conditionalFormatting sqref="B61">
    <cfRule type="duplicateValues" dxfId="1567" priority="2362"/>
    <cfRule type="duplicateValues" dxfId="1566" priority="2364"/>
  </conditionalFormatting>
  <conditionalFormatting sqref="B61">
    <cfRule type="duplicateValues" dxfId="1565" priority="2358"/>
    <cfRule type="duplicateValues" dxfId="1564" priority="2359"/>
    <cfRule type="duplicateValues" dxfId="1563" priority="2360"/>
    <cfRule type="duplicateValues" dxfId="1562" priority="2361"/>
  </conditionalFormatting>
  <conditionalFormatting sqref="B61">
    <cfRule type="duplicateValues" dxfId="1561" priority="2356"/>
    <cfRule type="duplicateValues" dxfId="1560" priority="2357"/>
  </conditionalFormatting>
  <conditionalFormatting sqref="B61">
    <cfRule type="duplicateValues" dxfId="1559" priority="2355"/>
  </conditionalFormatting>
  <conditionalFormatting sqref="B61">
    <cfRule type="duplicateValues" dxfId="1558" priority="2341"/>
    <cfRule type="duplicateValues" dxfId="1557" priority="2342"/>
    <cfRule type="duplicateValues" dxfId="1556" priority="2343"/>
    <cfRule type="duplicateValues" dxfId="1555" priority="2344"/>
    <cfRule type="duplicateValues" dxfId="1554" priority="2345"/>
    <cfRule type="duplicateValues" dxfId="1553" priority="2346"/>
    <cfRule type="duplicateValues" dxfId="1552" priority="2347"/>
    <cfRule type="duplicateValues" dxfId="1551" priority="2348"/>
    <cfRule type="duplicateValues" dxfId="1550" priority="2349"/>
    <cfRule type="duplicateValues" dxfId="1549" priority="2350"/>
    <cfRule type="duplicateValues" dxfId="1548" priority="2351"/>
    <cfRule type="duplicateValues" dxfId="1547" priority="2352"/>
    <cfRule type="duplicateValues" dxfId="1546" priority="2353"/>
    <cfRule type="duplicateValues" dxfId="1545" priority="2354"/>
  </conditionalFormatting>
  <conditionalFormatting sqref="B61">
    <cfRule type="duplicateValues" dxfId="1544" priority="2340"/>
  </conditionalFormatting>
  <conditionalFormatting sqref="B61">
    <cfRule type="duplicateValues" dxfId="1543" priority="2339"/>
  </conditionalFormatting>
  <conditionalFormatting sqref="B61">
    <cfRule type="duplicateValues" dxfId="1542" priority="2333"/>
    <cfRule type="duplicateValues" dxfId="1541" priority="2338"/>
  </conditionalFormatting>
  <conditionalFormatting sqref="B61">
    <cfRule type="duplicateValues" dxfId="1540" priority="2337"/>
  </conditionalFormatting>
  <conditionalFormatting sqref="B61">
    <cfRule type="duplicateValues" dxfId="1539" priority="2336"/>
  </conditionalFormatting>
  <conditionalFormatting sqref="B61">
    <cfRule type="duplicateValues" dxfId="1538" priority="2335"/>
  </conditionalFormatting>
  <conditionalFormatting sqref="B61">
    <cfRule type="duplicateValues" dxfId="1537" priority="2334"/>
  </conditionalFormatting>
  <conditionalFormatting sqref="B73">
    <cfRule type="duplicateValues" dxfId="1536" priority="1209"/>
  </conditionalFormatting>
  <conditionalFormatting sqref="B73">
    <cfRule type="duplicateValues" dxfId="1535" priority="1208"/>
  </conditionalFormatting>
  <conditionalFormatting sqref="B73">
    <cfRule type="duplicateValues" dxfId="1534" priority="1207"/>
  </conditionalFormatting>
  <conditionalFormatting sqref="B76">
    <cfRule type="duplicateValues" dxfId="1533" priority="1206"/>
  </conditionalFormatting>
  <conditionalFormatting sqref="B76">
    <cfRule type="duplicateValues" dxfId="1532" priority="1205"/>
  </conditionalFormatting>
  <conditionalFormatting sqref="B76">
    <cfRule type="duplicateValues" dxfId="1531" priority="1204"/>
  </conditionalFormatting>
  <conditionalFormatting sqref="B79">
    <cfRule type="duplicateValues" dxfId="1530" priority="1203"/>
  </conditionalFormatting>
  <conditionalFormatting sqref="B79">
    <cfRule type="duplicateValues" dxfId="1529" priority="1202"/>
  </conditionalFormatting>
  <conditionalFormatting sqref="B79">
    <cfRule type="duplicateValues" dxfId="1528" priority="1201"/>
  </conditionalFormatting>
  <conditionalFormatting sqref="B82">
    <cfRule type="duplicateValues" dxfId="1527" priority="1200"/>
  </conditionalFormatting>
  <conditionalFormatting sqref="B82">
    <cfRule type="duplicateValues" dxfId="1526" priority="1199"/>
  </conditionalFormatting>
  <conditionalFormatting sqref="B82">
    <cfRule type="duplicateValues" dxfId="1525" priority="1198"/>
  </conditionalFormatting>
  <conditionalFormatting sqref="B85">
    <cfRule type="duplicateValues" dxfId="1524" priority="1197"/>
  </conditionalFormatting>
  <conditionalFormatting sqref="B85">
    <cfRule type="duplicateValues" dxfId="1523" priority="1196"/>
  </conditionalFormatting>
  <conditionalFormatting sqref="B85">
    <cfRule type="duplicateValues" dxfId="1522" priority="1195"/>
  </conditionalFormatting>
  <conditionalFormatting sqref="B88">
    <cfRule type="duplicateValues" dxfId="1521" priority="1194"/>
  </conditionalFormatting>
  <conditionalFormatting sqref="B88">
    <cfRule type="duplicateValues" dxfId="1520" priority="1193"/>
  </conditionalFormatting>
  <conditionalFormatting sqref="B88">
    <cfRule type="duplicateValues" dxfId="1519" priority="1192"/>
  </conditionalFormatting>
  <conditionalFormatting sqref="B91">
    <cfRule type="duplicateValues" dxfId="1518" priority="1191"/>
  </conditionalFormatting>
  <conditionalFormatting sqref="B91">
    <cfRule type="duplicateValues" dxfId="1517" priority="1190"/>
  </conditionalFormatting>
  <conditionalFormatting sqref="B91">
    <cfRule type="duplicateValues" dxfId="1516" priority="1189"/>
  </conditionalFormatting>
  <conditionalFormatting sqref="B94">
    <cfRule type="duplicateValues" dxfId="1515" priority="1188"/>
  </conditionalFormatting>
  <conditionalFormatting sqref="B94">
    <cfRule type="duplicateValues" dxfId="1514" priority="1187"/>
  </conditionalFormatting>
  <conditionalFormatting sqref="B94">
    <cfRule type="duplicateValues" dxfId="1513" priority="1186"/>
  </conditionalFormatting>
  <conditionalFormatting sqref="B97">
    <cfRule type="duplicateValues" dxfId="1512" priority="1185"/>
  </conditionalFormatting>
  <conditionalFormatting sqref="B97">
    <cfRule type="duplicateValues" dxfId="1511" priority="1184"/>
  </conditionalFormatting>
  <conditionalFormatting sqref="B97">
    <cfRule type="duplicateValues" dxfId="1510" priority="1183"/>
  </conditionalFormatting>
  <conditionalFormatting sqref="B100">
    <cfRule type="duplicateValues" dxfId="1509" priority="1182"/>
  </conditionalFormatting>
  <conditionalFormatting sqref="B100">
    <cfRule type="duplicateValues" dxfId="1508" priority="1181"/>
  </conditionalFormatting>
  <conditionalFormatting sqref="B100">
    <cfRule type="duplicateValues" dxfId="1507" priority="1180"/>
  </conditionalFormatting>
  <conditionalFormatting sqref="B103">
    <cfRule type="duplicateValues" dxfId="1506" priority="1179"/>
  </conditionalFormatting>
  <conditionalFormatting sqref="B103">
    <cfRule type="duplicateValues" dxfId="1505" priority="1178"/>
  </conditionalFormatting>
  <conditionalFormatting sqref="B103">
    <cfRule type="duplicateValues" dxfId="1504" priority="1177"/>
  </conditionalFormatting>
  <conditionalFormatting sqref="B107">
    <cfRule type="duplicateValues" dxfId="1503" priority="1176"/>
  </conditionalFormatting>
  <conditionalFormatting sqref="B107">
    <cfRule type="duplicateValues" dxfId="1502" priority="1175"/>
  </conditionalFormatting>
  <conditionalFormatting sqref="B107">
    <cfRule type="duplicateValues" dxfId="1501" priority="1174"/>
  </conditionalFormatting>
  <conditionalFormatting sqref="B110">
    <cfRule type="duplicateValues" dxfId="1500" priority="1173"/>
  </conditionalFormatting>
  <conditionalFormatting sqref="B110">
    <cfRule type="duplicateValues" dxfId="1499" priority="1172"/>
  </conditionalFormatting>
  <conditionalFormatting sqref="B110">
    <cfRule type="duplicateValues" dxfId="1498" priority="1171"/>
  </conditionalFormatting>
  <conditionalFormatting sqref="B113">
    <cfRule type="duplicateValues" dxfId="1497" priority="1170"/>
  </conditionalFormatting>
  <conditionalFormatting sqref="B113">
    <cfRule type="duplicateValues" dxfId="1496" priority="1169"/>
  </conditionalFormatting>
  <conditionalFormatting sqref="B113">
    <cfRule type="duplicateValues" dxfId="1495" priority="1168"/>
  </conditionalFormatting>
  <conditionalFormatting sqref="AI5:AI6 AI8:AI9 AI11:AI12 AI14:AI15 AI17:AI18 AI20:AI21 AI23:AI24 AI26:AI27 AI29:AI30 AI32:AI33 AI35:AI36 AI38:AI39 AI41:AI42 AI44:AI45 AI47:AI48 AI50:AI51 AI53:AI54 AI56:AI57 AI59:AI60 AI62:AI69 AI71:AI115">
    <cfRule type="duplicateValues" dxfId="1494" priority="1167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93" priority="1166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92" priority="1165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91" priority="1164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90" priority="1163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89" priority="1162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88" priority="1161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87" priority="1160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86" priority="1159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85" priority="1158"/>
  </conditionalFormatting>
  <conditionalFormatting sqref="AI5:AI6 AI8:AI9 AI11:AI12 AI14:AI15 AI17:AI18 AI20:AI21 AI23:AI24 AI26:AI27 AI29:AI30 AI32:AI33 AI35:AI36 AI38:AI39 AI41:AI42 AI44:AI45 AI47:AI48 AI50:AI51 AI53:AI54 AI56:AI57 AI59:AI60 AI62:AI69">
    <cfRule type="duplicateValues" dxfId="1484" priority="1157"/>
  </conditionalFormatting>
  <conditionalFormatting sqref="AI70">
    <cfRule type="duplicateValues" dxfId="1483" priority="1156"/>
  </conditionalFormatting>
  <conditionalFormatting sqref="AI70">
    <cfRule type="duplicateValues" dxfId="1482" priority="1155"/>
  </conditionalFormatting>
  <conditionalFormatting sqref="AI70">
    <cfRule type="duplicateValues" dxfId="1481" priority="1154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80" priority="1139"/>
    <cfRule type="duplicateValues" dxfId="1479" priority="1145"/>
    <cfRule type="duplicateValues" dxfId="1478" priority="1146"/>
    <cfRule type="duplicateValues" dxfId="1477" priority="1147"/>
    <cfRule type="duplicateValues" dxfId="1476" priority="1148"/>
    <cfRule type="duplicateValues" dxfId="1475" priority="1149"/>
    <cfRule type="duplicateValues" dxfId="1474" priority="1150"/>
    <cfRule type="duplicateValues" dxfId="1473" priority="1151"/>
    <cfRule type="duplicateValues" dxfId="1472" priority="1152"/>
    <cfRule type="duplicateValues" dxfId="1471" priority="1153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70" priority="1144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69" priority="1143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68" priority="1142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67" priority="1141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66" priority="1138"/>
    <cfRule type="duplicateValues" dxfId="1465" priority="1140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64" priority="1134"/>
    <cfRule type="duplicateValues" dxfId="1463" priority="1135"/>
    <cfRule type="duplicateValues" dxfId="1462" priority="1136"/>
    <cfRule type="duplicateValues" dxfId="1461" priority="1137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60" priority="1132"/>
    <cfRule type="duplicateValues" dxfId="1459" priority="1133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58" priority="1131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57" priority="1117"/>
    <cfRule type="duplicateValues" dxfId="1456" priority="1118"/>
    <cfRule type="duplicateValues" dxfId="1455" priority="1119"/>
    <cfRule type="duplicateValues" dxfId="1454" priority="1120"/>
    <cfRule type="duplicateValues" dxfId="1453" priority="1121"/>
    <cfRule type="duplicateValues" dxfId="1452" priority="1122"/>
    <cfRule type="duplicateValues" dxfId="1451" priority="1123"/>
    <cfRule type="duplicateValues" dxfId="1450" priority="1124"/>
    <cfRule type="duplicateValues" dxfId="1449" priority="1125"/>
    <cfRule type="duplicateValues" dxfId="1448" priority="1126"/>
    <cfRule type="duplicateValues" dxfId="1447" priority="1127"/>
    <cfRule type="duplicateValues" dxfId="1446" priority="1128"/>
    <cfRule type="duplicateValues" dxfId="1445" priority="1129"/>
    <cfRule type="duplicateValues" dxfId="1444" priority="1130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43" priority="1116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42" priority="1115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41" priority="1109"/>
    <cfRule type="duplicateValues" dxfId="1440" priority="1114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39" priority="1113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38" priority="1112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37" priority="1111"/>
  </conditionalFormatting>
  <conditionalFormatting sqref="AI5:AI6 AI8:AI9 AI11:AI12 AI14:AI15 AI17:AI18 AI20:AI21 AI23:AI24 AI26:AI27 AI29:AI30 AI32:AI33 AI35:AI36 AI38:AI39 AI41:AI42 AI44:AI45 AI47:AI48 AI50:AI51 AI53:AI54 AI56:AI57 AI59:AI60 AI62:AI115">
    <cfRule type="duplicateValues" dxfId="1436" priority="1110"/>
  </conditionalFormatting>
  <conditionalFormatting sqref="AI4">
    <cfRule type="duplicateValues" dxfId="1435" priority="1108"/>
  </conditionalFormatting>
  <conditionalFormatting sqref="AI4">
    <cfRule type="duplicateValues" dxfId="1434" priority="1107"/>
  </conditionalFormatting>
  <conditionalFormatting sqref="AI4">
    <cfRule type="duplicateValues" dxfId="1433" priority="1106"/>
  </conditionalFormatting>
  <conditionalFormatting sqref="AI4">
    <cfRule type="duplicateValues" dxfId="1432" priority="1105"/>
  </conditionalFormatting>
  <conditionalFormatting sqref="AI4">
    <cfRule type="duplicateValues" dxfId="1431" priority="1104"/>
  </conditionalFormatting>
  <conditionalFormatting sqref="AI4">
    <cfRule type="duplicateValues" dxfId="1430" priority="1103"/>
  </conditionalFormatting>
  <conditionalFormatting sqref="AI4">
    <cfRule type="duplicateValues" dxfId="1429" priority="1102"/>
  </conditionalFormatting>
  <conditionalFormatting sqref="AI4">
    <cfRule type="duplicateValues" dxfId="1428" priority="1101"/>
  </conditionalFormatting>
  <conditionalFormatting sqref="AI4">
    <cfRule type="duplicateValues" dxfId="1427" priority="1100"/>
  </conditionalFormatting>
  <conditionalFormatting sqref="AI4">
    <cfRule type="duplicateValues" dxfId="1426" priority="1099"/>
  </conditionalFormatting>
  <conditionalFormatting sqref="AI4">
    <cfRule type="duplicateValues" dxfId="1425" priority="1098"/>
  </conditionalFormatting>
  <conditionalFormatting sqref="AI4">
    <cfRule type="duplicateValues" dxfId="1424" priority="1083"/>
    <cfRule type="duplicateValues" dxfId="1423" priority="1089"/>
    <cfRule type="duplicateValues" dxfId="1422" priority="1090"/>
    <cfRule type="duplicateValues" dxfId="1421" priority="1091"/>
    <cfRule type="duplicateValues" dxfId="1420" priority="1092"/>
    <cfRule type="duplicateValues" dxfId="1419" priority="1093"/>
    <cfRule type="duplicateValues" dxfId="1418" priority="1094"/>
    <cfRule type="duplicateValues" dxfId="1417" priority="1095"/>
    <cfRule type="duplicateValues" dxfId="1416" priority="1096"/>
    <cfRule type="duplicateValues" dxfId="1415" priority="1097"/>
  </conditionalFormatting>
  <conditionalFormatting sqref="AI4">
    <cfRule type="duplicateValues" dxfId="1414" priority="1088"/>
  </conditionalFormatting>
  <conditionalFormatting sqref="AI4">
    <cfRule type="duplicateValues" dxfId="1413" priority="1087"/>
  </conditionalFormatting>
  <conditionalFormatting sqref="AI4">
    <cfRule type="duplicateValues" dxfId="1412" priority="1086"/>
  </conditionalFormatting>
  <conditionalFormatting sqref="AI4">
    <cfRule type="duplicateValues" dxfId="1411" priority="1085"/>
  </conditionalFormatting>
  <conditionalFormatting sqref="AI4">
    <cfRule type="duplicateValues" dxfId="1410" priority="1082"/>
    <cfRule type="duplicateValues" dxfId="1409" priority="1084"/>
  </conditionalFormatting>
  <conditionalFormatting sqref="AI4">
    <cfRule type="duplicateValues" dxfId="1408" priority="1078"/>
    <cfRule type="duplicateValues" dxfId="1407" priority="1079"/>
    <cfRule type="duplicateValues" dxfId="1406" priority="1080"/>
    <cfRule type="duplicateValues" dxfId="1405" priority="1081"/>
  </conditionalFormatting>
  <conditionalFormatting sqref="AI4">
    <cfRule type="duplicateValues" dxfId="1404" priority="1076"/>
    <cfRule type="duplicateValues" dxfId="1403" priority="1077"/>
  </conditionalFormatting>
  <conditionalFormatting sqref="AI4">
    <cfRule type="duplicateValues" dxfId="1402" priority="1075"/>
  </conditionalFormatting>
  <conditionalFormatting sqref="AI4">
    <cfRule type="duplicateValues" dxfId="1401" priority="1061"/>
    <cfRule type="duplicateValues" dxfId="1400" priority="1062"/>
    <cfRule type="duplicateValues" dxfId="1399" priority="1063"/>
    <cfRule type="duplicateValues" dxfId="1398" priority="1064"/>
    <cfRule type="duplicateValues" dxfId="1397" priority="1065"/>
    <cfRule type="duplicateValues" dxfId="1396" priority="1066"/>
    <cfRule type="duplicateValues" dxfId="1395" priority="1067"/>
    <cfRule type="duplicateValues" dxfId="1394" priority="1068"/>
    <cfRule type="duplicateValues" dxfId="1393" priority="1069"/>
    <cfRule type="duplicateValues" dxfId="1392" priority="1070"/>
    <cfRule type="duplicateValues" dxfId="1391" priority="1071"/>
    <cfRule type="duplicateValues" dxfId="1390" priority="1072"/>
    <cfRule type="duplicateValues" dxfId="1389" priority="1073"/>
    <cfRule type="duplicateValues" dxfId="1388" priority="1074"/>
  </conditionalFormatting>
  <conditionalFormatting sqref="AI4">
    <cfRule type="duplicateValues" dxfId="1387" priority="1060"/>
  </conditionalFormatting>
  <conditionalFormatting sqref="AI4">
    <cfRule type="duplicateValues" dxfId="1386" priority="1059"/>
  </conditionalFormatting>
  <conditionalFormatting sqref="AI4">
    <cfRule type="duplicateValues" dxfId="1385" priority="1053"/>
    <cfRule type="duplicateValues" dxfId="1384" priority="1058"/>
  </conditionalFormatting>
  <conditionalFormatting sqref="AI4">
    <cfRule type="duplicateValues" dxfId="1383" priority="1057"/>
  </conditionalFormatting>
  <conditionalFormatting sqref="AI4">
    <cfRule type="duplicateValues" dxfId="1382" priority="1056"/>
  </conditionalFormatting>
  <conditionalFormatting sqref="AI4">
    <cfRule type="duplicateValues" dxfId="1381" priority="1055"/>
  </conditionalFormatting>
  <conditionalFormatting sqref="AI4">
    <cfRule type="duplicateValues" dxfId="1380" priority="1054"/>
  </conditionalFormatting>
  <conditionalFormatting sqref="AI7">
    <cfRule type="duplicateValues" dxfId="1379" priority="1052"/>
  </conditionalFormatting>
  <conditionalFormatting sqref="AI7">
    <cfRule type="duplicateValues" dxfId="1378" priority="1051"/>
  </conditionalFormatting>
  <conditionalFormatting sqref="AI7">
    <cfRule type="duplicateValues" dxfId="1377" priority="1050"/>
  </conditionalFormatting>
  <conditionalFormatting sqref="AI7">
    <cfRule type="duplicateValues" dxfId="1376" priority="1049"/>
  </conditionalFormatting>
  <conditionalFormatting sqref="AI7">
    <cfRule type="duplicateValues" dxfId="1375" priority="1048"/>
  </conditionalFormatting>
  <conditionalFormatting sqref="AI7">
    <cfRule type="duplicateValues" dxfId="1374" priority="1047"/>
  </conditionalFormatting>
  <conditionalFormatting sqref="AI7">
    <cfRule type="duplicateValues" dxfId="1373" priority="1046"/>
  </conditionalFormatting>
  <conditionalFormatting sqref="AI7">
    <cfRule type="duplicateValues" dxfId="1372" priority="1045"/>
  </conditionalFormatting>
  <conditionalFormatting sqref="AI7">
    <cfRule type="duplicateValues" dxfId="1371" priority="1044"/>
  </conditionalFormatting>
  <conditionalFormatting sqref="AI7">
    <cfRule type="duplicateValues" dxfId="1370" priority="1043"/>
  </conditionalFormatting>
  <conditionalFormatting sqref="AI7">
    <cfRule type="duplicateValues" dxfId="1369" priority="1042"/>
  </conditionalFormatting>
  <conditionalFormatting sqref="AI7">
    <cfRule type="duplicateValues" dxfId="1368" priority="1027"/>
    <cfRule type="duplicateValues" dxfId="1367" priority="1033"/>
    <cfRule type="duplicateValues" dxfId="1366" priority="1034"/>
    <cfRule type="duplicateValues" dxfId="1365" priority="1035"/>
    <cfRule type="duplicateValues" dxfId="1364" priority="1036"/>
    <cfRule type="duplicateValues" dxfId="1363" priority="1037"/>
    <cfRule type="duplicateValues" dxfId="1362" priority="1038"/>
    <cfRule type="duplicateValues" dxfId="1361" priority="1039"/>
    <cfRule type="duplicateValues" dxfId="1360" priority="1040"/>
    <cfRule type="duplicateValues" dxfId="1359" priority="1041"/>
  </conditionalFormatting>
  <conditionalFormatting sqref="AI7">
    <cfRule type="duplicateValues" dxfId="1358" priority="1032"/>
  </conditionalFormatting>
  <conditionalFormatting sqref="AI7">
    <cfRule type="duplicateValues" dxfId="1357" priority="1031"/>
  </conditionalFormatting>
  <conditionalFormatting sqref="AI7">
    <cfRule type="duplicateValues" dxfId="1356" priority="1030"/>
  </conditionalFormatting>
  <conditionalFormatting sqref="AI7">
    <cfRule type="duplicateValues" dxfId="1355" priority="1029"/>
  </conditionalFormatting>
  <conditionalFormatting sqref="AI7">
    <cfRule type="duplicateValues" dxfId="1354" priority="1026"/>
    <cfRule type="duplicateValues" dxfId="1353" priority="1028"/>
  </conditionalFormatting>
  <conditionalFormatting sqref="AI7">
    <cfRule type="duplicateValues" dxfId="1352" priority="1022"/>
    <cfRule type="duplicateValues" dxfId="1351" priority="1023"/>
    <cfRule type="duplicateValues" dxfId="1350" priority="1024"/>
    <cfRule type="duplicateValues" dxfId="1349" priority="1025"/>
  </conditionalFormatting>
  <conditionalFormatting sqref="AI7">
    <cfRule type="duplicateValues" dxfId="1348" priority="1020"/>
    <cfRule type="duplicateValues" dxfId="1347" priority="1021"/>
  </conditionalFormatting>
  <conditionalFormatting sqref="AI7">
    <cfRule type="duplicateValues" dxfId="1346" priority="1019"/>
  </conditionalFormatting>
  <conditionalFormatting sqref="AI7">
    <cfRule type="duplicateValues" dxfId="1345" priority="1005"/>
    <cfRule type="duplicateValues" dxfId="1344" priority="1006"/>
    <cfRule type="duplicateValues" dxfId="1343" priority="1007"/>
    <cfRule type="duplicateValues" dxfId="1342" priority="1008"/>
    <cfRule type="duplicateValues" dxfId="1341" priority="1009"/>
    <cfRule type="duplicateValues" dxfId="1340" priority="1010"/>
    <cfRule type="duplicateValues" dxfId="1339" priority="1011"/>
    <cfRule type="duplicateValues" dxfId="1338" priority="1012"/>
    <cfRule type="duplicateValues" dxfId="1337" priority="1013"/>
    <cfRule type="duplicateValues" dxfId="1336" priority="1014"/>
    <cfRule type="duplicateValues" dxfId="1335" priority="1015"/>
    <cfRule type="duplicateValues" dxfId="1334" priority="1016"/>
    <cfRule type="duplicateValues" dxfId="1333" priority="1017"/>
    <cfRule type="duplicateValues" dxfId="1332" priority="1018"/>
  </conditionalFormatting>
  <conditionalFormatting sqref="AI7">
    <cfRule type="duplicateValues" dxfId="1331" priority="1004"/>
  </conditionalFormatting>
  <conditionalFormatting sqref="AI7">
    <cfRule type="duplicateValues" dxfId="1330" priority="1003"/>
  </conditionalFormatting>
  <conditionalFormatting sqref="AI7">
    <cfRule type="duplicateValues" dxfId="1329" priority="997"/>
    <cfRule type="duplicateValues" dxfId="1328" priority="1002"/>
  </conditionalFormatting>
  <conditionalFormatting sqref="AI7">
    <cfRule type="duplicateValues" dxfId="1327" priority="1001"/>
  </conditionalFormatting>
  <conditionalFormatting sqref="AI7">
    <cfRule type="duplicateValues" dxfId="1326" priority="1000"/>
  </conditionalFormatting>
  <conditionalFormatting sqref="AI7">
    <cfRule type="duplicateValues" dxfId="1325" priority="999"/>
  </conditionalFormatting>
  <conditionalFormatting sqref="AI7">
    <cfRule type="duplicateValues" dxfId="1324" priority="998"/>
  </conditionalFormatting>
  <conditionalFormatting sqref="AI10">
    <cfRule type="duplicateValues" dxfId="1323" priority="996"/>
  </conditionalFormatting>
  <conditionalFormatting sqref="AI10">
    <cfRule type="duplicateValues" dxfId="1322" priority="995"/>
  </conditionalFormatting>
  <conditionalFormatting sqref="AI10">
    <cfRule type="duplicateValues" dxfId="1321" priority="994"/>
  </conditionalFormatting>
  <conditionalFormatting sqref="AI10">
    <cfRule type="duplicateValues" dxfId="1320" priority="993"/>
  </conditionalFormatting>
  <conditionalFormatting sqref="AI10">
    <cfRule type="duplicateValues" dxfId="1319" priority="992"/>
  </conditionalFormatting>
  <conditionalFormatting sqref="AI10">
    <cfRule type="duplicateValues" dxfId="1318" priority="991"/>
  </conditionalFormatting>
  <conditionalFormatting sqref="AI10">
    <cfRule type="duplicateValues" dxfId="1317" priority="990"/>
  </conditionalFormatting>
  <conditionalFormatting sqref="AI10">
    <cfRule type="duplicateValues" dxfId="1316" priority="989"/>
  </conditionalFormatting>
  <conditionalFormatting sqref="AI10">
    <cfRule type="duplicateValues" dxfId="1315" priority="988"/>
  </conditionalFormatting>
  <conditionalFormatting sqref="AI10">
    <cfRule type="duplicateValues" dxfId="1314" priority="987"/>
  </conditionalFormatting>
  <conditionalFormatting sqref="AI10">
    <cfRule type="duplicateValues" dxfId="1313" priority="986"/>
  </conditionalFormatting>
  <conditionalFormatting sqref="AI10">
    <cfRule type="duplicateValues" dxfId="1312" priority="971"/>
    <cfRule type="duplicateValues" dxfId="1311" priority="977"/>
    <cfRule type="duplicateValues" dxfId="1310" priority="978"/>
    <cfRule type="duplicateValues" dxfId="1309" priority="979"/>
    <cfRule type="duplicateValues" dxfId="1308" priority="980"/>
    <cfRule type="duplicateValues" dxfId="1307" priority="981"/>
    <cfRule type="duplicateValues" dxfId="1306" priority="982"/>
    <cfRule type="duplicateValues" dxfId="1305" priority="983"/>
    <cfRule type="duplicateValues" dxfId="1304" priority="984"/>
    <cfRule type="duplicateValues" dxfId="1303" priority="985"/>
  </conditionalFormatting>
  <conditionalFormatting sqref="AI10">
    <cfRule type="duplicateValues" dxfId="1302" priority="976"/>
  </conditionalFormatting>
  <conditionalFormatting sqref="AI10">
    <cfRule type="duplicateValues" dxfId="1301" priority="975"/>
  </conditionalFormatting>
  <conditionalFormatting sqref="AI10">
    <cfRule type="duplicateValues" dxfId="1300" priority="974"/>
  </conditionalFormatting>
  <conditionalFormatting sqref="AI10">
    <cfRule type="duplicateValues" dxfId="1299" priority="973"/>
  </conditionalFormatting>
  <conditionalFormatting sqref="AI10">
    <cfRule type="duplicateValues" dxfId="1298" priority="970"/>
    <cfRule type="duplicateValues" dxfId="1297" priority="972"/>
  </conditionalFormatting>
  <conditionalFormatting sqref="AI10">
    <cfRule type="duplicateValues" dxfId="1296" priority="966"/>
    <cfRule type="duplicateValues" dxfId="1295" priority="967"/>
    <cfRule type="duplicateValues" dxfId="1294" priority="968"/>
    <cfRule type="duplicateValues" dxfId="1293" priority="969"/>
  </conditionalFormatting>
  <conditionalFormatting sqref="AI10">
    <cfRule type="duplicateValues" dxfId="1292" priority="964"/>
    <cfRule type="duplicateValues" dxfId="1291" priority="965"/>
  </conditionalFormatting>
  <conditionalFormatting sqref="AI10">
    <cfRule type="duplicateValues" dxfId="1290" priority="963"/>
  </conditionalFormatting>
  <conditionalFormatting sqref="AI10">
    <cfRule type="duplicateValues" dxfId="1289" priority="949"/>
    <cfRule type="duplicateValues" dxfId="1288" priority="950"/>
    <cfRule type="duplicateValues" dxfId="1287" priority="951"/>
    <cfRule type="duplicateValues" dxfId="1286" priority="952"/>
    <cfRule type="duplicateValues" dxfId="1285" priority="953"/>
    <cfRule type="duplicateValues" dxfId="1284" priority="954"/>
    <cfRule type="duplicateValues" dxfId="1283" priority="955"/>
    <cfRule type="duplicateValues" dxfId="1282" priority="956"/>
    <cfRule type="duplicateValues" dxfId="1281" priority="957"/>
    <cfRule type="duplicateValues" dxfId="1280" priority="958"/>
    <cfRule type="duplicateValues" dxfId="1279" priority="959"/>
    <cfRule type="duplicateValues" dxfId="1278" priority="960"/>
    <cfRule type="duplicateValues" dxfId="1277" priority="961"/>
    <cfRule type="duplicateValues" dxfId="1276" priority="962"/>
  </conditionalFormatting>
  <conditionalFormatting sqref="AI10">
    <cfRule type="duplicateValues" dxfId="1275" priority="948"/>
  </conditionalFormatting>
  <conditionalFormatting sqref="AI10">
    <cfRule type="duplicateValues" dxfId="1274" priority="947"/>
  </conditionalFormatting>
  <conditionalFormatting sqref="AI10">
    <cfRule type="duplicateValues" dxfId="1273" priority="941"/>
    <cfRule type="duplicateValues" dxfId="1272" priority="946"/>
  </conditionalFormatting>
  <conditionalFormatting sqref="AI10">
    <cfRule type="duplicateValues" dxfId="1271" priority="945"/>
  </conditionalFormatting>
  <conditionalFormatting sqref="AI10">
    <cfRule type="duplicateValues" dxfId="1270" priority="944"/>
  </conditionalFormatting>
  <conditionalFormatting sqref="AI10">
    <cfRule type="duplicateValues" dxfId="1269" priority="943"/>
  </conditionalFormatting>
  <conditionalFormatting sqref="AI10">
    <cfRule type="duplicateValues" dxfId="1268" priority="942"/>
  </conditionalFormatting>
  <conditionalFormatting sqref="AI13">
    <cfRule type="duplicateValues" dxfId="1267" priority="940"/>
  </conditionalFormatting>
  <conditionalFormatting sqref="AI13">
    <cfRule type="duplicateValues" dxfId="1266" priority="939"/>
  </conditionalFormatting>
  <conditionalFormatting sqref="AI13">
    <cfRule type="duplicateValues" dxfId="1265" priority="938"/>
  </conditionalFormatting>
  <conditionalFormatting sqref="AI13">
    <cfRule type="duplicateValues" dxfId="1264" priority="937"/>
  </conditionalFormatting>
  <conditionalFormatting sqref="AI13">
    <cfRule type="duplicateValues" dxfId="1263" priority="936"/>
  </conditionalFormatting>
  <conditionalFormatting sqref="AI13">
    <cfRule type="duplicateValues" dxfId="1262" priority="935"/>
  </conditionalFormatting>
  <conditionalFormatting sqref="AI13">
    <cfRule type="duplicateValues" dxfId="1261" priority="934"/>
  </conditionalFormatting>
  <conditionalFormatting sqref="AI13">
    <cfRule type="duplicateValues" dxfId="1260" priority="933"/>
  </conditionalFormatting>
  <conditionalFormatting sqref="AI13">
    <cfRule type="duplicateValues" dxfId="1259" priority="932"/>
  </conditionalFormatting>
  <conditionalFormatting sqref="AI13">
    <cfRule type="duplicateValues" dxfId="1258" priority="931"/>
  </conditionalFormatting>
  <conditionalFormatting sqref="AI13">
    <cfRule type="duplicateValues" dxfId="1257" priority="930"/>
  </conditionalFormatting>
  <conditionalFormatting sqref="AI13">
    <cfRule type="duplicateValues" dxfId="1256" priority="915"/>
    <cfRule type="duplicateValues" dxfId="1255" priority="921"/>
    <cfRule type="duplicateValues" dxfId="1254" priority="922"/>
    <cfRule type="duplicateValues" dxfId="1253" priority="923"/>
    <cfRule type="duplicateValues" dxfId="1252" priority="924"/>
    <cfRule type="duplicateValues" dxfId="1251" priority="925"/>
    <cfRule type="duplicateValues" dxfId="1250" priority="926"/>
    <cfRule type="duplicateValues" dxfId="1249" priority="927"/>
    <cfRule type="duplicateValues" dxfId="1248" priority="928"/>
    <cfRule type="duplicateValues" dxfId="1247" priority="929"/>
  </conditionalFormatting>
  <conditionalFormatting sqref="AI13">
    <cfRule type="duplicateValues" dxfId="1246" priority="920"/>
  </conditionalFormatting>
  <conditionalFormatting sqref="AI13">
    <cfRule type="duplicateValues" dxfId="1245" priority="919"/>
  </conditionalFormatting>
  <conditionalFormatting sqref="AI13">
    <cfRule type="duplicateValues" dxfId="1244" priority="918"/>
  </conditionalFormatting>
  <conditionalFormatting sqref="AI13">
    <cfRule type="duplicateValues" dxfId="1243" priority="917"/>
  </conditionalFormatting>
  <conditionalFormatting sqref="AI13">
    <cfRule type="duplicateValues" dxfId="1242" priority="914"/>
    <cfRule type="duplicateValues" dxfId="1241" priority="916"/>
  </conditionalFormatting>
  <conditionalFormatting sqref="AI13">
    <cfRule type="duplicateValues" dxfId="1240" priority="910"/>
    <cfRule type="duplicateValues" dxfId="1239" priority="911"/>
    <cfRule type="duplicateValues" dxfId="1238" priority="912"/>
    <cfRule type="duplicateValues" dxfId="1237" priority="913"/>
  </conditionalFormatting>
  <conditionalFormatting sqref="AI13">
    <cfRule type="duplicateValues" dxfId="1236" priority="908"/>
    <cfRule type="duplicateValues" dxfId="1235" priority="909"/>
  </conditionalFormatting>
  <conditionalFormatting sqref="AI13">
    <cfRule type="duplicateValues" dxfId="1234" priority="907"/>
  </conditionalFormatting>
  <conditionalFormatting sqref="AI13">
    <cfRule type="duplicateValues" dxfId="1233" priority="893"/>
    <cfRule type="duplicateValues" dxfId="1232" priority="894"/>
    <cfRule type="duplicateValues" dxfId="1231" priority="895"/>
    <cfRule type="duplicateValues" dxfId="1230" priority="896"/>
    <cfRule type="duplicateValues" dxfId="1229" priority="897"/>
    <cfRule type="duplicateValues" dxfId="1228" priority="898"/>
    <cfRule type="duplicateValues" dxfId="1227" priority="899"/>
    <cfRule type="duplicateValues" dxfId="1226" priority="900"/>
    <cfRule type="duplicateValues" dxfId="1225" priority="901"/>
    <cfRule type="duplicateValues" dxfId="1224" priority="902"/>
    <cfRule type="duplicateValues" dxfId="1223" priority="903"/>
    <cfRule type="duplicateValues" dxfId="1222" priority="904"/>
    <cfRule type="duplicateValues" dxfId="1221" priority="905"/>
    <cfRule type="duplicateValues" dxfId="1220" priority="906"/>
  </conditionalFormatting>
  <conditionalFormatting sqref="AI13">
    <cfRule type="duplicateValues" dxfId="1219" priority="892"/>
  </conditionalFormatting>
  <conditionalFormatting sqref="AI13">
    <cfRule type="duplicateValues" dxfId="1218" priority="891"/>
  </conditionalFormatting>
  <conditionalFormatting sqref="AI13">
    <cfRule type="duplicateValues" dxfId="1217" priority="885"/>
    <cfRule type="duplicateValues" dxfId="1216" priority="890"/>
  </conditionalFormatting>
  <conditionalFormatting sqref="AI13">
    <cfRule type="duplicateValues" dxfId="1215" priority="889"/>
  </conditionalFormatting>
  <conditionalFormatting sqref="AI13">
    <cfRule type="duplicateValues" dxfId="1214" priority="888"/>
  </conditionalFormatting>
  <conditionalFormatting sqref="AI13">
    <cfRule type="duplicateValues" dxfId="1213" priority="887"/>
  </conditionalFormatting>
  <conditionalFormatting sqref="AI13">
    <cfRule type="duplicateValues" dxfId="1212" priority="886"/>
  </conditionalFormatting>
  <conditionalFormatting sqref="AI16">
    <cfRule type="duplicateValues" dxfId="1211" priority="884"/>
  </conditionalFormatting>
  <conditionalFormatting sqref="AI16">
    <cfRule type="duplicateValues" dxfId="1210" priority="883"/>
  </conditionalFormatting>
  <conditionalFormatting sqref="AI16">
    <cfRule type="duplicateValues" dxfId="1209" priority="882"/>
  </conditionalFormatting>
  <conditionalFormatting sqref="AI16">
    <cfRule type="duplicateValues" dxfId="1208" priority="881"/>
  </conditionalFormatting>
  <conditionalFormatting sqref="AI16">
    <cfRule type="duplicateValues" dxfId="1207" priority="880"/>
  </conditionalFormatting>
  <conditionalFormatting sqref="AI16">
    <cfRule type="duplicateValues" dxfId="1206" priority="879"/>
  </conditionalFormatting>
  <conditionalFormatting sqref="AI16">
    <cfRule type="duplicateValues" dxfId="1205" priority="878"/>
  </conditionalFormatting>
  <conditionalFormatting sqref="AI16">
    <cfRule type="duplicateValues" dxfId="1204" priority="877"/>
  </conditionalFormatting>
  <conditionalFormatting sqref="AI16">
    <cfRule type="duplicateValues" dxfId="1203" priority="876"/>
  </conditionalFormatting>
  <conditionalFormatting sqref="AI16">
    <cfRule type="duplicateValues" dxfId="1202" priority="875"/>
  </conditionalFormatting>
  <conditionalFormatting sqref="AI16">
    <cfRule type="duplicateValues" dxfId="1201" priority="874"/>
  </conditionalFormatting>
  <conditionalFormatting sqref="AI16">
    <cfRule type="duplicateValues" dxfId="1200" priority="859"/>
    <cfRule type="duplicateValues" dxfId="1199" priority="865"/>
    <cfRule type="duplicateValues" dxfId="1198" priority="866"/>
    <cfRule type="duplicateValues" dxfId="1197" priority="867"/>
    <cfRule type="duplicateValues" dxfId="1196" priority="868"/>
    <cfRule type="duplicateValues" dxfId="1195" priority="869"/>
    <cfRule type="duplicateValues" dxfId="1194" priority="870"/>
    <cfRule type="duplicateValues" dxfId="1193" priority="871"/>
    <cfRule type="duplicateValues" dxfId="1192" priority="872"/>
    <cfRule type="duplicateValues" dxfId="1191" priority="873"/>
  </conditionalFormatting>
  <conditionalFormatting sqref="AI16">
    <cfRule type="duplicateValues" dxfId="1190" priority="864"/>
  </conditionalFormatting>
  <conditionalFormatting sqref="AI16">
    <cfRule type="duplicateValues" dxfId="1189" priority="863"/>
  </conditionalFormatting>
  <conditionalFormatting sqref="AI16">
    <cfRule type="duplicateValues" dxfId="1188" priority="862"/>
  </conditionalFormatting>
  <conditionalFormatting sqref="AI16">
    <cfRule type="duplicateValues" dxfId="1187" priority="861"/>
  </conditionalFormatting>
  <conditionalFormatting sqref="AI16">
    <cfRule type="duplicateValues" dxfId="1186" priority="858"/>
    <cfRule type="duplicateValues" dxfId="1185" priority="860"/>
  </conditionalFormatting>
  <conditionalFormatting sqref="AI16">
    <cfRule type="duplicateValues" dxfId="1184" priority="854"/>
    <cfRule type="duplicateValues" dxfId="1183" priority="855"/>
    <cfRule type="duplicateValues" dxfId="1182" priority="856"/>
    <cfRule type="duplicateValues" dxfId="1181" priority="857"/>
  </conditionalFormatting>
  <conditionalFormatting sqref="AI16">
    <cfRule type="duplicateValues" dxfId="1180" priority="852"/>
    <cfRule type="duplicateValues" dxfId="1179" priority="853"/>
  </conditionalFormatting>
  <conditionalFormatting sqref="AI16">
    <cfRule type="duplicateValues" dxfId="1178" priority="851"/>
  </conditionalFormatting>
  <conditionalFormatting sqref="AI16">
    <cfRule type="duplicateValues" dxfId="1177" priority="837"/>
    <cfRule type="duplicateValues" dxfId="1176" priority="838"/>
    <cfRule type="duplicateValues" dxfId="1175" priority="839"/>
    <cfRule type="duplicateValues" dxfId="1174" priority="840"/>
    <cfRule type="duplicateValues" dxfId="1173" priority="841"/>
    <cfRule type="duplicateValues" dxfId="1172" priority="842"/>
    <cfRule type="duplicateValues" dxfId="1171" priority="843"/>
    <cfRule type="duplicateValues" dxfId="1170" priority="844"/>
    <cfRule type="duplicateValues" dxfId="1169" priority="845"/>
    <cfRule type="duplicateValues" dxfId="1168" priority="846"/>
    <cfRule type="duplicateValues" dxfId="1167" priority="847"/>
    <cfRule type="duplicateValues" dxfId="1166" priority="848"/>
    <cfRule type="duplicateValues" dxfId="1165" priority="849"/>
    <cfRule type="duplicateValues" dxfId="1164" priority="850"/>
  </conditionalFormatting>
  <conditionalFormatting sqref="AI16">
    <cfRule type="duplicateValues" dxfId="1163" priority="836"/>
  </conditionalFormatting>
  <conditionalFormatting sqref="AI16">
    <cfRule type="duplicateValues" dxfId="1162" priority="835"/>
  </conditionalFormatting>
  <conditionalFormatting sqref="AI16">
    <cfRule type="duplicateValues" dxfId="1161" priority="829"/>
    <cfRule type="duplicateValues" dxfId="1160" priority="834"/>
  </conditionalFormatting>
  <conditionalFormatting sqref="AI16">
    <cfRule type="duplicateValues" dxfId="1159" priority="833"/>
  </conditionalFormatting>
  <conditionalFormatting sqref="AI16">
    <cfRule type="duplicateValues" dxfId="1158" priority="832"/>
  </conditionalFormatting>
  <conditionalFormatting sqref="AI16">
    <cfRule type="duplicateValues" dxfId="1157" priority="831"/>
  </conditionalFormatting>
  <conditionalFormatting sqref="AI16">
    <cfRule type="duplicateValues" dxfId="1156" priority="830"/>
  </conditionalFormatting>
  <conditionalFormatting sqref="AI19">
    <cfRule type="duplicateValues" dxfId="1155" priority="828"/>
  </conditionalFormatting>
  <conditionalFormatting sqref="AI19">
    <cfRule type="duplicateValues" dxfId="1154" priority="827"/>
  </conditionalFormatting>
  <conditionalFormatting sqref="AI19">
    <cfRule type="duplicateValues" dxfId="1153" priority="826"/>
  </conditionalFormatting>
  <conditionalFormatting sqref="AI19">
    <cfRule type="duplicateValues" dxfId="1152" priority="825"/>
  </conditionalFormatting>
  <conditionalFormatting sqref="AI19">
    <cfRule type="duplicateValues" dxfId="1151" priority="824"/>
  </conditionalFormatting>
  <conditionalFormatting sqref="AI19">
    <cfRule type="duplicateValues" dxfId="1150" priority="823"/>
  </conditionalFormatting>
  <conditionalFormatting sqref="AI19">
    <cfRule type="duplicateValues" dxfId="1149" priority="822"/>
  </conditionalFormatting>
  <conditionalFormatting sqref="AI19">
    <cfRule type="duplicateValues" dxfId="1148" priority="821"/>
  </conditionalFormatting>
  <conditionalFormatting sqref="AI19">
    <cfRule type="duplicateValues" dxfId="1147" priority="820"/>
  </conditionalFormatting>
  <conditionalFormatting sqref="AI19">
    <cfRule type="duplicateValues" dxfId="1146" priority="819"/>
  </conditionalFormatting>
  <conditionalFormatting sqref="AI19">
    <cfRule type="duplicateValues" dxfId="1145" priority="818"/>
  </conditionalFormatting>
  <conditionalFormatting sqref="AI19">
    <cfRule type="duplicateValues" dxfId="1144" priority="803"/>
    <cfRule type="duplicateValues" dxfId="1143" priority="809"/>
    <cfRule type="duplicateValues" dxfId="1142" priority="810"/>
    <cfRule type="duplicateValues" dxfId="1141" priority="811"/>
    <cfRule type="duplicateValues" dxfId="1140" priority="812"/>
    <cfRule type="duplicateValues" dxfId="1139" priority="813"/>
    <cfRule type="duplicateValues" dxfId="1138" priority="814"/>
    <cfRule type="duplicateValues" dxfId="1137" priority="815"/>
    <cfRule type="duplicateValues" dxfId="1136" priority="816"/>
    <cfRule type="duplicateValues" dxfId="1135" priority="817"/>
  </conditionalFormatting>
  <conditionalFormatting sqref="AI19">
    <cfRule type="duplicateValues" dxfId="1134" priority="808"/>
  </conditionalFormatting>
  <conditionalFormatting sqref="AI19">
    <cfRule type="duplicateValues" dxfId="1133" priority="807"/>
  </conditionalFormatting>
  <conditionalFormatting sqref="AI19">
    <cfRule type="duplicateValues" dxfId="1132" priority="806"/>
  </conditionalFormatting>
  <conditionalFormatting sqref="AI19">
    <cfRule type="duplicateValues" dxfId="1131" priority="805"/>
  </conditionalFormatting>
  <conditionalFormatting sqref="AI19">
    <cfRule type="duplicateValues" dxfId="1130" priority="802"/>
    <cfRule type="duplicateValues" dxfId="1129" priority="804"/>
  </conditionalFormatting>
  <conditionalFormatting sqref="AI19">
    <cfRule type="duplicateValues" dxfId="1128" priority="798"/>
    <cfRule type="duplicateValues" dxfId="1127" priority="799"/>
    <cfRule type="duplicateValues" dxfId="1126" priority="800"/>
    <cfRule type="duplicateValues" dxfId="1125" priority="801"/>
  </conditionalFormatting>
  <conditionalFormatting sqref="AI19">
    <cfRule type="duplicateValues" dxfId="1124" priority="796"/>
    <cfRule type="duplicateValues" dxfId="1123" priority="797"/>
  </conditionalFormatting>
  <conditionalFormatting sqref="AI19">
    <cfRule type="duplicateValues" dxfId="1122" priority="795"/>
  </conditionalFormatting>
  <conditionalFormatting sqref="AI19">
    <cfRule type="duplicateValues" dxfId="1121" priority="781"/>
    <cfRule type="duplicateValues" dxfId="1120" priority="782"/>
    <cfRule type="duplicateValues" dxfId="1119" priority="783"/>
    <cfRule type="duplicateValues" dxfId="1118" priority="784"/>
    <cfRule type="duplicateValues" dxfId="1117" priority="785"/>
    <cfRule type="duplicateValues" dxfId="1116" priority="786"/>
    <cfRule type="duplicateValues" dxfId="1115" priority="787"/>
    <cfRule type="duplicateValues" dxfId="1114" priority="788"/>
    <cfRule type="duplicateValues" dxfId="1113" priority="789"/>
    <cfRule type="duplicateValues" dxfId="1112" priority="790"/>
    <cfRule type="duplicateValues" dxfId="1111" priority="791"/>
    <cfRule type="duplicateValues" dxfId="1110" priority="792"/>
    <cfRule type="duplicateValues" dxfId="1109" priority="793"/>
    <cfRule type="duplicateValues" dxfId="1108" priority="794"/>
  </conditionalFormatting>
  <conditionalFormatting sqref="AI19">
    <cfRule type="duplicateValues" dxfId="1107" priority="780"/>
  </conditionalFormatting>
  <conditionalFormatting sqref="AI19">
    <cfRule type="duplicateValues" dxfId="1106" priority="779"/>
  </conditionalFormatting>
  <conditionalFormatting sqref="AI19">
    <cfRule type="duplicateValues" dxfId="1105" priority="773"/>
    <cfRule type="duplicateValues" dxfId="1104" priority="778"/>
  </conditionalFormatting>
  <conditionalFormatting sqref="AI19">
    <cfRule type="duplicateValues" dxfId="1103" priority="777"/>
  </conditionalFormatting>
  <conditionalFormatting sqref="AI19">
    <cfRule type="duplicateValues" dxfId="1102" priority="776"/>
  </conditionalFormatting>
  <conditionalFormatting sqref="AI19">
    <cfRule type="duplicateValues" dxfId="1101" priority="775"/>
  </conditionalFormatting>
  <conditionalFormatting sqref="AI19">
    <cfRule type="duplicateValues" dxfId="1100" priority="774"/>
  </conditionalFormatting>
  <conditionalFormatting sqref="AI22">
    <cfRule type="duplicateValues" dxfId="1099" priority="772"/>
  </conditionalFormatting>
  <conditionalFormatting sqref="AI22">
    <cfRule type="duplicateValues" dxfId="1098" priority="771"/>
  </conditionalFormatting>
  <conditionalFormatting sqref="AI22">
    <cfRule type="duplicateValues" dxfId="1097" priority="770"/>
  </conditionalFormatting>
  <conditionalFormatting sqref="AI22">
    <cfRule type="duplicateValues" dxfId="1096" priority="769"/>
  </conditionalFormatting>
  <conditionalFormatting sqref="AI22">
    <cfRule type="duplicateValues" dxfId="1095" priority="768"/>
  </conditionalFormatting>
  <conditionalFormatting sqref="AI22">
    <cfRule type="duplicateValues" dxfId="1094" priority="767"/>
  </conditionalFormatting>
  <conditionalFormatting sqref="AI22">
    <cfRule type="duplicateValues" dxfId="1093" priority="766"/>
  </conditionalFormatting>
  <conditionalFormatting sqref="AI22">
    <cfRule type="duplicateValues" dxfId="1092" priority="765"/>
  </conditionalFormatting>
  <conditionalFormatting sqref="AI22">
    <cfRule type="duplicateValues" dxfId="1091" priority="764"/>
  </conditionalFormatting>
  <conditionalFormatting sqref="AI22">
    <cfRule type="duplicateValues" dxfId="1090" priority="763"/>
  </conditionalFormatting>
  <conditionalFormatting sqref="AI22">
    <cfRule type="duplicateValues" dxfId="1089" priority="762"/>
  </conditionalFormatting>
  <conditionalFormatting sqref="AI22">
    <cfRule type="duplicateValues" dxfId="1088" priority="747"/>
    <cfRule type="duplicateValues" dxfId="1087" priority="753"/>
    <cfRule type="duplicateValues" dxfId="1086" priority="754"/>
    <cfRule type="duplicateValues" dxfId="1085" priority="755"/>
    <cfRule type="duplicateValues" dxfId="1084" priority="756"/>
    <cfRule type="duplicateValues" dxfId="1083" priority="757"/>
    <cfRule type="duplicateValues" dxfId="1082" priority="758"/>
    <cfRule type="duplicateValues" dxfId="1081" priority="759"/>
    <cfRule type="duplicateValues" dxfId="1080" priority="760"/>
    <cfRule type="duplicateValues" dxfId="1079" priority="761"/>
  </conditionalFormatting>
  <conditionalFormatting sqref="AI22">
    <cfRule type="duplicateValues" dxfId="1078" priority="752"/>
  </conditionalFormatting>
  <conditionalFormatting sqref="AI22">
    <cfRule type="duplicateValues" dxfId="1077" priority="751"/>
  </conditionalFormatting>
  <conditionalFormatting sqref="AI22">
    <cfRule type="duplicateValues" dxfId="1076" priority="750"/>
  </conditionalFormatting>
  <conditionalFormatting sqref="AI22">
    <cfRule type="duplicateValues" dxfId="1075" priority="749"/>
  </conditionalFormatting>
  <conditionalFormatting sqref="AI22">
    <cfRule type="duplicateValues" dxfId="1074" priority="746"/>
    <cfRule type="duplicateValues" dxfId="1073" priority="748"/>
  </conditionalFormatting>
  <conditionalFormatting sqref="AI22">
    <cfRule type="duplicateValues" dxfId="1072" priority="742"/>
    <cfRule type="duplicateValues" dxfId="1071" priority="743"/>
    <cfRule type="duplicateValues" dxfId="1070" priority="744"/>
    <cfRule type="duplicateValues" dxfId="1069" priority="745"/>
  </conditionalFormatting>
  <conditionalFormatting sqref="AI22">
    <cfRule type="duplicateValues" dxfId="1068" priority="740"/>
    <cfRule type="duplicateValues" dxfId="1067" priority="741"/>
  </conditionalFormatting>
  <conditionalFormatting sqref="AI22">
    <cfRule type="duplicateValues" dxfId="1066" priority="739"/>
  </conditionalFormatting>
  <conditionalFormatting sqref="AI22">
    <cfRule type="duplicateValues" dxfId="1065" priority="725"/>
    <cfRule type="duplicateValues" dxfId="1064" priority="726"/>
    <cfRule type="duplicateValues" dxfId="1063" priority="727"/>
    <cfRule type="duplicateValues" dxfId="1062" priority="728"/>
    <cfRule type="duplicateValues" dxfId="1061" priority="729"/>
    <cfRule type="duplicateValues" dxfId="1060" priority="730"/>
    <cfRule type="duplicateValues" dxfId="1059" priority="731"/>
    <cfRule type="duplicateValues" dxfId="1058" priority="732"/>
    <cfRule type="duplicateValues" dxfId="1057" priority="733"/>
    <cfRule type="duplicateValues" dxfId="1056" priority="734"/>
    <cfRule type="duplicateValues" dxfId="1055" priority="735"/>
    <cfRule type="duplicateValues" dxfId="1054" priority="736"/>
    <cfRule type="duplicateValues" dxfId="1053" priority="737"/>
    <cfRule type="duplicateValues" dxfId="1052" priority="738"/>
  </conditionalFormatting>
  <conditionalFormatting sqref="AI22">
    <cfRule type="duplicateValues" dxfId="1051" priority="724"/>
  </conditionalFormatting>
  <conditionalFormatting sqref="AI22">
    <cfRule type="duplicateValues" dxfId="1050" priority="723"/>
  </conditionalFormatting>
  <conditionalFormatting sqref="AI22">
    <cfRule type="duplicateValues" dxfId="1049" priority="717"/>
    <cfRule type="duplicateValues" dxfId="1048" priority="722"/>
  </conditionalFormatting>
  <conditionalFormatting sqref="AI22">
    <cfRule type="duplicateValues" dxfId="1047" priority="721"/>
  </conditionalFormatting>
  <conditionalFormatting sqref="AI22">
    <cfRule type="duplicateValues" dxfId="1046" priority="720"/>
  </conditionalFormatting>
  <conditionalFormatting sqref="AI22">
    <cfRule type="duplicateValues" dxfId="1045" priority="719"/>
  </conditionalFormatting>
  <conditionalFormatting sqref="AI22">
    <cfRule type="duplicateValues" dxfId="1044" priority="718"/>
  </conditionalFormatting>
  <conditionalFormatting sqref="AI25">
    <cfRule type="duplicateValues" dxfId="1043" priority="716"/>
  </conditionalFormatting>
  <conditionalFormatting sqref="AI25">
    <cfRule type="duplicateValues" dxfId="1042" priority="715"/>
  </conditionalFormatting>
  <conditionalFormatting sqref="AI25">
    <cfRule type="duplicateValues" dxfId="1041" priority="714"/>
  </conditionalFormatting>
  <conditionalFormatting sqref="AI25">
    <cfRule type="duplicateValues" dxfId="1040" priority="713"/>
  </conditionalFormatting>
  <conditionalFormatting sqref="AI25">
    <cfRule type="duplicateValues" dxfId="1039" priority="712"/>
  </conditionalFormatting>
  <conditionalFormatting sqref="AI25">
    <cfRule type="duplicateValues" dxfId="1038" priority="711"/>
  </conditionalFormatting>
  <conditionalFormatting sqref="AI25">
    <cfRule type="duplicateValues" dxfId="1037" priority="710"/>
  </conditionalFormatting>
  <conditionalFormatting sqref="AI25">
    <cfRule type="duplicateValues" dxfId="1036" priority="709"/>
  </conditionalFormatting>
  <conditionalFormatting sqref="AI25">
    <cfRule type="duplicateValues" dxfId="1035" priority="708"/>
  </conditionalFormatting>
  <conditionalFormatting sqref="AI25">
    <cfRule type="duplicateValues" dxfId="1034" priority="707"/>
  </conditionalFormatting>
  <conditionalFormatting sqref="AI25">
    <cfRule type="duplicateValues" dxfId="1033" priority="706"/>
  </conditionalFormatting>
  <conditionalFormatting sqref="AI25">
    <cfRule type="duplicateValues" dxfId="1032" priority="691"/>
    <cfRule type="duplicateValues" dxfId="1031" priority="697"/>
    <cfRule type="duplicateValues" dxfId="1030" priority="698"/>
    <cfRule type="duplicateValues" dxfId="1029" priority="699"/>
    <cfRule type="duplicateValues" dxfId="1028" priority="700"/>
    <cfRule type="duplicateValues" dxfId="1027" priority="701"/>
    <cfRule type="duplicateValues" dxfId="1026" priority="702"/>
    <cfRule type="duplicateValues" dxfId="1025" priority="703"/>
    <cfRule type="duplicateValues" dxfId="1024" priority="704"/>
    <cfRule type="duplicateValues" dxfId="1023" priority="705"/>
  </conditionalFormatting>
  <conditionalFormatting sqref="AI25">
    <cfRule type="duplicateValues" dxfId="1022" priority="696"/>
  </conditionalFormatting>
  <conditionalFormatting sqref="AI25">
    <cfRule type="duplicateValues" dxfId="1021" priority="695"/>
  </conditionalFormatting>
  <conditionalFormatting sqref="AI25">
    <cfRule type="duplicateValues" dxfId="1020" priority="694"/>
  </conditionalFormatting>
  <conditionalFormatting sqref="AI25">
    <cfRule type="duplicateValues" dxfId="1019" priority="693"/>
  </conditionalFormatting>
  <conditionalFormatting sqref="AI25">
    <cfRule type="duplicateValues" dxfId="1018" priority="690"/>
    <cfRule type="duplicateValues" dxfId="1017" priority="692"/>
  </conditionalFormatting>
  <conditionalFormatting sqref="AI25">
    <cfRule type="duplicateValues" dxfId="1016" priority="686"/>
    <cfRule type="duplicateValues" dxfId="1015" priority="687"/>
    <cfRule type="duplicateValues" dxfId="1014" priority="688"/>
    <cfRule type="duplicateValues" dxfId="1013" priority="689"/>
  </conditionalFormatting>
  <conditionalFormatting sqref="AI25">
    <cfRule type="duplicateValues" dxfId="1012" priority="684"/>
    <cfRule type="duplicateValues" dxfId="1011" priority="685"/>
  </conditionalFormatting>
  <conditionalFormatting sqref="AI25">
    <cfRule type="duplicateValues" dxfId="1010" priority="683"/>
  </conditionalFormatting>
  <conditionalFormatting sqref="AI25">
    <cfRule type="duplicateValues" dxfId="1009" priority="669"/>
    <cfRule type="duplicateValues" dxfId="1008" priority="670"/>
    <cfRule type="duplicateValues" dxfId="1007" priority="671"/>
    <cfRule type="duplicateValues" dxfId="1006" priority="672"/>
    <cfRule type="duplicateValues" dxfId="1005" priority="673"/>
    <cfRule type="duplicateValues" dxfId="1004" priority="674"/>
    <cfRule type="duplicateValues" dxfId="1003" priority="675"/>
    <cfRule type="duplicateValues" dxfId="1002" priority="676"/>
    <cfRule type="duplicateValues" dxfId="1001" priority="677"/>
    <cfRule type="duplicateValues" dxfId="1000" priority="678"/>
    <cfRule type="duplicateValues" dxfId="999" priority="679"/>
    <cfRule type="duplicateValues" dxfId="998" priority="680"/>
    <cfRule type="duplicateValues" dxfId="997" priority="681"/>
    <cfRule type="duplicateValues" dxfId="996" priority="682"/>
  </conditionalFormatting>
  <conditionalFormatting sqref="AI25">
    <cfRule type="duplicateValues" dxfId="995" priority="668"/>
  </conditionalFormatting>
  <conditionalFormatting sqref="AI25">
    <cfRule type="duplicateValues" dxfId="994" priority="667"/>
  </conditionalFormatting>
  <conditionalFormatting sqref="AI25">
    <cfRule type="duplicateValues" dxfId="993" priority="661"/>
    <cfRule type="duplicateValues" dxfId="992" priority="666"/>
  </conditionalFormatting>
  <conditionalFormatting sqref="AI25">
    <cfRule type="duplicateValues" dxfId="991" priority="665"/>
  </conditionalFormatting>
  <conditionalFormatting sqref="AI25">
    <cfRule type="duplicateValues" dxfId="990" priority="664"/>
  </conditionalFormatting>
  <conditionalFormatting sqref="AI25">
    <cfRule type="duplicateValues" dxfId="989" priority="663"/>
  </conditionalFormatting>
  <conditionalFormatting sqref="AI25">
    <cfRule type="duplicateValues" dxfId="988" priority="662"/>
  </conditionalFormatting>
  <conditionalFormatting sqref="AI28">
    <cfRule type="duplicateValues" dxfId="987" priority="660"/>
  </conditionalFormatting>
  <conditionalFormatting sqref="AI28">
    <cfRule type="duplicateValues" dxfId="986" priority="659"/>
  </conditionalFormatting>
  <conditionalFormatting sqref="AI28">
    <cfRule type="duplicateValues" dxfId="985" priority="658"/>
  </conditionalFormatting>
  <conditionalFormatting sqref="AI28">
    <cfRule type="duplicateValues" dxfId="984" priority="657"/>
  </conditionalFormatting>
  <conditionalFormatting sqref="AI28">
    <cfRule type="duplicateValues" dxfId="983" priority="656"/>
  </conditionalFormatting>
  <conditionalFormatting sqref="AI28">
    <cfRule type="duplicateValues" dxfId="982" priority="655"/>
  </conditionalFormatting>
  <conditionalFormatting sqref="AI28">
    <cfRule type="duplicateValues" dxfId="981" priority="654"/>
  </conditionalFormatting>
  <conditionalFormatting sqref="AI28">
    <cfRule type="duplicateValues" dxfId="980" priority="653"/>
  </conditionalFormatting>
  <conditionalFormatting sqref="AI28">
    <cfRule type="duplicateValues" dxfId="979" priority="652"/>
  </conditionalFormatting>
  <conditionalFormatting sqref="AI28">
    <cfRule type="duplicateValues" dxfId="978" priority="651"/>
  </conditionalFormatting>
  <conditionalFormatting sqref="AI28">
    <cfRule type="duplicateValues" dxfId="977" priority="650"/>
  </conditionalFormatting>
  <conditionalFormatting sqref="AI28">
    <cfRule type="duplicateValues" dxfId="976" priority="635"/>
    <cfRule type="duplicateValues" dxfId="975" priority="641"/>
    <cfRule type="duplicateValues" dxfId="974" priority="642"/>
    <cfRule type="duplicateValues" dxfId="973" priority="643"/>
    <cfRule type="duplicateValues" dxfId="972" priority="644"/>
    <cfRule type="duplicateValues" dxfId="971" priority="645"/>
    <cfRule type="duplicateValues" dxfId="970" priority="646"/>
    <cfRule type="duplicateValues" dxfId="969" priority="647"/>
    <cfRule type="duplicateValues" dxfId="968" priority="648"/>
    <cfRule type="duplicateValues" dxfId="967" priority="649"/>
  </conditionalFormatting>
  <conditionalFormatting sqref="AI28">
    <cfRule type="duplicateValues" dxfId="966" priority="640"/>
  </conditionalFormatting>
  <conditionalFormatting sqref="AI28">
    <cfRule type="duplicateValues" dxfId="965" priority="639"/>
  </conditionalFormatting>
  <conditionalFormatting sqref="AI28">
    <cfRule type="duplicateValues" dxfId="964" priority="638"/>
  </conditionalFormatting>
  <conditionalFormatting sqref="AI28">
    <cfRule type="duplicateValues" dxfId="963" priority="637"/>
  </conditionalFormatting>
  <conditionalFormatting sqref="AI28">
    <cfRule type="duplicateValues" dxfId="962" priority="634"/>
    <cfRule type="duplicateValues" dxfId="961" priority="636"/>
  </conditionalFormatting>
  <conditionalFormatting sqref="AI28">
    <cfRule type="duplicateValues" dxfId="960" priority="630"/>
    <cfRule type="duplicateValues" dxfId="959" priority="631"/>
    <cfRule type="duplicateValues" dxfId="958" priority="632"/>
    <cfRule type="duplicateValues" dxfId="957" priority="633"/>
  </conditionalFormatting>
  <conditionalFormatting sqref="AI28">
    <cfRule type="duplicateValues" dxfId="956" priority="628"/>
    <cfRule type="duplicateValues" dxfId="955" priority="629"/>
  </conditionalFormatting>
  <conditionalFormatting sqref="AI28">
    <cfRule type="duplicateValues" dxfId="954" priority="627"/>
  </conditionalFormatting>
  <conditionalFormatting sqref="AI28">
    <cfRule type="duplicateValues" dxfId="953" priority="613"/>
    <cfRule type="duplicateValues" dxfId="952" priority="614"/>
    <cfRule type="duplicateValues" dxfId="951" priority="615"/>
    <cfRule type="duplicateValues" dxfId="950" priority="616"/>
    <cfRule type="duplicateValues" dxfId="949" priority="617"/>
    <cfRule type="duplicateValues" dxfId="948" priority="618"/>
    <cfRule type="duplicateValues" dxfId="947" priority="619"/>
    <cfRule type="duplicateValues" dxfId="946" priority="620"/>
    <cfRule type="duplicateValues" dxfId="945" priority="621"/>
    <cfRule type="duplicateValues" dxfId="944" priority="622"/>
    <cfRule type="duplicateValues" dxfId="943" priority="623"/>
    <cfRule type="duplicateValues" dxfId="942" priority="624"/>
    <cfRule type="duplicateValues" dxfId="941" priority="625"/>
    <cfRule type="duplicateValues" dxfId="940" priority="626"/>
  </conditionalFormatting>
  <conditionalFormatting sqref="AI28">
    <cfRule type="duplicateValues" dxfId="939" priority="612"/>
  </conditionalFormatting>
  <conditionalFormatting sqref="AI28">
    <cfRule type="duplicateValues" dxfId="938" priority="611"/>
  </conditionalFormatting>
  <conditionalFormatting sqref="AI28">
    <cfRule type="duplicateValues" dxfId="937" priority="605"/>
    <cfRule type="duplicateValues" dxfId="936" priority="610"/>
  </conditionalFormatting>
  <conditionalFormatting sqref="AI28">
    <cfRule type="duplicateValues" dxfId="935" priority="609"/>
  </conditionalFormatting>
  <conditionalFormatting sqref="AI28">
    <cfRule type="duplicateValues" dxfId="934" priority="608"/>
  </conditionalFormatting>
  <conditionalFormatting sqref="AI28">
    <cfRule type="duplicateValues" dxfId="933" priority="607"/>
  </conditionalFormatting>
  <conditionalFormatting sqref="AI28">
    <cfRule type="duplicateValues" dxfId="932" priority="606"/>
  </conditionalFormatting>
  <conditionalFormatting sqref="AI31">
    <cfRule type="duplicateValues" dxfId="931" priority="604"/>
  </conditionalFormatting>
  <conditionalFormatting sqref="AI31">
    <cfRule type="duplicateValues" dxfId="930" priority="603"/>
  </conditionalFormatting>
  <conditionalFormatting sqref="AI31">
    <cfRule type="duplicateValues" dxfId="929" priority="602"/>
  </conditionalFormatting>
  <conditionalFormatting sqref="AI31">
    <cfRule type="duplicateValues" dxfId="928" priority="601"/>
  </conditionalFormatting>
  <conditionalFormatting sqref="AI31">
    <cfRule type="duplicateValues" dxfId="927" priority="600"/>
  </conditionalFormatting>
  <conditionalFormatting sqref="AI31">
    <cfRule type="duplicateValues" dxfId="926" priority="599"/>
  </conditionalFormatting>
  <conditionalFormatting sqref="AI31">
    <cfRule type="duplicateValues" dxfId="925" priority="598"/>
  </conditionalFormatting>
  <conditionalFormatting sqref="AI31">
    <cfRule type="duplicateValues" dxfId="924" priority="597"/>
  </conditionalFormatting>
  <conditionalFormatting sqref="AI31">
    <cfRule type="duplicateValues" dxfId="923" priority="596"/>
  </conditionalFormatting>
  <conditionalFormatting sqref="AI31">
    <cfRule type="duplicateValues" dxfId="922" priority="595"/>
  </conditionalFormatting>
  <conditionalFormatting sqref="AI31">
    <cfRule type="duplicateValues" dxfId="921" priority="594"/>
  </conditionalFormatting>
  <conditionalFormatting sqref="AI31">
    <cfRule type="duplicateValues" dxfId="920" priority="579"/>
    <cfRule type="duplicateValues" dxfId="919" priority="585"/>
    <cfRule type="duplicateValues" dxfId="918" priority="586"/>
    <cfRule type="duplicateValues" dxfId="917" priority="587"/>
    <cfRule type="duplicateValues" dxfId="916" priority="588"/>
    <cfRule type="duplicateValues" dxfId="915" priority="589"/>
    <cfRule type="duplicateValues" dxfId="914" priority="590"/>
    <cfRule type="duplicateValues" dxfId="913" priority="591"/>
    <cfRule type="duplicateValues" dxfId="912" priority="592"/>
    <cfRule type="duplicateValues" dxfId="911" priority="593"/>
  </conditionalFormatting>
  <conditionalFormatting sqref="AI31">
    <cfRule type="duplicateValues" dxfId="910" priority="584"/>
  </conditionalFormatting>
  <conditionalFormatting sqref="AI31">
    <cfRule type="duplicateValues" dxfId="909" priority="583"/>
  </conditionalFormatting>
  <conditionalFormatting sqref="AI31">
    <cfRule type="duplicateValues" dxfId="908" priority="582"/>
  </conditionalFormatting>
  <conditionalFormatting sqref="AI31">
    <cfRule type="duplicateValues" dxfId="907" priority="581"/>
  </conditionalFormatting>
  <conditionalFormatting sqref="AI31">
    <cfRule type="duplicateValues" dxfId="906" priority="578"/>
    <cfRule type="duplicateValues" dxfId="905" priority="580"/>
  </conditionalFormatting>
  <conditionalFormatting sqref="AI31">
    <cfRule type="duplicateValues" dxfId="904" priority="574"/>
    <cfRule type="duplicateValues" dxfId="903" priority="575"/>
    <cfRule type="duplicateValues" dxfId="902" priority="576"/>
    <cfRule type="duplicateValues" dxfId="901" priority="577"/>
  </conditionalFormatting>
  <conditionalFormatting sqref="AI31">
    <cfRule type="duplicateValues" dxfId="900" priority="572"/>
    <cfRule type="duplicateValues" dxfId="899" priority="573"/>
  </conditionalFormatting>
  <conditionalFormatting sqref="AI31">
    <cfRule type="duplicateValues" dxfId="898" priority="571"/>
  </conditionalFormatting>
  <conditionalFormatting sqref="AI31">
    <cfRule type="duplicateValues" dxfId="897" priority="557"/>
    <cfRule type="duplicateValues" dxfId="896" priority="558"/>
    <cfRule type="duplicateValues" dxfId="895" priority="559"/>
    <cfRule type="duplicateValues" dxfId="894" priority="560"/>
    <cfRule type="duplicateValues" dxfId="893" priority="561"/>
    <cfRule type="duplicateValues" dxfId="892" priority="562"/>
    <cfRule type="duplicateValues" dxfId="891" priority="563"/>
    <cfRule type="duplicateValues" dxfId="890" priority="564"/>
    <cfRule type="duplicateValues" dxfId="889" priority="565"/>
    <cfRule type="duplicateValues" dxfId="888" priority="566"/>
    <cfRule type="duplicateValues" dxfId="887" priority="567"/>
    <cfRule type="duplicateValues" dxfId="886" priority="568"/>
    <cfRule type="duplicateValues" dxfId="885" priority="569"/>
    <cfRule type="duplicateValues" dxfId="884" priority="570"/>
  </conditionalFormatting>
  <conditionalFormatting sqref="AI31">
    <cfRule type="duplicateValues" dxfId="883" priority="556"/>
  </conditionalFormatting>
  <conditionalFormatting sqref="AI31">
    <cfRule type="duplicateValues" dxfId="882" priority="555"/>
  </conditionalFormatting>
  <conditionalFormatting sqref="AI31">
    <cfRule type="duplicateValues" dxfId="881" priority="549"/>
    <cfRule type="duplicateValues" dxfId="880" priority="554"/>
  </conditionalFormatting>
  <conditionalFormatting sqref="AI31">
    <cfRule type="duplicateValues" dxfId="879" priority="553"/>
  </conditionalFormatting>
  <conditionalFormatting sqref="AI31">
    <cfRule type="duplicateValues" dxfId="878" priority="552"/>
  </conditionalFormatting>
  <conditionalFormatting sqref="AI31">
    <cfRule type="duplicateValues" dxfId="877" priority="551"/>
  </conditionalFormatting>
  <conditionalFormatting sqref="AI31">
    <cfRule type="duplicateValues" dxfId="876" priority="550"/>
  </conditionalFormatting>
  <conditionalFormatting sqref="AI34">
    <cfRule type="duplicateValues" dxfId="875" priority="548"/>
  </conditionalFormatting>
  <conditionalFormatting sqref="AI34">
    <cfRule type="duplicateValues" dxfId="874" priority="547"/>
  </conditionalFormatting>
  <conditionalFormatting sqref="AI34">
    <cfRule type="duplicateValues" dxfId="873" priority="546"/>
  </conditionalFormatting>
  <conditionalFormatting sqref="AI34">
    <cfRule type="duplicateValues" dxfId="872" priority="545"/>
  </conditionalFormatting>
  <conditionalFormatting sqref="AI34">
    <cfRule type="duplicateValues" dxfId="871" priority="544"/>
  </conditionalFormatting>
  <conditionalFormatting sqref="AI34">
    <cfRule type="duplicateValues" dxfId="870" priority="543"/>
  </conditionalFormatting>
  <conditionalFormatting sqref="AI34">
    <cfRule type="duplicateValues" dxfId="869" priority="542"/>
  </conditionalFormatting>
  <conditionalFormatting sqref="AI34">
    <cfRule type="duplicateValues" dxfId="868" priority="541"/>
  </conditionalFormatting>
  <conditionalFormatting sqref="AI34">
    <cfRule type="duplicateValues" dxfId="867" priority="540"/>
  </conditionalFormatting>
  <conditionalFormatting sqref="AI34">
    <cfRule type="duplicateValues" dxfId="866" priority="539"/>
  </conditionalFormatting>
  <conditionalFormatting sqref="AI34">
    <cfRule type="duplicateValues" dxfId="865" priority="538"/>
  </conditionalFormatting>
  <conditionalFormatting sqref="AI34">
    <cfRule type="duplicateValues" dxfId="864" priority="523"/>
    <cfRule type="duplicateValues" dxfId="863" priority="529"/>
    <cfRule type="duplicateValues" dxfId="862" priority="530"/>
    <cfRule type="duplicateValues" dxfId="861" priority="531"/>
    <cfRule type="duplicateValues" dxfId="860" priority="532"/>
    <cfRule type="duplicateValues" dxfId="859" priority="533"/>
    <cfRule type="duplicateValues" dxfId="858" priority="534"/>
    <cfRule type="duplicateValues" dxfId="857" priority="535"/>
    <cfRule type="duplicateValues" dxfId="856" priority="536"/>
    <cfRule type="duplicateValues" dxfId="855" priority="537"/>
  </conditionalFormatting>
  <conditionalFormatting sqref="AI34">
    <cfRule type="duplicateValues" dxfId="854" priority="528"/>
  </conditionalFormatting>
  <conditionalFormatting sqref="AI34">
    <cfRule type="duplicateValues" dxfId="853" priority="527"/>
  </conditionalFormatting>
  <conditionalFormatting sqref="AI34">
    <cfRule type="duplicateValues" dxfId="852" priority="526"/>
  </conditionalFormatting>
  <conditionalFormatting sqref="AI34">
    <cfRule type="duplicateValues" dxfId="851" priority="525"/>
  </conditionalFormatting>
  <conditionalFormatting sqref="AI34">
    <cfRule type="duplicateValues" dxfId="850" priority="522"/>
    <cfRule type="duplicateValues" dxfId="849" priority="524"/>
  </conditionalFormatting>
  <conditionalFormatting sqref="AI34">
    <cfRule type="duplicateValues" dxfId="848" priority="518"/>
    <cfRule type="duplicateValues" dxfId="847" priority="519"/>
    <cfRule type="duplicateValues" dxfId="846" priority="520"/>
    <cfRule type="duplicateValues" dxfId="845" priority="521"/>
  </conditionalFormatting>
  <conditionalFormatting sqref="AI34">
    <cfRule type="duplicateValues" dxfId="844" priority="516"/>
    <cfRule type="duplicateValues" dxfId="843" priority="517"/>
  </conditionalFormatting>
  <conditionalFormatting sqref="AI34">
    <cfRule type="duplicateValues" dxfId="842" priority="515"/>
  </conditionalFormatting>
  <conditionalFormatting sqref="AI34">
    <cfRule type="duplicateValues" dxfId="841" priority="501"/>
    <cfRule type="duplicateValues" dxfId="840" priority="502"/>
    <cfRule type="duplicateValues" dxfId="839" priority="503"/>
    <cfRule type="duplicateValues" dxfId="838" priority="504"/>
    <cfRule type="duplicateValues" dxfId="837" priority="505"/>
    <cfRule type="duplicateValues" dxfId="836" priority="506"/>
    <cfRule type="duplicateValues" dxfId="835" priority="507"/>
    <cfRule type="duplicateValues" dxfId="834" priority="508"/>
    <cfRule type="duplicateValues" dxfId="833" priority="509"/>
    <cfRule type="duplicateValues" dxfId="832" priority="510"/>
    <cfRule type="duplicateValues" dxfId="831" priority="511"/>
    <cfRule type="duplicateValues" dxfId="830" priority="512"/>
    <cfRule type="duplicateValues" dxfId="829" priority="513"/>
    <cfRule type="duplicateValues" dxfId="828" priority="514"/>
  </conditionalFormatting>
  <conditionalFormatting sqref="AI34">
    <cfRule type="duplicateValues" dxfId="827" priority="500"/>
  </conditionalFormatting>
  <conditionalFormatting sqref="AI34">
    <cfRule type="duplicateValues" dxfId="826" priority="499"/>
  </conditionalFormatting>
  <conditionalFormatting sqref="AI34">
    <cfRule type="duplicateValues" dxfId="825" priority="493"/>
    <cfRule type="duplicateValues" dxfId="824" priority="498"/>
  </conditionalFormatting>
  <conditionalFormatting sqref="AI34">
    <cfRule type="duplicateValues" dxfId="823" priority="497"/>
  </conditionalFormatting>
  <conditionalFormatting sqref="AI34">
    <cfRule type="duplicateValues" dxfId="822" priority="496"/>
  </conditionalFormatting>
  <conditionalFormatting sqref="AI34">
    <cfRule type="duplicateValues" dxfId="821" priority="495"/>
  </conditionalFormatting>
  <conditionalFormatting sqref="AI34">
    <cfRule type="duplicateValues" dxfId="820" priority="494"/>
  </conditionalFormatting>
  <conditionalFormatting sqref="AI37">
    <cfRule type="duplicateValues" dxfId="819" priority="492"/>
  </conditionalFormatting>
  <conditionalFormatting sqref="AI37">
    <cfRule type="duplicateValues" dxfId="818" priority="491"/>
  </conditionalFormatting>
  <conditionalFormatting sqref="AI37">
    <cfRule type="duplicateValues" dxfId="817" priority="490"/>
  </conditionalFormatting>
  <conditionalFormatting sqref="AI37">
    <cfRule type="duplicateValues" dxfId="816" priority="489"/>
  </conditionalFormatting>
  <conditionalFormatting sqref="AI37">
    <cfRule type="duplicateValues" dxfId="815" priority="488"/>
  </conditionalFormatting>
  <conditionalFormatting sqref="AI37">
    <cfRule type="duplicateValues" dxfId="814" priority="487"/>
  </conditionalFormatting>
  <conditionalFormatting sqref="AI37">
    <cfRule type="duplicateValues" dxfId="813" priority="486"/>
  </conditionalFormatting>
  <conditionalFormatting sqref="AI37">
    <cfRule type="duplicateValues" dxfId="812" priority="485"/>
  </conditionalFormatting>
  <conditionalFormatting sqref="AI37">
    <cfRule type="duplicateValues" dxfId="811" priority="484"/>
  </conditionalFormatting>
  <conditionalFormatting sqref="AI37">
    <cfRule type="duplicateValues" dxfId="810" priority="483"/>
  </conditionalFormatting>
  <conditionalFormatting sqref="AI37">
    <cfRule type="duplicateValues" dxfId="809" priority="482"/>
  </conditionalFormatting>
  <conditionalFormatting sqref="AI37">
    <cfRule type="duplicateValues" dxfId="808" priority="467"/>
    <cfRule type="duplicateValues" dxfId="807" priority="473"/>
    <cfRule type="duplicateValues" dxfId="806" priority="474"/>
    <cfRule type="duplicateValues" dxfId="805" priority="475"/>
    <cfRule type="duplicateValues" dxfId="804" priority="476"/>
    <cfRule type="duplicateValues" dxfId="803" priority="477"/>
    <cfRule type="duplicateValues" dxfId="802" priority="478"/>
    <cfRule type="duplicateValues" dxfId="801" priority="479"/>
    <cfRule type="duplicateValues" dxfId="800" priority="480"/>
    <cfRule type="duplicateValues" dxfId="799" priority="481"/>
  </conditionalFormatting>
  <conditionalFormatting sqref="AI37">
    <cfRule type="duplicateValues" dxfId="798" priority="472"/>
  </conditionalFormatting>
  <conditionalFormatting sqref="AI37">
    <cfRule type="duplicateValues" dxfId="797" priority="471"/>
  </conditionalFormatting>
  <conditionalFormatting sqref="AI37">
    <cfRule type="duplicateValues" dxfId="796" priority="470"/>
  </conditionalFormatting>
  <conditionalFormatting sqref="AI37">
    <cfRule type="duplicateValues" dxfId="795" priority="469"/>
  </conditionalFormatting>
  <conditionalFormatting sqref="AI37">
    <cfRule type="duplicateValues" dxfId="794" priority="466"/>
    <cfRule type="duplicateValues" dxfId="793" priority="468"/>
  </conditionalFormatting>
  <conditionalFormatting sqref="AI37">
    <cfRule type="duplicateValues" dxfId="792" priority="462"/>
    <cfRule type="duplicateValues" dxfId="791" priority="463"/>
    <cfRule type="duplicateValues" dxfId="790" priority="464"/>
    <cfRule type="duplicateValues" dxfId="789" priority="465"/>
  </conditionalFormatting>
  <conditionalFormatting sqref="AI37">
    <cfRule type="duplicateValues" dxfId="788" priority="460"/>
    <cfRule type="duplicateValues" dxfId="787" priority="461"/>
  </conditionalFormatting>
  <conditionalFormatting sqref="AI37">
    <cfRule type="duplicateValues" dxfId="786" priority="459"/>
  </conditionalFormatting>
  <conditionalFormatting sqref="AI37">
    <cfRule type="duplicateValues" dxfId="785" priority="445"/>
    <cfRule type="duplicateValues" dxfId="784" priority="446"/>
    <cfRule type="duplicateValues" dxfId="783" priority="447"/>
    <cfRule type="duplicateValues" dxfId="782" priority="448"/>
    <cfRule type="duplicateValues" dxfId="781" priority="449"/>
    <cfRule type="duplicateValues" dxfId="780" priority="450"/>
    <cfRule type="duplicateValues" dxfId="779" priority="451"/>
    <cfRule type="duplicateValues" dxfId="778" priority="452"/>
    <cfRule type="duplicateValues" dxfId="777" priority="453"/>
    <cfRule type="duplicateValues" dxfId="776" priority="454"/>
    <cfRule type="duplicateValues" dxfId="775" priority="455"/>
    <cfRule type="duplicateValues" dxfId="774" priority="456"/>
    <cfRule type="duplicateValues" dxfId="773" priority="457"/>
    <cfRule type="duplicateValues" dxfId="772" priority="458"/>
  </conditionalFormatting>
  <conditionalFormatting sqref="AI37">
    <cfRule type="duplicateValues" dxfId="771" priority="444"/>
  </conditionalFormatting>
  <conditionalFormatting sqref="AI37">
    <cfRule type="duplicateValues" dxfId="770" priority="443"/>
  </conditionalFormatting>
  <conditionalFormatting sqref="AI37">
    <cfRule type="duplicateValues" dxfId="769" priority="437"/>
    <cfRule type="duplicateValues" dxfId="768" priority="442"/>
  </conditionalFormatting>
  <conditionalFormatting sqref="AI37">
    <cfRule type="duplicateValues" dxfId="767" priority="441"/>
  </conditionalFormatting>
  <conditionalFormatting sqref="AI37">
    <cfRule type="duplicateValues" dxfId="766" priority="440"/>
  </conditionalFormatting>
  <conditionalFormatting sqref="AI37">
    <cfRule type="duplicateValues" dxfId="765" priority="439"/>
  </conditionalFormatting>
  <conditionalFormatting sqref="AI37">
    <cfRule type="duplicateValues" dxfId="764" priority="438"/>
  </conditionalFormatting>
  <conditionalFormatting sqref="AI40">
    <cfRule type="duplicateValues" dxfId="763" priority="436"/>
  </conditionalFormatting>
  <conditionalFormatting sqref="AI40">
    <cfRule type="duplicateValues" dxfId="762" priority="435"/>
  </conditionalFormatting>
  <conditionalFormatting sqref="AI40">
    <cfRule type="duplicateValues" dxfId="761" priority="434"/>
  </conditionalFormatting>
  <conditionalFormatting sqref="AI40">
    <cfRule type="duplicateValues" dxfId="760" priority="433"/>
  </conditionalFormatting>
  <conditionalFormatting sqref="AI40">
    <cfRule type="duplicateValues" dxfId="759" priority="432"/>
  </conditionalFormatting>
  <conditionalFormatting sqref="AI40">
    <cfRule type="duplicateValues" dxfId="758" priority="431"/>
  </conditionalFormatting>
  <conditionalFormatting sqref="AI40">
    <cfRule type="duplicateValues" dxfId="757" priority="430"/>
  </conditionalFormatting>
  <conditionalFormatting sqref="AI40">
    <cfRule type="duplicateValues" dxfId="756" priority="429"/>
  </conditionalFormatting>
  <conditionalFormatting sqref="AI40">
    <cfRule type="duplicateValues" dxfId="755" priority="428"/>
  </conditionalFormatting>
  <conditionalFormatting sqref="AI40">
    <cfRule type="duplicateValues" dxfId="754" priority="427"/>
  </conditionalFormatting>
  <conditionalFormatting sqref="AI40">
    <cfRule type="duplicateValues" dxfId="753" priority="426"/>
  </conditionalFormatting>
  <conditionalFormatting sqref="AI40">
    <cfRule type="duplicateValues" dxfId="752" priority="411"/>
    <cfRule type="duplicateValues" dxfId="751" priority="417"/>
    <cfRule type="duplicateValues" dxfId="750" priority="418"/>
    <cfRule type="duplicateValues" dxfId="749" priority="419"/>
    <cfRule type="duplicateValues" dxfId="748" priority="420"/>
    <cfRule type="duplicateValues" dxfId="747" priority="421"/>
    <cfRule type="duplicateValues" dxfId="746" priority="422"/>
    <cfRule type="duplicateValues" dxfId="745" priority="423"/>
    <cfRule type="duplicateValues" dxfId="744" priority="424"/>
    <cfRule type="duplicateValues" dxfId="743" priority="425"/>
  </conditionalFormatting>
  <conditionalFormatting sqref="AI40">
    <cfRule type="duplicateValues" dxfId="742" priority="416"/>
  </conditionalFormatting>
  <conditionalFormatting sqref="AI40">
    <cfRule type="duplicateValues" dxfId="741" priority="415"/>
  </conditionalFormatting>
  <conditionalFormatting sqref="AI40">
    <cfRule type="duplicateValues" dxfId="740" priority="414"/>
  </conditionalFormatting>
  <conditionalFormatting sqref="AI40">
    <cfRule type="duplicateValues" dxfId="739" priority="413"/>
  </conditionalFormatting>
  <conditionalFormatting sqref="AI40">
    <cfRule type="duplicateValues" dxfId="738" priority="410"/>
    <cfRule type="duplicateValues" dxfId="737" priority="412"/>
  </conditionalFormatting>
  <conditionalFormatting sqref="AI40">
    <cfRule type="duplicateValues" dxfId="736" priority="406"/>
    <cfRule type="duplicateValues" dxfId="735" priority="407"/>
    <cfRule type="duplicateValues" dxfId="734" priority="408"/>
    <cfRule type="duplicateValues" dxfId="733" priority="409"/>
  </conditionalFormatting>
  <conditionalFormatting sqref="AI40">
    <cfRule type="duplicateValues" dxfId="732" priority="404"/>
    <cfRule type="duplicateValues" dxfId="731" priority="405"/>
  </conditionalFormatting>
  <conditionalFormatting sqref="AI40">
    <cfRule type="duplicateValues" dxfId="730" priority="403"/>
  </conditionalFormatting>
  <conditionalFormatting sqref="AI40">
    <cfRule type="duplicateValues" dxfId="729" priority="389"/>
    <cfRule type="duplicateValues" dxfId="728" priority="390"/>
    <cfRule type="duplicateValues" dxfId="727" priority="391"/>
    <cfRule type="duplicateValues" dxfId="726" priority="392"/>
    <cfRule type="duplicateValues" dxfId="725" priority="393"/>
    <cfRule type="duplicateValues" dxfId="724" priority="394"/>
    <cfRule type="duplicateValues" dxfId="723" priority="395"/>
    <cfRule type="duplicateValues" dxfId="722" priority="396"/>
    <cfRule type="duplicateValues" dxfId="721" priority="397"/>
    <cfRule type="duplicateValues" dxfId="720" priority="398"/>
    <cfRule type="duplicateValues" dxfId="719" priority="399"/>
    <cfRule type="duplicateValues" dxfId="718" priority="400"/>
    <cfRule type="duplicateValues" dxfId="717" priority="401"/>
    <cfRule type="duplicateValues" dxfId="716" priority="402"/>
  </conditionalFormatting>
  <conditionalFormatting sqref="AI40">
    <cfRule type="duplicateValues" dxfId="715" priority="388"/>
  </conditionalFormatting>
  <conditionalFormatting sqref="AI40">
    <cfRule type="duplicateValues" dxfId="714" priority="387"/>
  </conditionalFormatting>
  <conditionalFormatting sqref="AI40">
    <cfRule type="duplicateValues" dxfId="713" priority="381"/>
    <cfRule type="duplicateValues" dxfId="712" priority="386"/>
  </conditionalFormatting>
  <conditionalFormatting sqref="AI40">
    <cfRule type="duplicateValues" dxfId="711" priority="385"/>
  </conditionalFormatting>
  <conditionalFormatting sqref="AI40">
    <cfRule type="duplicateValues" dxfId="710" priority="384"/>
  </conditionalFormatting>
  <conditionalFormatting sqref="AI40">
    <cfRule type="duplicateValues" dxfId="709" priority="383"/>
  </conditionalFormatting>
  <conditionalFormatting sqref="AI40">
    <cfRule type="duplicateValues" dxfId="708" priority="382"/>
  </conditionalFormatting>
  <conditionalFormatting sqref="AI43">
    <cfRule type="duplicateValues" dxfId="707" priority="380"/>
  </conditionalFormatting>
  <conditionalFormatting sqref="AI43">
    <cfRule type="duplicateValues" dxfId="706" priority="379"/>
  </conditionalFormatting>
  <conditionalFormatting sqref="AI43">
    <cfRule type="duplicateValues" dxfId="705" priority="378"/>
  </conditionalFormatting>
  <conditionalFormatting sqref="AI43">
    <cfRule type="duplicateValues" dxfId="704" priority="377"/>
  </conditionalFormatting>
  <conditionalFormatting sqref="AI43">
    <cfRule type="duplicateValues" dxfId="703" priority="376"/>
  </conditionalFormatting>
  <conditionalFormatting sqref="AI43">
    <cfRule type="duplicateValues" dxfId="702" priority="375"/>
  </conditionalFormatting>
  <conditionalFormatting sqref="AI43">
    <cfRule type="duplicateValues" dxfId="701" priority="374"/>
  </conditionalFormatting>
  <conditionalFormatting sqref="AI43">
    <cfRule type="duplicateValues" dxfId="700" priority="373"/>
  </conditionalFormatting>
  <conditionalFormatting sqref="AI43">
    <cfRule type="duplicateValues" dxfId="699" priority="372"/>
  </conditionalFormatting>
  <conditionalFormatting sqref="AI43">
    <cfRule type="duplicateValues" dxfId="698" priority="371"/>
  </conditionalFormatting>
  <conditionalFormatting sqref="AI43">
    <cfRule type="duplicateValues" dxfId="697" priority="370"/>
  </conditionalFormatting>
  <conditionalFormatting sqref="AI43">
    <cfRule type="duplicateValues" dxfId="696" priority="355"/>
    <cfRule type="duplicateValues" dxfId="695" priority="361"/>
    <cfRule type="duplicateValues" dxfId="694" priority="362"/>
    <cfRule type="duplicateValues" dxfId="693" priority="363"/>
    <cfRule type="duplicateValues" dxfId="692" priority="364"/>
    <cfRule type="duplicateValues" dxfId="691" priority="365"/>
    <cfRule type="duplicateValues" dxfId="690" priority="366"/>
    <cfRule type="duplicateValues" dxfId="689" priority="367"/>
    <cfRule type="duplicateValues" dxfId="688" priority="368"/>
    <cfRule type="duplicateValues" dxfId="687" priority="369"/>
  </conditionalFormatting>
  <conditionalFormatting sqref="AI43">
    <cfRule type="duplicateValues" dxfId="686" priority="360"/>
  </conditionalFormatting>
  <conditionalFormatting sqref="AI43">
    <cfRule type="duplicateValues" dxfId="685" priority="359"/>
  </conditionalFormatting>
  <conditionalFormatting sqref="AI43">
    <cfRule type="duplicateValues" dxfId="684" priority="358"/>
  </conditionalFormatting>
  <conditionalFormatting sqref="AI43">
    <cfRule type="duplicateValues" dxfId="683" priority="357"/>
  </conditionalFormatting>
  <conditionalFormatting sqref="AI43">
    <cfRule type="duplicateValues" dxfId="682" priority="354"/>
    <cfRule type="duplicateValues" dxfId="681" priority="356"/>
  </conditionalFormatting>
  <conditionalFormatting sqref="AI43">
    <cfRule type="duplicateValues" dxfId="680" priority="350"/>
    <cfRule type="duplicateValues" dxfId="679" priority="351"/>
    <cfRule type="duplicateValues" dxfId="678" priority="352"/>
    <cfRule type="duplicateValues" dxfId="677" priority="353"/>
  </conditionalFormatting>
  <conditionalFormatting sqref="AI43">
    <cfRule type="duplicateValues" dxfId="676" priority="348"/>
    <cfRule type="duplicateValues" dxfId="675" priority="349"/>
  </conditionalFormatting>
  <conditionalFormatting sqref="AI43">
    <cfRule type="duplicateValues" dxfId="674" priority="347"/>
  </conditionalFormatting>
  <conditionalFormatting sqref="AI43">
    <cfRule type="duplicateValues" dxfId="673" priority="333"/>
    <cfRule type="duplicateValues" dxfId="672" priority="334"/>
    <cfRule type="duplicateValues" dxfId="671" priority="335"/>
    <cfRule type="duplicateValues" dxfId="670" priority="336"/>
    <cfRule type="duplicateValues" dxfId="669" priority="337"/>
    <cfRule type="duplicateValues" dxfId="668" priority="338"/>
    <cfRule type="duplicateValues" dxfId="667" priority="339"/>
    <cfRule type="duplicateValues" dxfId="666" priority="340"/>
    <cfRule type="duplicateValues" dxfId="665" priority="341"/>
    <cfRule type="duplicateValues" dxfId="664" priority="342"/>
    <cfRule type="duplicateValues" dxfId="663" priority="343"/>
    <cfRule type="duplicateValues" dxfId="662" priority="344"/>
    <cfRule type="duplicateValues" dxfId="661" priority="345"/>
    <cfRule type="duplicateValues" dxfId="660" priority="346"/>
  </conditionalFormatting>
  <conditionalFormatting sqref="AI43">
    <cfRule type="duplicateValues" dxfId="659" priority="332"/>
  </conditionalFormatting>
  <conditionalFormatting sqref="AI43">
    <cfRule type="duplicateValues" dxfId="658" priority="331"/>
  </conditionalFormatting>
  <conditionalFormatting sqref="AI43">
    <cfRule type="duplicateValues" dxfId="657" priority="325"/>
    <cfRule type="duplicateValues" dxfId="656" priority="330"/>
  </conditionalFormatting>
  <conditionalFormatting sqref="AI43">
    <cfRule type="duplicateValues" dxfId="655" priority="329"/>
  </conditionalFormatting>
  <conditionalFormatting sqref="AI43">
    <cfRule type="duplicateValues" dxfId="654" priority="328"/>
  </conditionalFormatting>
  <conditionalFormatting sqref="AI43">
    <cfRule type="duplicateValues" dxfId="653" priority="327"/>
  </conditionalFormatting>
  <conditionalFormatting sqref="AI43">
    <cfRule type="duplicateValues" dxfId="652" priority="326"/>
  </conditionalFormatting>
  <conditionalFormatting sqref="AI46">
    <cfRule type="duplicateValues" dxfId="651" priority="324"/>
  </conditionalFormatting>
  <conditionalFormatting sqref="AI46">
    <cfRule type="duplicateValues" dxfId="650" priority="323"/>
  </conditionalFormatting>
  <conditionalFormatting sqref="AI46">
    <cfRule type="duplicateValues" dxfId="649" priority="322"/>
  </conditionalFormatting>
  <conditionalFormatting sqref="AI46">
    <cfRule type="duplicateValues" dxfId="648" priority="321"/>
  </conditionalFormatting>
  <conditionalFormatting sqref="AI46">
    <cfRule type="duplicateValues" dxfId="647" priority="320"/>
  </conditionalFormatting>
  <conditionalFormatting sqref="AI46">
    <cfRule type="duplicateValues" dxfId="646" priority="319"/>
  </conditionalFormatting>
  <conditionalFormatting sqref="AI46">
    <cfRule type="duplicateValues" dxfId="645" priority="318"/>
  </conditionalFormatting>
  <conditionalFormatting sqref="AI46">
    <cfRule type="duplicateValues" dxfId="644" priority="317"/>
  </conditionalFormatting>
  <conditionalFormatting sqref="AI46">
    <cfRule type="duplicateValues" dxfId="643" priority="316"/>
  </conditionalFormatting>
  <conditionalFormatting sqref="AI46">
    <cfRule type="duplicateValues" dxfId="642" priority="315"/>
  </conditionalFormatting>
  <conditionalFormatting sqref="AI46">
    <cfRule type="duplicateValues" dxfId="641" priority="314"/>
  </conditionalFormatting>
  <conditionalFormatting sqref="AI46">
    <cfRule type="duplicateValues" dxfId="640" priority="299"/>
    <cfRule type="duplicateValues" dxfId="639" priority="305"/>
    <cfRule type="duplicateValues" dxfId="638" priority="306"/>
    <cfRule type="duplicateValues" dxfId="637" priority="307"/>
    <cfRule type="duplicateValues" dxfId="636" priority="308"/>
    <cfRule type="duplicateValues" dxfId="635" priority="309"/>
    <cfRule type="duplicateValues" dxfId="634" priority="310"/>
    <cfRule type="duplicateValues" dxfId="633" priority="311"/>
    <cfRule type="duplicateValues" dxfId="632" priority="312"/>
    <cfRule type="duplicateValues" dxfId="631" priority="313"/>
  </conditionalFormatting>
  <conditionalFormatting sqref="AI46">
    <cfRule type="duplicateValues" dxfId="630" priority="304"/>
  </conditionalFormatting>
  <conditionalFormatting sqref="AI46">
    <cfRule type="duplicateValues" dxfId="629" priority="303"/>
  </conditionalFormatting>
  <conditionalFormatting sqref="AI46">
    <cfRule type="duplicateValues" dxfId="628" priority="302"/>
  </conditionalFormatting>
  <conditionalFormatting sqref="AI46">
    <cfRule type="duplicateValues" dxfId="627" priority="301"/>
  </conditionalFormatting>
  <conditionalFormatting sqref="AI46">
    <cfRule type="duplicateValues" dxfId="626" priority="298"/>
    <cfRule type="duplicateValues" dxfId="625" priority="300"/>
  </conditionalFormatting>
  <conditionalFormatting sqref="AI46">
    <cfRule type="duplicateValues" dxfId="624" priority="294"/>
    <cfRule type="duplicateValues" dxfId="623" priority="295"/>
    <cfRule type="duplicateValues" dxfId="622" priority="296"/>
    <cfRule type="duplicateValues" dxfId="621" priority="297"/>
  </conditionalFormatting>
  <conditionalFormatting sqref="AI46">
    <cfRule type="duplicateValues" dxfId="620" priority="292"/>
    <cfRule type="duplicateValues" dxfId="619" priority="293"/>
  </conditionalFormatting>
  <conditionalFormatting sqref="AI46">
    <cfRule type="duplicateValues" dxfId="618" priority="291"/>
  </conditionalFormatting>
  <conditionalFormatting sqref="AI46">
    <cfRule type="duplicateValues" dxfId="617" priority="277"/>
    <cfRule type="duplicateValues" dxfId="616" priority="278"/>
    <cfRule type="duplicateValues" dxfId="615" priority="279"/>
    <cfRule type="duplicateValues" dxfId="614" priority="280"/>
    <cfRule type="duplicateValues" dxfId="613" priority="281"/>
    <cfRule type="duplicateValues" dxfId="612" priority="282"/>
    <cfRule type="duplicateValues" dxfId="611" priority="283"/>
    <cfRule type="duplicateValues" dxfId="610" priority="284"/>
    <cfRule type="duplicateValues" dxfId="609" priority="285"/>
    <cfRule type="duplicateValues" dxfId="608" priority="286"/>
    <cfRule type="duplicateValues" dxfId="607" priority="287"/>
    <cfRule type="duplicateValues" dxfId="606" priority="288"/>
    <cfRule type="duplicateValues" dxfId="605" priority="289"/>
    <cfRule type="duplicateValues" dxfId="604" priority="290"/>
  </conditionalFormatting>
  <conditionalFormatting sqref="AI46">
    <cfRule type="duplicateValues" dxfId="603" priority="276"/>
  </conditionalFormatting>
  <conditionalFormatting sqref="AI46">
    <cfRule type="duplicateValues" dxfId="602" priority="275"/>
  </conditionalFormatting>
  <conditionalFormatting sqref="AI46">
    <cfRule type="duplicateValues" dxfId="601" priority="269"/>
    <cfRule type="duplicateValues" dxfId="600" priority="274"/>
  </conditionalFormatting>
  <conditionalFormatting sqref="AI46">
    <cfRule type="duplicateValues" dxfId="599" priority="273"/>
  </conditionalFormatting>
  <conditionalFormatting sqref="AI46">
    <cfRule type="duplicateValues" dxfId="598" priority="272"/>
  </conditionalFormatting>
  <conditionalFormatting sqref="AI46">
    <cfRule type="duplicateValues" dxfId="597" priority="271"/>
  </conditionalFormatting>
  <conditionalFormatting sqref="AI46">
    <cfRule type="duplicateValues" dxfId="596" priority="270"/>
  </conditionalFormatting>
  <conditionalFormatting sqref="AI49 AI52">
    <cfRule type="duplicateValues" dxfId="595" priority="268"/>
  </conditionalFormatting>
  <conditionalFormatting sqref="AI49 AI52">
    <cfRule type="duplicateValues" dxfId="594" priority="267"/>
  </conditionalFormatting>
  <conditionalFormatting sqref="AI49 AI52">
    <cfRule type="duplicateValues" dxfId="593" priority="266"/>
  </conditionalFormatting>
  <conditionalFormatting sqref="AI49 AI52">
    <cfRule type="duplicateValues" dxfId="592" priority="265"/>
  </conditionalFormatting>
  <conditionalFormatting sqref="AI49 AI52">
    <cfRule type="duplicateValues" dxfId="591" priority="264"/>
  </conditionalFormatting>
  <conditionalFormatting sqref="AI49 AI52">
    <cfRule type="duplicateValues" dxfId="590" priority="263"/>
  </conditionalFormatting>
  <conditionalFormatting sqref="AI49 AI52">
    <cfRule type="duplicateValues" dxfId="589" priority="262"/>
  </conditionalFormatting>
  <conditionalFormatting sqref="AI49 AI52">
    <cfRule type="duplicateValues" dxfId="588" priority="261"/>
  </conditionalFormatting>
  <conditionalFormatting sqref="AI49 AI52">
    <cfRule type="duplicateValues" dxfId="587" priority="260"/>
  </conditionalFormatting>
  <conditionalFormatting sqref="AI49 AI52">
    <cfRule type="duplicateValues" dxfId="586" priority="259"/>
  </conditionalFormatting>
  <conditionalFormatting sqref="AI49 AI52">
    <cfRule type="duplicateValues" dxfId="585" priority="258"/>
  </conditionalFormatting>
  <conditionalFormatting sqref="AI49 AI52">
    <cfRule type="duplicateValues" dxfId="584" priority="243"/>
    <cfRule type="duplicateValues" dxfId="583" priority="249"/>
    <cfRule type="duplicateValues" dxfId="582" priority="250"/>
    <cfRule type="duplicateValues" dxfId="581" priority="251"/>
    <cfRule type="duplicateValues" dxfId="580" priority="252"/>
    <cfRule type="duplicateValues" dxfId="579" priority="253"/>
    <cfRule type="duplicateValues" dxfId="578" priority="254"/>
    <cfRule type="duplicateValues" dxfId="577" priority="255"/>
    <cfRule type="duplicateValues" dxfId="576" priority="256"/>
    <cfRule type="duplicateValues" dxfId="575" priority="257"/>
  </conditionalFormatting>
  <conditionalFormatting sqref="AI49 AI52">
    <cfRule type="duplicateValues" dxfId="574" priority="248"/>
  </conditionalFormatting>
  <conditionalFormatting sqref="AI49 AI52">
    <cfRule type="duplicateValues" dxfId="573" priority="247"/>
  </conditionalFormatting>
  <conditionalFormatting sqref="AI49 AI52">
    <cfRule type="duplicateValues" dxfId="572" priority="246"/>
  </conditionalFormatting>
  <conditionalFormatting sqref="AI49 AI52">
    <cfRule type="duplicateValues" dxfId="571" priority="245"/>
  </conditionalFormatting>
  <conditionalFormatting sqref="AI49 AI52">
    <cfRule type="duplicateValues" dxfId="570" priority="242"/>
    <cfRule type="duplicateValues" dxfId="569" priority="244"/>
  </conditionalFormatting>
  <conditionalFormatting sqref="AI49 AI52">
    <cfRule type="duplicateValues" dxfId="568" priority="238"/>
    <cfRule type="duplicateValues" dxfId="567" priority="239"/>
    <cfRule type="duplicateValues" dxfId="566" priority="240"/>
    <cfRule type="duplicateValues" dxfId="565" priority="241"/>
  </conditionalFormatting>
  <conditionalFormatting sqref="AI49 AI52">
    <cfRule type="duplicateValues" dxfId="564" priority="236"/>
    <cfRule type="duplicateValues" dxfId="563" priority="237"/>
  </conditionalFormatting>
  <conditionalFormatting sqref="AI49 AI52">
    <cfRule type="duplicateValues" dxfId="562" priority="235"/>
  </conditionalFormatting>
  <conditionalFormatting sqref="AI49 AI52">
    <cfRule type="duplicateValues" dxfId="561" priority="221"/>
    <cfRule type="duplicateValues" dxfId="560" priority="222"/>
    <cfRule type="duplicateValues" dxfId="559" priority="223"/>
    <cfRule type="duplicateValues" dxfId="558" priority="224"/>
    <cfRule type="duplicateValues" dxfId="557" priority="225"/>
    <cfRule type="duplicateValues" dxfId="556" priority="226"/>
    <cfRule type="duplicateValues" dxfId="555" priority="227"/>
    <cfRule type="duplicateValues" dxfId="554" priority="228"/>
    <cfRule type="duplicateValues" dxfId="553" priority="229"/>
    <cfRule type="duplicateValues" dxfId="552" priority="230"/>
    <cfRule type="duplicateValues" dxfId="551" priority="231"/>
    <cfRule type="duplicateValues" dxfId="550" priority="232"/>
    <cfRule type="duplicateValues" dxfId="549" priority="233"/>
    <cfRule type="duplicateValues" dxfId="548" priority="234"/>
  </conditionalFormatting>
  <conditionalFormatting sqref="AI49 AI52">
    <cfRule type="duplicateValues" dxfId="547" priority="220"/>
  </conditionalFormatting>
  <conditionalFormatting sqref="AI49 AI52">
    <cfRule type="duplicateValues" dxfId="546" priority="219"/>
  </conditionalFormatting>
  <conditionalFormatting sqref="AI49 AI52">
    <cfRule type="duplicateValues" dxfId="545" priority="213"/>
    <cfRule type="duplicateValues" dxfId="544" priority="218"/>
  </conditionalFormatting>
  <conditionalFormatting sqref="AI49 AI52">
    <cfRule type="duplicateValues" dxfId="543" priority="217"/>
  </conditionalFormatting>
  <conditionalFormatting sqref="AI49 AI52">
    <cfRule type="duplicateValues" dxfId="542" priority="216"/>
  </conditionalFormatting>
  <conditionalFormatting sqref="AI49 AI52">
    <cfRule type="duplicateValues" dxfId="541" priority="215"/>
  </conditionalFormatting>
  <conditionalFormatting sqref="AI49 AI52">
    <cfRule type="duplicateValues" dxfId="540" priority="214"/>
  </conditionalFormatting>
  <conditionalFormatting sqref="AI55">
    <cfRule type="duplicateValues" dxfId="539" priority="212"/>
  </conditionalFormatting>
  <conditionalFormatting sqref="AI55">
    <cfRule type="duplicateValues" dxfId="538" priority="211"/>
  </conditionalFormatting>
  <conditionalFormatting sqref="AI55">
    <cfRule type="duplicateValues" dxfId="537" priority="210"/>
  </conditionalFormatting>
  <conditionalFormatting sqref="AI55">
    <cfRule type="duplicateValues" dxfId="536" priority="209"/>
  </conditionalFormatting>
  <conditionalFormatting sqref="AI55">
    <cfRule type="duplicateValues" dxfId="535" priority="208"/>
  </conditionalFormatting>
  <conditionalFormatting sqref="AI55">
    <cfRule type="duplicateValues" dxfId="534" priority="207"/>
  </conditionalFormatting>
  <conditionalFormatting sqref="AI55">
    <cfRule type="duplicateValues" dxfId="533" priority="206"/>
  </conditionalFormatting>
  <conditionalFormatting sqref="AI55">
    <cfRule type="duplicateValues" dxfId="532" priority="205"/>
  </conditionalFormatting>
  <conditionalFormatting sqref="AI55">
    <cfRule type="duplicateValues" dxfId="531" priority="204"/>
  </conditionalFormatting>
  <conditionalFormatting sqref="AI55">
    <cfRule type="duplicateValues" dxfId="530" priority="203"/>
  </conditionalFormatting>
  <conditionalFormatting sqref="AI55">
    <cfRule type="duplicateValues" dxfId="529" priority="202"/>
  </conditionalFormatting>
  <conditionalFormatting sqref="AI55">
    <cfRule type="duplicateValues" dxfId="528" priority="187"/>
    <cfRule type="duplicateValues" dxfId="527" priority="193"/>
    <cfRule type="duplicateValues" dxfId="526" priority="194"/>
    <cfRule type="duplicateValues" dxfId="525" priority="195"/>
    <cfRule type="duplicateValues" dxfId="524" priority="196"/>
    <cfRule type="duplicateValues" dxfId="523" priority="197"/>
    <cfRule type="duplicateValues" dxfId="522" priority="198"/>
    <cfRule type="duplicateValues" dxfId="521" priority="199"/>
    <cfRule type="duplicateValues" dxfId="520" priority="200"/>
    <cfRule type="duplicateValues" dxfId="519" priority="201"/>
  </conditionalFormatting>
  <conditionalFormatting sqref="AI55">
    <cfRule type="duplicateValues" dxfId="518" priority="192"/>
  </conditionalFormatting>
  <conditionalFormatting sqref="AI55">
    <cfRule type="duplicateValues" dxfId="517" priority="191"/>
  </conditionalFormatting>
  <conditionalFormatting sqref="AI55">
    <cfRule type="duplicateValues" dxfId="516" priority="190"/>
  </conditionalFormatting>
  <conditionalFormatting sqref="AI55">
    <cfRule type="duplicateValues" dxfId="515" priority="189"/>
  </conditionalFormatting>
  <conditionalFormatting sqref="AI55">
    <cfRule type="duplicateValues" dxfId="514" priority="186"/>
    <cfRule type="duplicateValues" dxfId="513" priority="188"/>
  </conditionalFormatting>
  <conditionalFormatting sqref="AI55">
    <cfRule type="duplicateValues" dxfId="512" priority="182"/>
    <cfRule type="duplicateValues" dxfId="511" priority="183"/>
    <cfRule type="duplicateValues" dxfId="510" priority="184"/>
    <cfRule type="duplicateValues" dxfId="509" priority="185"/>
  </conditionalFormatting>
  <conditionalFormatting sqref="AI55">
    <cfRule type="duplicateValues" dxfId="508" priority="180"/>
    <cfRule type="duplicateValues" dxfId="507" priority="181"/>
  </conditionalFormatting>
  <conditionalFormatting sqref="AI55">
    <cfRule type="duplicateValues" dxfId="506" priority="179"/>
  </conditionalFormatting>
  <conditionalFormatting sqref="AI55">
    <cfRule type="duplicateValues" dxfId="505" priority="165"/>
    <cfRule type="duplicateValues" dxfId="504" priority="166"/>
    <cfRule type="duplicateValues" dxfId="503" priority="167"/>
    <cfRule type="duplicateValues" dxfId="502" priority="168"/>
    <cfRule type="duplicateValues" dxfId="501" priority="169"/>
    <cfRule type="duplicateValues" dxfId="500" priority="170"/>
    <cfRule type="duplicateValues" dxfId="499" priority="171"/>
    <cfRule type="duplicateValues" dxfId="498" priority="172"/>
    <cfRule type="duplicateValues" dxfId="497" priority="173"/>
    <cfRule type="duplicateValues" dxfId="496" priority="174"/>
    <cfRule type="duplicateValues" dxfId="495" priority="175"/>
    <cfRule type="duplicateValues" dxfId="494" priority="176"/>
    <cfRule type="duplicateValues" dxfId="493" priority="177"/>
    <cfRule type="duplicateValues" dxfId="492" priority="178"/>
  </conditionalFormatting>
  <conditionalFormatting sqref="AI55">
    <cfRule type="duplicateValues" dxfId="491" priority="164"/>
  </conditionalFormatting>
  <conditionalFormatting sqref="AI55">
    <cfRule type="duplicateValues" dxfId="490" priority="163"/>
  </conditionalFormatting>
  <conditionalFormatting sqref="AI55">
    <cfRule type="duplicateValues" dxfId="489" priority="157"/>
    <cfRule type="duplicateValues" dxfId="488" priority="162"/>
  </conditionalFormatting>
  <conditionalFormatting sqref="AI55">
    <cfRule type="duplicateValues" dxfId="487" priority="161"/>
  </conditionalFormatting>
  <conditionalFormatting sqref="AI55">
    <cfRule type="duplicateValues" dxfId="486" priority="160"/>
  </conditionalFormatting>
  <conditionalFormatting sqref="AI55">
    <cfRule type="duplicateValues" dxfId="485" priority="159"/>
  </conditionalFormatting>
  <conditionalFormatting sqref="AI55">
    <cfRule type="duplicateValues" dxfId="484" priority="158"/>
  </conditionalFormatting>
  <conditionalFormatting sqref="AI58">
    <cfRule type="duplicateValues" dxfId="483" priority="156"/>
  </conditionalFormatting>
  <conditionalFormatting sqref="AI58">
    <cfRule type="duplicateValues" dxfId="482" priority="155"/>
  </conditionalFormatting>
  <conditionalFormatting sqref="AI58">
    <cfRule type="duplicateValues" dxfId="481" priority="154"/>
  </conditionalFormatting>
  <conditionalFormatting sqref="AI58">
    <cfRule type="duplicateValues" dxfId="480" priority="153"/>
  </conditionalFormatting>
  <conditionalFormatting sqref="AI58">
    <cfRule type="duplicateValues" dxfId="479" priority="152"/>
  </conditionalFormatting>
  <conditionalFormatting sqref="AI58">
    <cfRule type="duplicateValues" dxfId="478" priority="151"/>
  </conditionalFormatting>
  <conditionalFormatting sqref="AI58">
    <cfRule type="duplicateValues" dxfId="477" priority="150"/>
  </conditionalFormatting>
  <conditionalFormatting sqref="AI58">
    <cfRule type="duplicateValues" dxfId="476" priority="149"/>
  </conditionalFormatting>
  <conditionalFormatting sqref="AI58">
    <cfRule type="duplicateValues" dxfId="475" priority="148"/>
  </conditionalFormatting>
  <conditionalFormatting sqref="AI58">
    <cfRule type="duplicateValues" dxfId="474" priority="147"/>
  </conditionalFormatting>
  <conditionalFormatting sqref="AI58">
    <cfRule type="duplicateValues" dxfId="473" priority="146"/>
  </conditionalFormatting>
  <conditionalFormatting sqref="AI58">
    <cfRule type="duplicateValues" dxfId="472" priority="131"/>
    <cfRule type="duplicateValues" dxfId="471" priority="137"/>
    <cfRule type="duplicateValues" dxfId="470" priority="138"/>
    <cfRule type="duplicateValues" dxfId="469" priority="139"/>
    <cfRule type="duplicateValues" dxfId="468" priority="140"/>
    <cfRule type="duplicateValues" dxfId="467" priority="141"/>
    <cfRule type="duplicateValues" dxfId="466" priority="142"/>
    <cfRule type="duplicateValues" dxfId="465" priority="143"/>
    <cfRule type="duplicateValues" dxfId="464" priority="144"/>
    <cfRule type="duplicateValues" dxfId="463" priority="145"/>
  </conditionalFormatting>
  <conditionalFormatting sqref="AI58">
    <cfRule type="duplicateValues" dxfId="462" priority="136"/>
  </conditionalFormatting>
  <conditionalFormatting sqref="AI58">
    <cfRule type="duplicateValues" dxfId="461" priority="135"/>
  </conditionalFormatting>
  <conditionalFormatting sqref="AI58">
    <cfRule type="duplicateValues" dxfId="460" priority="134"/>
  </conditionalFormatting>
  <conditionalFormatting sqref="AI58">
    <cfRule type="duplicateValues" dxfId="459" priority="133"/>
  </conditionalFormatting>
  <conditionalFormatting sqref="AI58">
    <cfRule type="duplicateValues" dxfId="458" priority="130"/>
    <cfRule type="duplicateValues" dxfId="457" priority="132"/>
  </conditionalFormatting>
  <conditionalFormatting sqref="AI58">
    <cfRule type="duplicateValues" dxfId="456" priority="126"/>
    <cfRule type="duplicateValues" dxfId="455" priority="127"/>
    <cfRule type="duplicateValues" dxfId="454" priority="128"/>
    <cfRule type="duplicateValues" dxfId="453" priority="129"/>
  </conditionalFormatting>
  <conditionalFormatting sqref="AI58">
    <cfRule type="duplicateValues" dxfId="452" priority="124"/>
    <cfRule type="duplicateValues" dxfId="451" priority="125"/>
  </conditionalFormatting>
  <conditionalFormatting sqref="AI58">
    <cfRule type="duplicateValues" dxfId="450" priority="123"/>
  </conditionalFormatting>
  <conditionalFormatting sqref="AI58">
    <cfRule type="duplicateValues" dxfId="449" priority="109"/>
    <cfRule type="duplicateValues" dxfId="448" priority="110"/>
    <cfRule type="duplicateValues" dxfId="447" priority="111"/>
    <cfRule type="duplicateValues" dxfId="446" priority="112"/>
    <cfRule type="duplicateValues" dxfId="445" priority="113"/>
    <cfRule type="duplicateValues" dxfId="444" priority="114"/>
    <cfRule type="duplicateValues" dxfId="443" priority="115"/>
    <cfRule type="duplicateValues" dxfId="442" priority="116"/>
    <cfRule type="duplicateValues" dxfId="441" priority="117"/>
    <cfRule type="duplicateValues" dxfId="440" priority="118"/>
    <cfRule type="duplicateValues" dxfId="439" priority="119"/>
    <cfRule type="duplicateValues" dxfId="438" priority="120"/>
    <cfRule type="duplicateValues" dxfId="437" priority="121"/>
    <cfRule type="duplicateValues" dxfId="436" priority="122"/>
  </conditionalFormatting>
  <conditionalFormatting sqref="AI58">
    <cfRule type="duplicateValues" dxfId="435" priority="108"/>
  </conditionalFormatting>
  <conditionalFormatting sqref="AI58">
    <cfRule type="duplicateValues" dxfId="434" priority="107"/>
  </conditionalFormatting>
  <conditionalFormatting sqref="AI58">
    <cfRule type="duplicateValues" dxfId="433" priority="101"/>
    <cfRule type="duplicateValues" dxfId="432" priority="106"/>
  </conditionalFormatting>
  <conditionalFormatting sqref="AI58">
    <cfRule type="duplicateValues" dxfId="431" priority="105"/>
  </conditionalFormatting>
  <conditionalFormatting sqref="AI58">
    <cfRule type="duplicateValues" dxfId="430" priority="104"/>
  </conditionalFormatting>
  <conditionalFormatting sqref="AI58">
    <cfRule type="duplicateValues" dxfId="429" priority="103"/>
  </conditionalFormatting>
  <conditionalFormatting sqref="AI58">
    <cfRule type="duplicateValues" dxfId="428" priority="102"/>
  </conditionalFormatting>
  <conditionalFormatting sqref="AI61">
    <cfRule type="duplicateValues" dxfId="427" priority="100"/>
  </conditionalFormatting>
  <conditionalFormatting sqref="AI61">
    <cfRule type="duplicateValues" dxfId="426" priority="99"/>
  </conditionalFormatting>
  <conditionalFormatting sqref="AI61">
    <cfRule type="duplicateValues" dxfId="425" priority="98"/>
  </conditionalFormatting>
  <conditionalFormatting sqref="AI61">
    <cfRule type="duplicateValues" dxfId="424" priority="97"/>
  </conditionalFormatting>
  <conditionalFormatting sqref="AI61">
    <cfRule type="duplicateValues" dxfId="423" priority="96"/>
  </conditionalFormatting>
  <conditionalFormatting sqref="AI61">
    <cfRule type="duplicateValues" dxfId="422" priority="95"/>
  </conditionalFormatting>
  <conditionalFormatting sqref="AI61">
    <cfRule type="duplicateValues" dxfId="421" priority="94"/>
  </conditionalFormatting>
  <conditionalFormatting sqref="AI61">
    <cfRule type="duplicateValues" dxfId="420" priority="93"/>
  </conditionalFormatting>
  <conditionalFormatting sqref="AI61">
    <cfRule type="duplicateValues" dxfId="419" priority="92"/>
  </conditionalFormatting>
  <conditionalFormatting sqref="AI61">
    <cfRule type="duplicateValues" dxfId="418" priority="91"/>
  </conditionalFormatting>
  <conditionalFormatting sqref="AI61">
    <cfRule type="duplicateValues" dxfId="417" priority="90"/>
  </conditionalFormatting>
  <conditionalFormatting sqref="AI61">
    <cfRule type="duplicateValues" dxfId="416" priority="75"/>
    <cfRule type="duplicateValues" dxfId="415" priority="81"/>
    <cfRule type="duplicateValues" dxfId="414" priority="82"/>
    <cfRule type="duplicateValues" dxfId="413" priority="83"/>
    <cfRule type="duplicateValues" dxfId="412" priority="84"/>
    <cfRule type="duplicateValues" dxfId="411" priority="85"/>
    <cfRule type="duplicateValues" dxfId="410" priority="86"/>
    <cfRule type="duplicateValues" dxfId="409" priority="87"/>
    <cfRule type="duplicateValues" dxfId="408" priority="88"/>
    <cfRule type="duplicateValues" dxfId="407" priority="89"/>
  </conditionalFormatting>
  <conditionalFormatting sqref="AI61">
    <cfRule type="duplicateValues" dxfId="406" priority="80"/>
  </conditionalFormatting>
  <conditionalFormatting sqref="AI61">
    <cfRule type="duplicateValues" dxfId="405" priority="79"/>
  </conditionalFormatting>
  <conditionalFormatting sqref="AI61">
    <cfRule type="duplicateValues" dxfId="404" priority="78"/>
  </conditionalFormatting>
  <conditionalFormatting sqref="AI61">
    <cfRule type="duplicateValues" dxfId="403" priority="77"/>
  </conditionalFormatting>
  <conditionalFormatting sqref="AI61">
    <cfRule type="duplicateValues" dxfId="402" priority="74"/>
    <cfRule type="duplicateValues" dxfId="401" priority="76"/>
  </conditionalFormatting>
  <conditionalFormatting sqref="AI61">
    <cfRule type="duplicateValues" dxfId="400" priority="70"/>
    <cfRule type="duplicateValues" dxfId="399" priority="71"/>
    <cfRule type="duplicateValues" dxfId="398" priority="72"/>
    <cfRule type="duplicateValues" dxfId="397" priority="73"/>
  </conditionalFormatting>
  <conditionalFormatting sqref="AI61">
    <cfRule type="duplicateValues" dxfId="396" priority="68"/>
    <cfRule type="duplicateValues" dxfId="395" priority="69"/>
  </conditionalFormatting>
  <conditionalFormatting sqref="AI61">
    <cfRule type="duplicateValues" dxfId="394" priority="67"/>
  </conditionalFormatting>
  <conditionalFormatting sqref="AI61">
    <cfRule type="duplicateValues" dxfId="393" priority="53"/>
    <cfRule type="duplicateValues" dxfId="392" priority="54"/>
    <cfRule type="duplicateValues" dxfId="391" priority="55"/>
    <cfRule type="duplicateValues" dxfId="390" priority="56"/>
    <cfRule type="duplicateValues" dxfId="389" priority="57"/>
    <cfRule type="duplicateValues" dxfId="388" priority="58"/>
    <cfRule type="duplicateValues" dxfId="387" priority="59"/>
    <cfRule type="duplicateValues" dxfId="386" priority="60"/>
    <cfRule type="duplicateValues" dxfId="385" priority="61"/>
    <cfRule type="duplicateValues" dxfId="384" priority="62"/>
    <cfRule type="duplicateValues" dxfId="383" priority="63"/>
    <cfRule type="duplicateValues" dxfId="382" priority="64"/>
    <cfRule type="duplicateValues" dxfId="381" priority="65"/>
    <cfRule type="duplicateValues" dxfId="380" priority="66"/>
  </conditionalFormatting>
  <conditionalFormatting sqref="AI61">
    <cfRule type="duplicateValues" dxfId="379" priority="52"/>
  </conditionalFormatting>
  <conditionalFormatting sqref="AI61">
    <cfRule type="duplicateValues" dxfId="378" priority="51"/>
  </conditionalFormatting>
  <conditionalFormatting sqref="AI61">
    <cfRule type="duplicateValues" dxfId="377" priority="45"/>
    <cfRule type="duplicateValues" dxfId="376" priority="50"/>
  </conditionalFormatting>
  <conditionalFormatting sqref="AI61">
    <cfRule type="duplicateValues" dxfId="375" priority="49"/>
  </conditionalFormatting>
  <conditionalFormatting sqref="AI61">
    <cfRule type="duplicateValues" dxfId="374" priority="48"/>
  </conditionalFormatting>
  <conditionalFormatting sqref="AI61">
    <cfRule type="duplicateValues" dxfId="373" priority="47"/>
  </conditionalFormatting>
  <conditionalFormatting sqref="AI61">
    <cfRule type="duplicateValues" dxfId="372" priority="46"/>
  </conditionalFormatting>
  <conditionalFormatting sqref="AI73">
    <cfRule type="duplicateValues" dxfId="371" priority="44"/>
  </conditionalFormatting>
  <conditionalFormatting sqref="AI73">
    <cfRule type="duplicateValues" dxfId="370" priority="43"/>
  </conditionalFormatting>
  <conditionalFormatting sqref="AI73">
    <cfRule type="duplicateValues" dxfId="369" priority="42"/>
  </conditionalFormatting>
  <conditionalFormatting sqref="AI76">
    <cfRule type="duplicateValues" dxfId="368" priority="41"/>
  </conditionalFormatting>
  <conditionalFormatting sqref="AI76">
    <cfRule type="duplicateValues" dxfId="367" priority="40"/>
  </conditionalFormatting>
  <conditionalFormatting sqref="AI76">
    <cfRule type="duplicateValues" dxfId="366" priority="39"/>
  </conditionalFormatting>
  <conditionalFormatting sqref="AI79">
    <cfRule type="duplicateValues" dxfId="365" priority="38"/>
  </conditionalFormatting>
  <conditionalFormatting sqref="AI79">
    <cfRule type="duplicateValues" dxfId="364" priority="37"/>
  </conditionalFormatting>
  <conditionalFormatting sqref="AI79">
    <cfRule type="duplicateValues" dxfId="363" priority="36"/>
  </conditionalFormatting>
  <conditionalFormatting sqref="AI82">
    <cfRule type="duplicateValues" dxfId="362" priority="35"/>
  </conditionalFormatting>
  <conditionalFormatting sqref="AI82">
    <cfRule type="duplicateValues" dxfId="361" priority="34"/>
  </conditionalFormatting>
  <conditionalFormatting sqref="AI82">
    <cfRule type="duplicateValues" dxfId="360" priority="33"/>
  </conditionalFormatting>
  <conditionalFormatting sqref="AI85">
    <cfRule type="duplicateValues" dxfId="359" priority="32"/>
  </conditionalFormatting>
  <conditionalFormatting sqref="AI85">
    <cfRule type="duplicateValues" dxfId="358" priority="31"/>
  </conditionalFormatting>
  <conditionalFormatting sqref="AI85">
    <cfRule type="duplicateValues" dxfId="357" priority="30"/>
  </conditionalFormatting>
  <conditionalFormatting sqref="AI88">
    <cfRule type="duplicateValues" dxfId="356" priority="29"/>
  </conditionalFormatting>
  <conditionalFormatting sqref="AI88">
    <cfRule type="duplicateValues" dxfId="355" priority="28"/>
  </conditionalFormatting>
  <conditionalFormatting sqref="AI88">
    <cfRule type="duplicateValues" dxfId="354" priority="27"/>
  </conditionalFormatting>
  <conditionalFormatting sqref="AI91">
    <cfRule type="duplicateValues" dxfId="353" priority="26"/>
  </conditionalFormatting>
  <conditionalFormatting sqref="AI91">
    <cfRule type="duplicateValues" dxfId="352" priority="25"/>
  </conditionalFormatting>
  <conditionalFormatting sqref="AI91">
    <cfRule type="duplicateValues" dxfId="351" priority="24"/>
  </conditionalFormatting>
  <conditionalFormatting sqref="AI94">
    <cfRule type="duplicateValues" dxfId="350" priority="23"/>
  </conditionalFormatting>
  <conditionalFormatting sqref="AI94">
    <cfRule type="duplicateValues" dxfId="349" priority="22"/>
  </conditionalFormatting>
  <conditionalFormatting sqref="AI94">
    <cfRule type="duplicateValues" dxfId="348" priority="21"/>
  </conditionalFormatting>
  <conditionalFormatting sqref="AI97">
    <cfRule type="duplicateValues" dxfId="347" priority="20"/>
  </conditionalFormatting>
  <conditionalFormatting sqref="AI97">
    <cfRule type="duplicateValues" dxfId="346" priority="19"/>
  </conditionalFormatting>
  <conditionalFormatting sqref="AI97">
    <cfRule type="duplicateValues" dxfId="345" priority="18"/>
  </conditionalFormatting>
  <conditionalFormatting sqref="AI100">
    <cfRule type="duplicateValues" dxfId="344" priority="17"/>
  </conditionalFormatting>
  <conditionalFormatting sqref="AI100">
    <cfRule type="duplicateValues" dxfId="343" priority="16"/>
  </conditionalFormatting>
  <conditionalFormatting sqref="AI100">
    <cfRule type="duplicateValues" dxfId="342" priority="15"/>
  </conditionalFormatting>
  <conditionalFormatting sqref="AI103">
    <cfRule type="duplicateValues" dxfId="341" priority="14"/>
  </conditionalFormatting>
  <conditionalFormatting sqref="AI103">
    <cfRule type="duplicateValues" dxfId="340" priority="13"/>
  </conditionalFormatting>
  <conditionalFormatting sqref="AI103">
    <cfRule type="duplicateValues" dxfId="339" priority="12"/>
  </conditionalFormatting>
  <conditionalFormatting sqref="AI107">
    <cfRule type="duplicateValues" dxfId="338" priority="11"/>
  </conditionalFormatting>
  <conditionalFormatting sqref="AI107">
    <cfRule type="duplicateValues" dxfId="337" priority="10"/>
  </conditionalFormatting>
  <conditionalFormatting sqref="AI107">
    <cfRule type="duplicateValues" dxfId="336" priority="9"/>
  </conditionalFormatting>
  <conditionalFormatting sqref="AI110">
    <cfRule type="duplicateValues" dxfId="335" priority="8"/>
  </conditionalFormatting>
  <conditionalFormatting sqref="AI110">
    <cfRule type="duplicateValues" dxfId="334" priority="7"/>
  </conditionalFormatting>
  <conditionalFormatting sqref="AI110">
    <cfRule type="duplicateValues" dxfId="333" priority="6"/>
  </conditionalFormatting>
  <conditionalFormatting sqref="AI113">
    <cfRule type="duplicateValues" dxfId="332" priority="5"/>
  </conditionalFormatting>
  <conditionalFormatting sqref="AI113">
    <cfRule type="duplicateValues" dxfId="331" priority="4"/>
  </conditionalFormatting>
  <conditionalFormatting sqref="AI113">
    <cfRule type="duplicateValues" dxfId="330" priority="3"/>
  </conditionalFormatting>
  <conditionalFormatting sqref="B4:B20000">
    <cfRule type="duplicateValues" dxfId="329" priority="2"/>
  </conditionalFormatting>
  <conditionalFormatting sqref="B4:B20000">
    <cfRule type="duplicateValues" dxfId="0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070F-E8C8-482E-A616-FE72E170DAD0}">
  <sheetPr codeName="Sheet1"/>
  <dimension ref="A1:AJ100"/>
  <sheetViews>
    <sheetView zoomScale="85" zoomScaleNormal="85" workbookViewId="0"/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4.7109375" style="1" bestFit="1" customWidth="1"/>
    <col min="4" max="4" width="6" style="1" bestFit="1" customWidth="1"/>
    <col min="5" max="5" width="6.7109375" style="1" bestFit="1" customWidth="1"/>
    <col min="6" max="6" width="8.85546875" style="1" customWidth="1"/>
    <col min="7" max="7" width="3.28515625" style="1" bestFit="1" customWidth="1"/>
    <col min="8" max="8" width="6" style="1" bestFit="1" customWidth="1"/>
    <col min="9" max="9" width="6.7109375" style="1" bestFit="1" customWidth="1"/>
    <col min="10" max="10" width="8.85546875" style="1" customWidth="1"/>
    <col min="11" max="11" width="3.28515625" style="1" bestFit="1" customWidth="1"/>
    <col min="12" max="12" width="6" style="1" bestFit="1" customWidth="1"/>
    <col min="13" max="13" width="6.7109375" style="1" bestFit="1" customWidth="1"/>
    <col min="14" max="14" width="8.85546875" style="1" customWidth="1"/>
    <col min="15" max="15" width="3.28515625" style="1" bestFit="1" customWidth="1"/>
    <col min="16" max="16" width="9.5703125" style="1" bestFit="1" customWidth="1"/>
    <col min="17" max="17" width="6.7109375" style="1" bestFit="1" customWidth="1"/>
    <col min="18" max="18" width="8.85546875" style="1" customWidth="1"/>
    <col min="19" max="19" width="3.28515625" style="1" bestFit="1" customWidth="1"/>
    <col min="20" max="20" width="9.5703125" style="1" bestFit="1" customWidth="1"/>
    <col min="21" max="21" width="6.7109375" style="1" bestFit="1" customWidth="1"/>
    <col min="22" max="22" width="8.85546875" style="1" customWidth="1"/>
    <col min="23" max="23" width="3.28515625" style="1" bestFit="1" customWidth="1"/>
    <col min="24" max="24" width="9.28515625" style="1" customWidth="1"/>
    <col min="25" max="25" width="6.7109375" style="1" bestFit="1" customWidth="1"/>
    <col min="26" max="26" width="6.85546875" style="151" bestFit="1" customWidth="1"/>
    <col min="27" max="27" width="3.28515625" style="1" bestFit="1" customWidth="1"/>
    <col min="28" max="28" width="6" style="1" bestFit="1" customWidth="1"/>
    <col min="29" max="29" width="6.7109375" style="1" bestFit="1" customWidth="1"/>
    <col min="30" max="30" width="6.85546875" style="151" bestFit="1" customWidth="1"/>
    <col min="31" max="31" width="3.28515625" style="1" bestFit="1" customWidth="1"/>
    <col min="32" max="32" width="12.85546875" style="1" customWidth="1"/>
    <col min="33" max="33" width="3.28515625" customWidth="1"/>
    <col min="34" max="34" width="6" bestFit="1" customWidth="1"/>
  </cols>
  <sheetData>
    <row r="1" spans="1:36" ht="18" customHeight="1" thickBot="1" x14ac:dyDescent="0.3"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8"/>
    </row>
    <row r="2" spans="1:36" ht="15.75" thickBot="1" x14ac:dyDescent="0.3">
      <c r="B2" s="18" t="s">
        <v>212</v>
      </c>
      <c r="C2" s="210" t="s">
        <v>151</v>
      </c>
      <c r="D2" s="212" t="str">
        <f>"LUNES " &amp; TEXT(AJ2,"DD")</f>
        <v>LUNES 12</v>
      </c>
      <c r="E2" s="213"/>
      <c r="F2" s="213"/>
      <c r="G2" s="214"/>
      <c r="H2" s="207" t="str">
        <f>"MARTES " &amp; TEXT(AJ2+1,"DD")</f>
        <v>MARTES 13</v>
      </c>
      <c r="I2" s="209"/>
      <c r="J2" s="209"/>
      <c r="K2" s="208"/>
      <c r="L2" s="207" t="str">
        <f>"MIERCOLES " &amp; TEXT(AJ2+2,"DD")</f>
        <v>MIERCOLES 14</v>
      </c>
      <c r="M2" s="209"/>
      <c r="N2" s="209"/>
      <c r="O2" s="208"/>
      <c r="P2" s="207" t="str">
        <f>"JUEVES " &amp; TEXT(AJ2+3,"DD")</f>
        <v>JUEVES 15</v>
      </c>
      <c r="Q2" s="209"/>
      <c r="R2" s="209"/>
      <c r="S2" s="208"/>
      <c r="T2" s="207" t="str">
        <f>"VIERNES " &amp; TEXT(AJ2+4,"DD")</f>
        <v>VIERNES 16</v>
      </c>
      <c r="U2" s="209"/>
      <c r="V2" s="209"/>
      <c r="W2" s="208"/>
      <c r="X2" s="207" t="str">
        <f>"SABADO " &amp; TEXT(AJ2+5,"DD")</f>
        <v>SABADO 17</v>
      </c>
      <c r="Y2" s="209"/>
      <c r="Z2" s="209"/>
      <c r="AA2" s="208"/>
      <c r="AB2" s="207" t="str">
        <f>"DOMINGO " &amp; TEXT(AJ2+6,"DD")</f>
        <v>DOMINGO 18</v>
      </c>
      <c r="AC2" s="209"/>
      <c r="AD2" s="209"/>
      <c r="AE2" s="208"/>
      <c r="AF2" s="19" t="s">
        <v>13</v>
      </c>
      <c r="AJ2" t="str" cm="1">
        <f t="array" ref="AJ2">Primer_dia_sem_mes_n(2024,Mes_Sem_H("M"),Mes_Sem_H("S"))</f>
        <v>12/08/2024</v>
      </c>
    </row>
    <row r="3" spans="1:36" ht="17.25" customHeight="1" thickBot="1" x14ac:dyDescent="0.3">
      <c r="B3" s="18"/>
      <c r="C3" s="211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6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31">
        <f>F4+J4+N4+R4+V4+Z4+AD4</f>
        <v>35</v>
      </c>
      <c r="AH4" s="67">
        <v>11469</v>
      </c>
    </row>
    <row r="5" spans="1:36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38">
        <f>F5+J5+N5+R5+V5+Z5+AD5</f>
        <v>35</v>
      </c>
      <c r="AH5" s="69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H6" s="71"/>
    </row>
    <row r="7" spans="1:36" ht="19.5" customHeight="1" thickBot="1" x14ac:dyDescent="0.3">
      <c r="A7" s="26">
        <v>2</v>
      </c>
      <c r="B7" s="75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H7" s="75">
        <v>11501</v>
      </c>
    </row>
    <row r="8" spans="1:36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H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H9" s="39"/>
    </row>
    <row r="10" spans="1:36" ht="19.5" customHeight="1" thickBot="1" x14ac:dyDescent="0.3">
      <c r="A10" s="26">
        <v>3</v>
      </c>
      <c r="B10" s="67">
        <v>11498</v>
      </c>
      <c r="C10" s="27" t="s">
        <v>193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H10" s="67">
        <v>11498</v>
      </c>
    </row>
    <row r="11" spans="1:36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H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H12" s="39"/>
    </row>
    <row r="13" spans="1:36" ht="19.5" customHeight="1" x14ac:dyDescent="0.25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H13" s="67">
        <v>11496</v>
      </c>
    </row>
    <row r="14" spans="1:36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H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H15" s="39"/>
    </row>
    <row r="16" spans="1:36" x14ac:dyDescent="0.25">
      <c r="A16" s="26">
        <v>5</v>
      </c>
      <c r="B16" s="67">
        <v>11495</v>
      </c>
      <c r="C16" s="27" t="s">
        <v>178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H16" s="67">
        <v>11495</v>
      </c>
    </row>
    <row r="17" spans="1:34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H17" s="33"/>
    </row>
    <row r="18" spans="1:34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H18" s="39"/>
    </row>
    <row r="19" spans="1:34" x14ac:dyDescent="0.25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H19" s="67">
        <v>11502</v>
      </c>
    </row>
    <row r="20" spans="1:34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H20" s="33"/>
    </row>
    <row r="21" spans="1:34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H21" s="39"/>
    </row>
    <row r="22" spans="1:34" x14ac:dyDescent="0.25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H22" s="67">
        <v>11497</v>
      </c>
    </row>
    <row r="23" spans="1:34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H23" s="69"/>
    </row>
    <row r="24" spans="1:34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H24" s="71"/>
    </row>
    <row r="25" spans="1:34" x14ac:dyDescent="0.25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H25" s="75">
        <v>11499</v>
      </c>
    </row>
    <row r="26" spans="1:34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H26" s="33"/>
    </row>
    <row r="27" spans="1:34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H27" s="39"/>
    </row>
    <row r="28" spans="1:34" x14ac:dyDescent="0.25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218" t="s">
        <v>185</v>
      </c>
      <c r="Q28" s="219"/>
      <c r="R28" s="29"/>
      <c r="S28" s="49"/>
      <c r="T28" s="218" t="s">
        <v>185</v>
      </c>
      <c r="U28" s="219"/>
      <c r="V28" s="29"/>
      <c r="W28" s="49"/>
      <c r="X28" s="218" t="s">
        <v>185</v>
      </c>
      <c r="Y28" s="219"/>
      <c r="Z28" s="145"/>
      <c r="AA28" s="49"/>
      <c r="AB28" s="28"/>
      <c r="AC28" s="29"/>
      <c r="AD28" s="145"/>
      <c r="AE28" s="49"/>
      <c r="AF28" s="31">
        <f>F28+J28+N28+R28+V28+Z28+AD28</f>
        <v>21</v>
      </c>
      <c r="AH28" s="76">
        <v>11493</v>
      </c>
    </row>
    <row r="29" spans="1:34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H29" s="33"/>
    </row>
    <row r="30" spans="1:34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H30" s="33"/>
    </row>
    <row r="31" spans="1:34" x14ac:dyDescent="0.25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H31" s="67">
        <v>11500</v>
      </c>
    </row>
    <row r="32" spans="1:34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H32" s="69"/>
    </row>
    <row r="33" spans="1:34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H33" s="71"/>
    </row>
    <row r="34" spans="1:34" x14ac:dyDescent="0.25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H34" s="67">
        <v>11494</v>
      </c>
    </row>
    <row r="35" spans="1:34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  <c r="AH35" s="69"/>
    </row>
    <row r="36" spans="1:34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H36" s="71"/>
    </row>
    <row r="37" spans="1:34" x14ac:dyDescent="0.25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  <c r="AH37" s="67">
        <v>11514</v>
      </c>
    </row>
    <row r="38" spans="1:34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  <c r="AH38" s="69"/>
    </row>
    <row r="39" spans="1:34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H39" s="71"/>
    </row>
    <row r="40" spans="1:34" x14ac:dyDescent="0.25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  <c r="AH40" s="67">
        <v>11401</v>
      </c>
    </row>
    <row r="41" spans="1:34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  <c r="AH41" s="69"/>
    </row>
    <row r="42" spans="1:34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H42" s="69"/>
    </row>
    <row r="43" spans="1:34" x14ac:dyDescent="0.25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  <c r="AH43" s="67">
        <v>11408</v>
      </c>
    </row>
    <row r="44" spans="1:34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  <c r="AH44" s="33"/>
    </row>
    <row r="45" spans="1:34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H45" s="39"/>
    </row>
    <row r="46" spans="1:34" x14ac:dyDescent="0.25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64">
        <f>F46+J46+N46+R46+V46+Z46+AD46</f>
        <v>40</v>
      </c>
      <c r="AH46" s="67">
        <v>11406</v>
      </c>
    </row>
    <row r="47" spans="1:34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42"/>
      <c r="W47" s="51"/>
      <c r="X47" s="35"/>
      <c r="Y47" s="36"/>
      <c r="Z47" s="146"/>
      <c r="AA47" s="51"/>
      <c r="AB47" s="35"/>
      <c r="AC47" s="36"/>
      <c r="AD47" s="146"/>
      <c r="AE47" s="51"/>
      <c r="AF47" s="59" t="e">
        <f>F47+J47+N47+R47+#REF!+Z47+AD47</f>
        <v>#REF!</v>
      </c>
      <c r="AH47" s="69"/>
    </row>
    <row r="48" spans="1:34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W48" s="44"/>
      <c r="X48" s="41"/>
      <c r="Y48" s="42"/>
      <c r="Z48" s="147"/>
      <c r="AA48" s="44"/>
      <c r="AB48" s="41"/>
      <c r="AC48" s="42"/>
      <c r="AD48" s="147"/>
      <c r="AE48" s="44"/>
      <c r="AH48" s="71"/>
    </row>
    <row r="49" spans="1:34" x14ac:dyDescent="0.25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  <c r="AH49" s="67">
        <v>11407</v>
      </c>
    </row>
    <row r="50" spans="1:34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  <c r="AH50" s="33"/>
    </row>
    <row r="51" spans="1:34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H51" s="33"/>
    </row>
    <row r="52" spans="1:34" x14ac:dyDescent="0.25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  <c r="AH52" s="67">
        <v>11428</v>
      </c>
    </row>
    <row r="53" spans="1:34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  <c r="AH53" s="69"/>
    </row>
    <row r="54" spans="1:34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  <c r="AH54" s="71"/>
    </row>
    <row r="55" spans="1:34" x14ac:dyDescent="0.25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  <c r="AH55" s="77">
        <v>11517</v>
      </c>
    </row>
    <row r="56" spans="1:34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  <c r="AH56" s="33"/>
    </row>
    <row r="57" spans="1:34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H57" s="39"/>
    </row>
    <row r="58" spans="1:34" x14ac:dyDescent="0.25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  <c r="AH58" s="77">
        <v>11526</v>
      </c>
    </row>
    <row r="59" spans="1:34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  <c r="AH59" s="33"/>
    </row>
    <row r="60" spans="1:34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  <c r="AH60" s="33"/>
    </row>
    <row r="61" spans="1:34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  <c r="AH61" s="26">
        <v>11527</v>
      </c>
    </row>
    <row r="62" spans="1:34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  <c r="AH62" s="33"/>
    </row>
    <row r="63" spans="1:34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  <c r="AH63" s="33"/>
    </row>
    <row r="64" spans="1:34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  <c r="AH64" s="26">
        <v>11528</v>
      </c>
    </row>
    <row r="65" spans="1:34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  <c r="AH65" s="33"/>
    </row>
    <row r="66" spans="1:34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  <c r="AH66" s="33"/>
    </row>
    <row r="67" spans="1:34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  <c r="AH67" s="26">
        <v>11531</v>
      </c>
    </row>
    <row r="68" spans="1:34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  <c r="AH68" s="33"/>
    </row>
    <row r="69" spans="1:34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  <c r="AH69" s="33"/>
    </row>
    <row r="70" spans="1:34" x14ac:dyDescent="0.25">
      <c r="A70" s="26">
        <v>23</v>
      </c>
      <c r="B70" s="77">
        <v>11291</v>
      </c>
      <c r="C70" s="73" t="s">
        <v>168</v>
      </c>
      <c r="D70" s="32"/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139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  <c r="AH70" s="77">
        <v>11291</v>
      </c>
    </row>
    <row r="71" spans="1:34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  <c r="AH71" s="33"/>
    </row>
    <row r="72" spans="1:34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  <c r="AH72" s="39"/>
    </row>
    <row r="73" spans="1:34" ht="15" customHeight="1" thickBot="1" x14ac:dyDescent="0.3">
      <c r="A73" s="26"/>
      <c r="B73" s="67">
        <v>11504</v>
      </c>
      <c r="C73" s="27" t="s">
        <v>186</v>
      </c>
      <c r="D73" s="141">
        <v>12</v>
      </c>
      <c r="E73" s="142">
        <v>221</v>
      </c>
      <c r="F73" s="142">
        <v>5</v>
      </c>
      <c r="G73" s="143">
        <v>37</v>
      </c>
      <c r="H73" s="141">
        <v>12</v>
      </c>
      <c r="I73" s="142">
        <v>221</v>
      </c>
      <c r="J73" s="142">
        <v>5</v>
      </c>
      <c r="K73" s="143">
        <v>37</v>
      </c>
      <c r="L73" s="141">
        <v>12</v>
      </c>
      <c r="M73" s="142">
        <v>221</v>
      </c>
      <c r="N73" s="142">
        <v>5</v>
      </c>
      <c r="O73" s="143">
        <v>37</v>
      </c>
      <c r="P73" s="141">
        <v>12</v>
      </c>
      <c r="Q73" s="142">
        <v>221</v>
      </c>
      <c r="R73" s="142">
        <v>5</v>
      </c>
      <c r="S73" s="143">
        <v>37</v>
      </c>
      <c r="T73" s="141">
        <v>12</v>
      </c>
      <c r="U73" s="142">
        <v>221</v>
      </c>
      <c r="V73" s="142">
        <v>5</v>
      </c>
      <c r="W73" s="143">
        <v>37</v>
      </c>
      <c r="X73" s="141">
        <v>12</v>
      </c>
      <c r="Y73" s="142">
        <v>221</v>
      </c>
      <c r="Z73" s="150">
        <v>3</v>
      </c>
      <c r="AA73" s="143">
        <v>37</v>
      </c>
      <c r="AB73" s="28"/>
      <c r="AC73" s="29"/>
      <c r="AD73" s="145"/>
      <c r="AE73" s="49"/>
      <c r="AF73" s="31">
        <f>F73+J73+N73+R73+V73+Z73+AD73</f>
        <v>28</v>
      </c>
      <c r="AH73" s="67">
        <v>11504</v>
      </c>
    </row>
    <row r="74" spans="1:34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</row>
    <row r="75" spans="1:34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4" x14ac:dyDescent="0.25">
      <c r="B76" s="18"/>
      <c r="C76" s="18"/>
      <c r="D76" s="18"/>
    </row>
    <row r="77" spans="1:34" x14ac:dyDescent="0.25">
      <c r="B77" s="18"/>
      <c r="C77" s="18"/>
      <c r="D77" s="18"/>
      <c r="E77" s="18"/>
    </row>
    <row r="78" spans="1:34" x14ac:dyDescent="0.25">
      <c r="B78" s="18"/>
      <c r="C78" s="18"/>
      <c r="D78" s="18"/>
      <c r="E78" s="18"/>
    </row>
    <row r="79" spans="1:34" x14ac:dyDescent="0.25">
      <c r="B79" s="18"/>
      <c r="C79" s="18"/>
      <c r="D79" s="18"/>
      <c r="E79" s="18"/>
    </row>
    <row r="80" spans="1:34" x14ac:dyDescent="0.25">
      <c r="B80" s="18"/>
      <c r="C80" s="18"/>
      <c r="D80" s="18"/>
      <c r="E80" s="18"/>
    </row>
    <row r="81" spans="2:5" x14ac:dyDescent="0.25">
      <c r="B81" s="18"/>
      <c r="C81" s="18"/>
      <c r="D81" s="18"/>
      <c r="E81" s="18"/>
    </row>
    <row r="82" spans="2:5" x14ac:dyDescent="0.25">
      <c r="B82" s="18"/>
      <c r="C82" s="18"/>
      <c r="D82" s="18"/>
      <c r="E82" s="18"/>
    </row>
    <row r="83" spans="2:5" x14ac:dyDescent="0.25">
      <c r="B83" s="18"/>
      <c r="C83" s="18"/>
      <c r="D83" s="18"/>
      <c r="E83" s="18"/>
    </row>
    <row r="84" spans="2:5" x14ac:dyDescent="0.25">
      <c r="B84" s="18"/>
      <c r="C84" s="18"/>
      <c r="D84" s="18"/>
      <c r="E84" s="18"/>
    </row>
    <row r="85" spans="2:5" x14ac:dyDescent="0.25">
      <c r="B85" s="18"/>
      <c r="C85" s="18"/>
      <c r="D85" s="18"/>
      <c r="E85" s="18"/>
    </row>
    <row r="86" spans="2:5" x14ac:dyDescent="0.25">
      <c r="B86" s="18"/>
      <c r="C86" s="18"/>
      <c r="D86" s="18"/>
      <c r="E86" s="18"/>
    </row>
    <row r="87" spans="2:5" x14ac:dyDescent="0.25">
      <c r="B87" s="18"/>
      <c r="C87" s="18"/>
      <c r="D87" s="18"/>
      <c r="E87" s="18"/>
    </row>
    <row r="88" spans="2:5" x14ac:dyDescent="0.25">
      <c r="B88" s="18"/>
      <c r="C88" s="18"/>
      <c r="D88" s="18"/>
      <c r="E88" s="18"/>
    </row>
    <row r="89" spans="2:5" x14ac:dyDescent="0.25">
      <c r="B89" s="18"/>
      <c r="C89" s="18"/>
      <c r="D89" s="18"/>
      <c r="E89" s="18"/>
    </row>
    <row r="90" spans="2:5" x14ac:dyDescent="0.25">
      <c r="B90" s="18"/>
      <c r="C90" s="18"/>
      <c r="D90" s="18"/>
      <c r="E90" s="18"/>
    </row>
    <row r="91" spans="2:5" x14ac:dyDescent="0.25">
      <c r="B91" s="18"/>
      <c r="C91" s="18"/>
      <c r="D91" s="18"/>
      <c r="E91" s="18"/>
    </row>
    <row r="92" spans="2:5" x14ac:dyDescent="0.25">
      <c r="B92" s="18"/>
      <c r="C92" s="18"/>
      <c r="D92" s="18"/>
      <c r="E92" s="18"/>
    </row>
    <row r="93" spans="2:5" x14ac:dyDescent="0.25">
      <c r="B93" s="18"/>
      <c r="C93" s="18"/>
      <c r="D93" s="18"/>
      <c r="E93" s="18"/>
    </row>
    <row r="94" spans="2:5" x14ac:dyDescent="0.25">
      <c r="B94" s="18"/>
      <c r="C94" s="18"/>
      <c r="D94" s="18"/>
      <c r="E94" s="18"/>
    </row>
    <row r="95" spans="2:5" x14ac:dyDescent="0.25">
      <c r="B95" s="18"/>
      <c r="C95" s="18"/>
      <c r="D95" s="18"/>
      <c r="E95" s="18"/>
    </row>
    <row r="96" spans="2:5" x14ac:dyDescent="0.25">
      <c r="B96" s="18"/>
      <c r="C96" s="18"/>
      <c r="D96" s="18"/>
      <c r="E96" s="18"/>
    </row>
    <row r="97" spans="2:5" x14ac:dyDescent="0.25">
      <c r="B97" s="18"/>
      <c r="C97" s="18"/>
      <c r="D97" s="18"/>
      <c r="E97" s="18"/>
    </row>
    <row r="98" spans="2:5" x14ac:dyDescent="0.25">
      <c r="B98" s="18"/>
      <c r="C98" s="18"/>
      <c r="D98" s="18"/>
      <c r="E98" s="18"/>
    </row>
    <row r="99" spans="2:5" x14ac:dyDescent="0.25">
      <c r="B99" s="18"/>
      <c r="C99" s="18"/>
      <c r="D99" s="18"/>
      <c r="E99" s="18"/>
    </row>
    <row r="100" spans="2:5" x14ac:dyDescent="0.25">
      <c r="B100" s="18"/>
      <c r="C100" s="18"/>
      <c r="D100" s="18"/>
      <c r="E100" s="18"/>
    </row>
  </sheetData>
  <mergeCells count="9"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72 B74:B80">
    <cfRule type="duplicateValues" dxfId="328" priority="54"/>
  </conditionalFormatting>
  <conditionalFormatting sqref="B73">
    <cfRule type="duplicateValues" dxfId="327" priority="53"/>
  </conditionalFormatting>
  <conditionalFormatting sqref="B73">
    <cfRule type="duplicateValues" dxfId="326" priority="52"/>
  </conditionalFormatting>
  <conditionalFormatting sqref="B73">
    <cfRule type="duplicateValues" dxfId="325" priority="51"/>
  </conditionalFormatting>
  <conditionalFormatting sqref="B73">
    <cfRule type="duplicateValues" dxfId="324" priority="50"/>
  </conditionalFormatting>
  <conditionalFormatting sqref="B73">
    <cfRule type="duplicateValues" dxfId="323" priority="49"/>
  </conditionalFormatting>
  <conditionalFormatting sqref="B73">
    <cfRule type="duplicateValues" dxfId="322" priority="48"/>
  </conditionalFormatting>
  <conditionalFormatting sqref="B73">
    <cfRule type="duplicateValues" dxfId="321" priority="47"/>
  </conditionalFormatting>
  <conditionalFormatting sqref="B73">
    <cfRule type="duplicateValues" dxfId="320" priority="46"/>
  </conditionalFormatting>
  <conditionalFormatting sqref="B73">
    <cfRule type="duplicateValues" dxfId="319" priority="45"/>
  </conditionalFormatting>
  <conditionalFormatting sqref="B73">
    <cfRule type="duplicateValues" dxfId="318" priority="44"/>
  </conditionalFormatting>
  <conditionalFormatting sqref="B73">
    <cfRule type="duplicateValues" dxfId="317" priority="43"/>
  </conditionalFormatting>
  <conditionalFormatting sqref="B4:B80">
    <cfRule type="duplicateValues" dxfId="316" priority="42"/>
  </conditionalFormatting>
  <conditionalFormatting sqref="B4:B80">
    <cfRule type="duplicateValues" dxfId="315" priority="41"/>
  </conditionalFormatting>
  <conditionalFormatting sqref="B4:B80">
    <cfRule type="duplicateValues" dxfId="314" priority="40"/>
  </conditionalFormatting>
  <conditionalFormatting sqref="B4:B80">
    <cfRule type="duplicateValues" dxfId="313" priority="39"/>
  </conditionalFormatting>
  <conditionalFormatting sqref="B4:B80">
    <cfRule type="duplicateValues" dxfId="312" priority="32"/>
    <cfRule type="duplicateValues" dxfId="311" priority="34"/>
    <cfRule type="duplicateValues" dxfId="310" priority="36"/>
    <cfRule type="duplicateValues" dxfId="309" priority="38"/>
  </conditionalFormatting>
  <conditionalFormatting sqref="B4:B80">
    <cfRule type="duplicateValues" dxfId="308" priority="28"/>
    <cfRule type="duplicateValues" dxfId="307" priority="33"/>
    <cfRule type="duplicateValues" dxfId="306" priority="35"/>
    <cfRule type="duplicateValues" dxfId="305" priority="37"/>
  </conditionalFormatting>
  <conditionalFormatting sqref="B4:B80">
    <cfRule type="duplicateValues" dxfId="304" priority="29"/>
    <cfRule type="duplicateValues" dxfId="303" priority="31"/>
  </conditionalFormatting>
  <conditionalFormatting sqref="B4:B80">
    <cfRule type="duplicateValues" dxfId="302" priority="30"/>
  </conditionalFormatting>
  <conditionalFormatting sqref="AH4:AH72">
    <cfRule type="duplicateValues" dxfId="301" priority="27"/>
  </conditionalFormatting>
  <conditionalFormatting sqref="AH73">
    <cfRule type="duplicateValues" dxfId="300" priority="26"/>
  </conditionalFormatting>
  <conditionalFormatting sqref="AH73">
    <cfRule type="duplicateValues" dxfId="299" priority="25"/>
  </conditionalFormatting>
  <conditionalFormatting sqref="AH73">
    <cfRule type="duplicateValues" dxfId="298" priority="24"/>
  </conditionalFormatting>
  <conditionalFormatting sqref="AH73">
    <cfRule type="duplicateValues" dxfId="297" priority="23"/>
  </conditionalFormatting>
  <conditionalFormatting sqref="AH73">
    <cfRule type="duplicateValues" dxfId="296" priority="22"/>
  </conditionalFormatting>
  <conditionalFormatting sqref="AH73">
    <cfRule type="duplicateValues" dxfId="295" priority="21"/>
  </conditionalFormatting>
  <conditionalFormatting sqref="AH73">
    <cfRule type="duplicateValues" dxfId="294" priority="20"/>
  </conditionalFormatting>
  <conditionalFormatting sqref="AH73">
    <cfRule type="duplicateValues" dxfId="293" priority="19"/>
  </conditionalFormatting>
  <conditionalFormatting sqref="AH73">
    <cfRule type="duplicateValues" dxfId="292" priority="18"/>
  </conditionalFormatting>
  <conditionalFormatting sqref="AH73">
    <cfRule type="duplicateValues" dxfId="291" priority="17"/>
  </conditionalFormatting>
  <conditionalFormatting sqref="AH73">
    <cfRule type="duplicateValues" dxfId="290" priority="16"/>
  </conditionalFormatting>
  <conditionalFormatting sqref="AH4:AH73">
    <cfRule type="duplicateValues" dxfId="289" priority="15"/>
  </conditionalFormatting>
  <conditionalFormatting sqref="AH4:AH73">
    <cfRule type="duplicateValues" dxfId="288" priority="14"/>
  </conditionalFormatting>
  <conditionalFormatting sqref="AH4:AH73">
    <cfRule type="duplicateValues" dxfId="287" priority="13"/>
  </conditionalFormatting>
  <conditionalFormatting sqref="AH4:AH73">
    <cfRule type="duplicateValues" dxfId="286" priority="12"/>
  </conditionalFormatting>
  <conditionalFormatting sqref="AH4:AH73">
    <cfRule type="duplicateValues" dxfId="285" priority="5"/>
    <cfRule type="duplicateValues" dxfId="284" priority="7"/>
    <cfRule type="duplicateValues" dxfId="283" priority="9"/>
    <cfRule type="duplicateValues" dxfId="282" priority="11"/>
  </conditionalFormatting>
  <conditionalFormatting sqref="AH4:AH73">
    <cfRule type="duplicateValues" dxfId="281" priority="1"/>
    <cfRule type="duplicateValues" dxfId="280" priority="6"/>
    <cfRule type="duplicateValues" dxfId="279" priority="8"/>
    <cfRule type="duplicateValues" dxfId="278" priority="10"/>
  </conditionalFormatting>
  <conditionalFormatting sqref="AH4:AH73">
    <cfRule type="duplicateValues" dxfId="277" priority="2"/>
    <cfRule type="duplicateValues" dxfId="276" priority="4"/>
  </conditionalFormatting>
  <conditionalFormatting sqref="AH4:AH73">
    <cfRule type="duplicateValues" dxfId="275" priority="3"/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4C2B-948D-4832-B3BE-39A7F58ED777}">
  <sheetPr codeName="Sheet2"/>
  <dimension ref="A1:AJ100"/>
  <sheetViews>
    <sheetView zoomScale="85" zoomScaleNormal="85" workbookViewId="0"/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0.28515625" style="1" bestFit="1" customWidth="1"/>
    <col min="4" max="4" width="6.28515625" style="1" bestFit="1" customWidth="1"/>
    <col min="5" max="6" width="5.28515625" style="1" customWidth="1"/>
    <col min="7" max="7" width="6.7109375" style="1" customWidth="1"/>
    <col min="8" max="8" width="6.5703125" style="1" bestFit="1" customWidth="1"/>
    <col min="9" max="10" width="5.28515625" style="1" customWidth="1"/>
    <col min="11" max="11" width="6.7109375" style="1" customWidth="1"/>
    <col min="12" max="12" width="6.5703125" style="1" bestFit="1" customWidth="1"/>
    <col min="13" max="14" width="5.28515625" style="1" customWidth="1"/>
    <col min="15" max="15" width="6.7109375" style="1" customWidth="1"/>
    <col min="16" max="16" width="6.42578125" style="1" bestFit="1" customWidth="1"/>
    <col min="17" max="18" width="5.28515625" style="1" customWidth="1"/>
    <col min="19" max="19" width="6.7109375" style="1" customWidth="1"/>
    <col min="20" max="20" width="6.42578125" style="1" bestFit="1" customWidth="1"/>
    <col min="21" max="22" width="5.28515625" style="1" customWidth="1"/>
    <col min="23" max="23" width="6.7109375" style="1" customWidth="1"/>
    <col min="24" max="24" width="6.140625" style="1" customWidth="1"/>
    <col min="25" max="25" width="6" style="151" customWidth="1"/>
    <col min="26" max="28" width="5.28515625" style="1" customWidth="1"/>
    <col min="29" max="29" width="5.28515625" style="151" customWidth="1"/>
    <col min="30" max="30" width="5.28515625" style="1" customWidth="1"/>
    <col min="31" max="31" width="8.28515625" style="1" customWidth="1"/>
    <col min="32" max="32" width="15.85546875" style="1" bestFit="1" customWidth="1"/>
    <col min="34" max="34" width="8.85546875" bestFit="1" customWidth="1"/>
  </cols>
  <sheetData>
    <row r="1" spans="1:36" ht="18" customHeight="1" thickBot="1" x14ac:dyDescent="0.3"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8"/>
    </row>
    <row r="2" spans="1:36" ht="15.75" thickBot="1" x14ac:dyDescent="0.3">
      <c r="B2" s="18" t="s">
        <v>212</v>
      </c>
      <c r="C2" s="220" t="s">
        <v>151</v>
      </c>
      <c r="D2" s="212" t="str">
        <f>"LUNES " &amp; TEXT(AJ2,"DD")</f>
        <v>LUNES 19</v>
      </c>
      <c r="E2" s="213"/>
      <c r="F2" s="213"/>
      <c r="G2" s="214"/>
      <c r="H2" s="207" t="str">
        <f>"MARTES " &amp; TEXT(AJ2+1,"DD")</f>
        <v>MARTES 20</v>
      </c>
      <c r="I2" s="209"/>
      <c r="J2" s="209"/>
      <c r="K2" s="208"/>
      <c r="L2" s="207" t="str">
        <f>"MIERCOLES " &amp; TEXT(AJ2+2,"DD")</f>
        <v>MIERCOLES 21</v>
      </c>
      <c r="M2" s="209"/>
      <c r="N2" s="209"/>
      <c r="O2" s="208"/>
      <c r="P2" s="207" t="str">
        <f>"JUEVES " &amp; TEXT(AJ2+3,"DD")</f>
        <v>JUEVES 22</v>
      </c>
      <c r="Q2" s="209"/>
      <c r="R2" s="209"/>
      <c r="S2" s="208"/>
      <c r="T2" s="207" t="str">
        <f>"VIERNES " &amp; TEXT(AJ2+4,"DD")</f>
        <v>VIERNES 23</v>
      </c>
      <c r="U2" s="209"/>
      <c r="V2" s="209"/>
      <c r="W2" s="208"/>
      <c r="X2" s="207" t="str">
        <f>"SABADO " &amp; TEXT(AJ2+5,"DD")</f>
        <v>SABADO 24</v>
      </c>
      <c r="Y2" s="209"/>
      <c r="Z2" s="209"/>
      <c r="AA2" s="208"/>
      <c r="AB2" s="207" t="str">
        <f>"DOMINGO " &amp; TEXT(AJ2+6,"DD")</f>
        <v>DOMINGO 25</v>
      </c>
      <c r="AC2" s="209"/>
      <c r="AD2" s="209"/>
      <c r="AE2" s="208"/>
      <c r="AF2" s="19" t="s">
        <v>13</v>
      </c>
      <c r="AJ2" t="str" cm="1">
        <f t="array" ref="AJ2">Primer_dia_sem_mes_n(2024,Mes_Sem_H("M"),Mes_Sem_H("S"))</f>
        <v>19/08/2024</v>
      </c>
    </row>
    <row r="3" spans="1:36" ht="18.75" customHeight="1" thickBot="1" x14ac:dyDescent="0.3">
      <c r="B3" s="18"/>
      <c r="C3" s="221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6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31">
        <f>F4+J4+N4+R4+V4+Z4+AD4</f>
        <v>35</v>
      </c>
      <c r="AH4" s="67">
        <v>11469</v>
      </c>
    </row>
    <row r="5" spans="1:36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38">
        <f>F5+J5+N5+R5+V5+Z5+AD5</f>
        <v>35</v>
      </c>
      <c r="AH5" s="69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H6" s="71"/>
    </row>
    <row r="7" spans="1:36" ht="19.5" customHeight="1" thickBot="1" x14ac:dyDescent="0.3">
      <c r="A7" s="26">
        <v>2</v>
      </c>
      <c r="B7" s="75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H7" s="75">
        <v>11501</v>
      </c>
    </row>
    <row r="8" spans="1:36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H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H9" s="39"/>
    </row>
    <row r="10" spans="1:36" ht="19.5" customHeight="1" thickBot="1" x14ac:dyDescent="0.3">
      <c r="A10" s="26">
        <v>3</v>
      </c>
      <c r="B10" s="67">
        <v>11498</v>
      </c>
      <c r="C10" s="27" t="s">
        <v>167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H10" s="67">
        <v>11498</v>
      </c>
    </row>
    <row r="11" spans="1:36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H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H12" s="39"/>
    </row>
    <row r="13" spans="1:36" ht="19.5" customHeight="1" x14ac:dyDescent="0.25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H13" s="67">
        <v>11496</v>
      </c>
    </row>
    <row r="14" spans="1:36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H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H15" s="39"/>
    </row>
    <row r="16" spans="1:36" x14ac:dyDescent="0.25">
      <c r="A16" s="26">
        <v>5</v>
      </c>
      <c r="B16" s="67">
        <v>11495</v>
      </c>
      <c r="C16" s="27" t="s">
        <v>178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H16" s="67">
        <v>11495</v>
      </c>
    </row>
    <row r="17" spans="1:34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H17" s="33"/>
    </row>
    <row r="18" spans="1:34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H18" s="39"/>
    </row>
    <row r="19" spans="1:34" x14ac:dyDescent="0.25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H19" s="67">
        <v>11502</v>
      </c>
    </row>
    <row r="20" spans="1:34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H20" s="33"/>
    </row>
    <row r="21" spans="1:34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H21" s="39"/>
    </row>
    <row r="22" spans="1:34" x14ac:dyDescent="0.25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H22" s="67">
        <v>11497</v>
      </c>
    </row>
    <row r="23" spans="1:34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H23" s="69"/>
    </row>
    <row r="24" spans="1:34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H24" s="71"/>
    </row>
    <row r="25" spans="1:34" x14ac:dyDescent="0.25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H25" s="75">
        <v>11499</v>
      </c>
    </row>
    <row r="26" spans="1:34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H26" s="33"/>
    </row>
    <row r="27" spans="1:34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H27" s="39"/>
    </row>
    <row r="28" spans="1:34" x14ac:dyDescent="0.25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215" t="s">
        <v>185</v>
      </c>
      <c r="Q28" s="216"/>
      <c r="R28" s="29"/>
      <c r="S28" s="49"/>
      <c r="T28" s="215" t="s">
        <v>185</v>
      </c>
      <c r="U28" s="216"/>
      <c r="V28" s="29"/>
      <c r="W28" s="49"/>
      <c r="X28" s="215" t="s">
        <v>185</v>
      </c>
      <c r="Y28" s="216"/>
      <c r="Z28" s="145"/>
      <c r="AA28" s="49"/>
      <c r="AB28" s="28"/>
      <c r="AC28" s="29"/>
      <c r="AD28" s="145"/>
      <c r="AE28" s="49"/>
      <c r="AF28" s="31">
        <f>F28+J28+N28+R28+V28+Z28+AD28</f>
        <v>21</v>
      </c>
      <c r="AH28" s="76">
        <v>11493</v>
      </c>
    </row>
    <row r="29" spans="1:34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H29" s="33"/>
    </row>
    <row r="30" spans="1:34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H30" s="33"/>
    </row>
    <row r="31" spans="1:34" x14ac:dyDescent="0.25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H31" s="67">
        <v>11500</v>
      </c>
    </row>
    <row r="32" spans="1:34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H32" s="69"/>
    </row>
    <row r="33" spans="1:34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H33" s="71"/>
    </row>
    <row r="34" spans="1:34" x14ac:dyDescent="0.25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H34" s="67">
        <v>11494</v>
      </c>
    </row>
    <row r="35" spans="1:34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  <c r="AH35" s="69"/>
    </row>
    <row r="36" spans="1:34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H36" s="71"/>
    </row>
    <row r="37" spans="1:34" x14ac:dyDescent="0.25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  <c r="AH37" s="67">
        <v>11514</v>
      </c>
    </row>
    <row r="38" spans="1:34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  <c r="AH38" s="69"/>
    </row>
    <row r="39" spans="1:34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H39" s="71"/>
    </row>
    <row r="40" spans="1:34" x14ac:dyDescent="0.25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  <c r="AH40" s="67">
        <v>11401</v>
      </c>
    </row>
    <row r="41" spans="1:34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  <c r="AH41" s="69"/>
    </row>
    <row r="42" spans="1:34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H42" s="69"/>
    </row>
    <row r="43" spans="1:34" x14ac:dyDescent="0.25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  <c r="AH43" s="67">
        <v>11408</v>
      </c>
    </row>
    <row r="44" spans="1:34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  <c r="AH44" s="33"/>
    </row>
    <row r="45" spans="1:34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H45" s="39"/>
    </row>
    <row r="46" spans="1:34" x14ac:dyDescent="0.25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64">
        <f>F46+J46+N46+R46+V46+Z46+AD46</f>
        <v>40</v>
      </c>
      <c r="AH46" s="67">
        <v>11406</v>
      </c>
    </row>
    <row r="47" spans="1:34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  <c r="AH47" s="69"/>
    </row>
    <row r="48" spans="1:34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  <c r="AH48" s="71"/>
    </row>
    <row r="49" spans="1:34" x14ac:dyDescent="0.25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  <c r="AH49" s="67">
        <v>11407</v>
      </c>
    </row>
    <row r="50" spans="1:34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  <c r="AH50" s="33"/>
    </row>
    <row r="51" spans="1:34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H51" s="33"/>
    </row>
    <row r="52" spans="1:34" x14ac:dyDescent="0.25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  <c r="AH52" s="67">
        <v>11428</v>
      </c>
    </row>
    <row r="53" spans="1:34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  <c r="AH53" s="69"/>
    </row>
    <row r="54" spans="1:34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  <c r="AH54" s="71"/>
    </row>
    <row r="55" spans="1:34" x14ac:dyDescent="0.25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  <c r="AH55" s="77">
        <v>11517</v>
      </c>
    </row>
    <row r="56" spans="1:34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  <c r="AH56" s="33"/>
    </row>
    <row r="57" spans="1:34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H57" s="39"/>
    </row>
    <row r="58" spans="1:34" x14ac:dyDescent="0.25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  <c r="AH58" s="77">
        <v>11526</v>
      </c>
    </row>
    <row r="59" spans="1:34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  <c r="AH59" s="33"/>
    </row>
    <row r="60" spans="1:34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  <c r="AH60" s="33"/>
    </row>
    <row r="61" spans="1:34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  <c r="AH61" s="26">
        <v>11527</v>
      </c>
    </row>
    <row r="62" spans="1:34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  <c r="AH62" s="33"/>
    </row>
    <row r="63" spans="1:34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  <c r="AH63" s="33"/>
    </row>
    <row r="64" spans="1:34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  <c r="AH64" s="26">
        <v>11528</v>
      </c>
    </row>
    <row r="65" spans="1:34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  <c r="AH65" s="33"/>
    </row>
    <row r="66" spans="1:34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  <c r="AH66" s="33"/>
    </row>
    <row r="67" spans="1:34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  <c r="AH67" s="26">
        <v>11531</v>
      </c>
    </row>
    <row r="68" spans="1:34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  <c r="AH68" s="33"/>
    </row>
    <row r="69" spans="1:34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  <c r="AH69" s="33"/>
    </row>
    <row r="70" spans="1:34" x14ac:dyDescent="0.25">
      <c r="A70" s="26">
        <v>23</v>
      </c>
      <c r="B70" s="77">
        <v>11291</v>
      </c>
      <c r="C70" s="73" t="s">
        <v>168</v>
      </c>
      <c r="D70" s="32"/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139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  <c r="AH70" s="77">
        <v>11291</v>
      </c>
    </row>
    <row r="71" spans="1:34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  <c r="AH71" s="33"/>
    </row>
    <row r="72" spans="1:34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  <c r="AH72" s="39"/>
    </row>
    <row r="73" spans="1:34" ht="15" customHeight="1" thickBot="1" x14ac:dyDescent="0.3">
      <c r="A73" s="153"/>
      <c r="B73" s="67">
        <v>11504</v>
      </c>
      <c r="C73" s="27" t="s">
        <v>186</v>
      </c>
      <c r="D73" s="154">
        <v>12</v>
      </c>
      <c r="E73" s="155">
        <v>221</v>
      </c>
      <c r="F73" s="155">
        <v>5</v>
      </c>
      <c r="G73" s="156">
        <v>37</v>
      </c>
      <c r="H73" s="154">
        <v>12</v>
      </c>
      <c r="I73" s="155">
        <v>221</v>
      </c>
      <c r="J73" s="155">
        <v>5</v>
      </c>
      <c r="K73" s="156">
        <v>37</v>
      </c>
      <c r="L73" s="154">
        <v>12</v>
      </c>
      <c r="M73" s="155">
        <v>221</v>
      </c>
      <c r="N73" s="155">
        <v>5</v>
      </c>
      <c r="O73" s="156">
        <v>37</v>
      </c>
      <c r="P73" s="154">
        <v>12</v>
      </c>
      <c r="Q73" s="155">
        <v>221</v>
      </c>
      <c r="R73" s="155">
        <v>5</v>
      </c>
      <c r="S73" s="156">
        <v>37</v>
      </c>
      <c r="T73" s="154">
        <v>12</v>
      </c>
      <c r="U73" s="155">
        <v>221</v>
      </c>
      <c r="V73" s="155">
        <v>5</v>
      </c>
      <c r="W73" s="156">
        <v>37</v>
      </c>
      <c r="X73" s="154">
        <v>12</v>
      </c>
      <c r="Y73" s="155">
        <v>221</v>
      </c>
      <c r="Z73" s="150">
        <v>3</v>
      </c>
      <c r="AA73" s="156">
        <v>37</v>
      </c>
      <c r="AB73" s="157"/>
      <c r="AC73" s="158"/>
      <c r="AD73" s="145"/>
      <c r="AE73" s="159"/>
      <c r="AF73" s="38">
        <f>F73+J73+N73+R73+V73+Z73+AD73</f>
        <v>28</v>
      </c>
      <c r="AH73" s="67">
        <v>11504</v>
      </c>
    </row>
    <row r="74" spans="1:34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</row>
    <row r="75" spans="1:34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4" x14ac:dyDescent="0.25">
      <c r="B76" s="18"/>
      <c r="C76" s="18"/>
      <c r="D76" s="18"/>
      <c r="Y76" s="1"/>
      <c r="Z76" s="151"/>
      <c r="AC76" s="1"/>
      <c r="AD76" s="151"/>
    </row>
    <row r="77" spans="1:34" x14ac:dyDescent="0.25">
      <c r="B77" s="18"/>
      <c r="C77" s="18"/>
      <c r="D77" s="18"/>
      <c r="E77" s="18"/>
      <c r="Y77" s="1"/>
      <c r="Z77" s="151"/>
      <c r="AC77" s="1"/>
      <c r="AD77" s="151"/>
    </row>
    <row r="78" spans="1:34" x14ac:dyDescent="0.25">
      <c r="B78" s="18"/>
      <c r="C78" s="18"/>
      <c r="D78" s="18"/>
      <c r="E78" s="18"/>
      <c r="Y78" s="1"/>
      <c r="Z78" s="151"/>
      <c r="AC78" s="1"/>
      <c r="AD78" s="151"/>
    </row>
    <row r="79" spans="1:34" x14ac:dyDescent="0.25">
      <c r="B79" s="18"/>
      <c r="C79" s="18"/>
      <c r="D79" s="18"/>
      <c r="E79" s="18"/>
      <c r="Y79" s="1"/>
      <c r="Z79" s="151"/>
      <c r="AC79" s="1"/>
      <c r="AD79" s="151"/>
    </row>
    <row r="80" spans="1:34" x14ac:dyDescent="0.25">
      <c r="B80" s="18"/>
      <c r="C80" s="18"/>
      <c r="D80" s="18"/>
      <c r="E80" s="18"/>
      <c r="Y80" s="1"/>
      <c r="Z80" s="151"/>
      <c r="AC80" s="1"/>
      <c r="AD80" s="151"/>
    </row>
    <row r="81" spans="2:30" x14ac:dyDescent="0.25">
      <c r="B81" s="18"/>
      <c r="C81" s="18"/>
      <c r="D81" s="18"/>
      <c r="E81" s="18"/>
      <c r="Y81" s="1"/>
      <c r="Z81" s="151"/>
      <c r="AC81" s="1"/>
      <c r="AD81" s="151"/>
    </row>
    <row r="82" spans="2:30" x14ac:dyDescent="0.25">
      <c r="B82" s="18"/>
      <c r="C82" s="18"/>
      <c r="D82" s="18"/>
      <c r="E82" s="18"/>
      <c r="Y82" s="1"/>
      <c r="Z82" s="151"/>
      <c r="AC82" s="1"/>
      <c r="AD82" s="151"/>
    </row>
    <row r="83" spans="2:30" x14ac:dyDescent="0.25">
      <c r="B83" s="18"/>
      <c r="C83" s="18"/>
      <c r="D83" s="18"/>
      <c r="E83" s="18"/>
      <c r="Y83" s="1"/>
      <c r="Z83" s="151"/>
      <c r="AC83" s="1"/>
      <c r="AD83" s="151"/>
    </row>
    <row r="84" spans="2:30" x14ac:dyDescent="0.25">
      <c r="B84" s="18"/>
      <c r="C84" s="18"/>
      <c r="D84" s="18"/>
      <c r="E84" s="18"/>
      <c r="Y84" s="1"/>
      <c r="Z84" s="151"/>
      <c r="AC84" s="1"/>
      <c r="AD84" s="151"/>
    </row>
    <row r="85" spans="2:30" x14ac:dyDescent="0.25">
      <c r="B85" s="18"/>
      <c r="C85" s="18"/>
      <c r="D85" s="18"/>
      <c r="E85" s="18"/>
      <c r="Y85" s="1"/>
      <c r="Z85" s="151"/>
      <c r="AC85" s="1"/>
      <c r="AD85" s="151"/>
    </row>
    <row r="86" spans="2:30" x14ac:dyDescent="0.25">
      <c r="B86" s="18"/>
      <c r="C86" s="18"/>
      <c r="D86" s="18"/>
      <c r="E86" s="18"/>
      <c r="Y86" s="1"/>
      <c r="Z86" s="151"/>
      <c r="AC86" s="1"/>
      <c r="AD86" s="151"/>
    </row>
    <row r="87" spans="2:30" x14ac:dyDescent="0.25">
      <c r="B87" s="18"/>
      <c r="C87" s="18"/>
      <c r="D87" s="18"/>
      <c r="E87" s="18"/>
      <c r="Y87" s="1"/>
      <c r="Z87" s="151"/>
      <c r="AC87" s="1"/>
      <c r="AD87" s="151"/>
    </row>
    <row r="88" spans="2:30" x14ac:dyDescent="0.25">
      <c r="B88" s="18"/>
      <c r="C88" s="18"/>
      <c r="D88" s="18"/>
      <c r="E88" s="18"/>
      <c r="Y88" s="1"/>
      <c r="Z88" s="151"/>
      <c r="AC88" s="1"/>
      <c r="AD88" s="151"/>
    </row>
    <row r="89" spans="2:30" x14ac:dyDescent="0.25">
      <c r="B89" s="18"/>
      <c r="C89" s="18"/>
      <c r="D89" s="18"/>
      <c r="E89" s="18"/>
      <c r="Y89" s="1"/>
      <c r="Z89" s="151"/>
      <c r="AC89" s="1"/>
      <c r="AD89" s="151"/>
    </row>
    <row r="90" spans="2:30" x14ac:dyDescent="0.25">
      <c r="B90" s="18"/>
      <c r="C90" s="18"/>
      <c r="D90" s="18"/>
      <c r="E90" s="18"/>
      <c r="Y90" s="1"/>
      <c r="Z90" s="151"/>
      <c r="AC90" s="1"/>
      <c r="AD90" s="151"/>
    </row>
    <row r="91" spans="2:30" x14ac:dyDescent="0.25">
      <c r="B91" s="18"/>
      <c r="C91" s="18"/>
      <c r="D91" s="18"/>
      <c r="E91" s="18"/>
      <c r="Y91" s="1"/>
      <c r="Z91" s="151"/>
      <c r="AC91" s="1"/>
      <c r="AD91" s="151"/>
    </row>
    <row r="92" spans="2:30" x14ac:dyDescent="0.25">
      <c r="B92" s="18"/>
      <c r="C92" s="18"/>
      <c r="D92" s="18"/>
      <c r="E92" s="18"/>
      <c r="Y92" s="1"/>
      <c r="Z92" s="151"/>
      <c r="AC92" s="1"/>
      <c r="AD92" s="151"/>
    </row>
    <row r="93" spans="2:30" x14ac:dyDescent="0.25">
      <c r="B93" s="18"/>
      <c r="C93" s="18"/>
      <c r="D93" s="18"/>
      <c r="E93" s="18"/>
      <c r="Y93" s="1"/>
      <c r="Z93" s="151"/>
      <c r="AC93" s="1"/>
      <c r="AD93" s="151"/>
    </row>
    <row r="94" spans="2:30" x14ac:dyDescent="0.25">
      <c r="B94" s="18"/>
      <c r="C94" s="18"/>
      <c r="D94" s="18"/>
      <c r="E94" s="18"/>
      <c r="Y94" s="1"/>
      <c r="Z94" s="151"/>
      <c r="AC94" s="1"/>
      <c r="AD94" s="151"/>
    </row>
    <row r="95" spans="2:30" x14ac:dyDescent="0.25">
      <c r="B95" s="18"/>
      <c r="C95" s="18"/>
      <c r="D95" s="18"/>
      <c r="E95" s="18"/>
      <c r="Y95" s="1"/>
      <c r="Z95" s="151"/>
      <c r="AC95" s="1"/>
      <c r="AD95" s="151"/>
    </row>
    <row r="96" spans="2:30" x14ac:dyDescent="0.25">
      <c r="B96" s="18"/>
      <c r="C96" s="18"/>
      <c r="D96" s="18"/>
      <c r="E96" s="18"/>
      <c r="Y96" s="1"/>
      <c r="Z96" s="151"/>
      <c r="AC96" s="1"/>
      <c r="AD96" s="151"/>
    </row>
    <row r="97" spans="2:30" x14ac:dyDescent="0.25">
      <c r="B97" s="18"/>
      <c r="C97" s="18"/>
      <c r="D97" s="18"/>
      <c r="E97" s="18"/>
      <c r="Y97" s="1"/>
      <c r="Z97" s="151"/>
      <c r="AC97" s="1"/>
      <c r="AD97" s="151"/>
    </row>
    <row r="98" spans="2:30" x14ac:dyDescent="0.25">
      <c r="B98" s="18"/>
      <c r="C98" s="18"/>
      <c r="D98" s="18"/>
      <c r="E98" s="18"/>
      <c r="Y98" s="1"/>
      <c r="Z98" s="151"/>
      <c r="AC98" s="1"/>
      <c r="AD98" s="151"/>
    </row>
    <row r="99" spans="2:30" x14ac:dyDescent="0.25">
      <c r="B99" s="18"/>
      <c r="C99" s="18"/>
      <c r="D99" s="18"/>
      <c r="E99" s="18"/>
      <c r="Y99" s="1"/>
      <c r="Z99" s="151"/>
      <c r="AC99" s="1"/>
      <c r="AD99" s="151"/>
    </row>
    <row r="100" spans="2:30" x14ac:dyDescent="0.25">
      <c r="B100" s="18"/>
      <c r="C100" s="18"/>
      <c r="D100" s="18"/>
      <c r="E100" s="18"/>
      <c r="Y100" s="1"/>
      <c r="Z100" s="151"/>
      <c r="AC100" s="1"/>
      <c r="AD100" s="151"/>
    </row>
  </sheetData>
  <mergeCells count="12">
    <mergeCell ref="P28:Q28"/>
    <mergeCell ref="T28:U28"/>
    <mergeCell ref="X28:Y28"/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4:B9 B11:B33 B74:B80 B35:B72">
    <cfRule type="duplicateValues" dxfId="274" priority="126"/>
  </conditionalFormatting>
  <conditionalFormatting sqref="B10">
    <cfRule type="duplicateValues" dxfId="273" priority="125"/>
  </conditionalFormatting>
  <conditionalFormatting sqref="B10">
    <cfRule type="duplicateValues" dxfId="272" priority="124"/>
  </conditionalFormatting>
  <conditionalFormatting sqref="B10">
    <cfRule type="duplicateValues" dxfId="271" priority="123"/>
  </conditionalFormatting>
  <conditionalFormatting sqref="B10">
    <cfRule type="duplicateValues" dxfId="270" priority="122"/>
  </conditionalFormatting>
  <conditionalFormatting sqref="B10">
    <cfRule type="duplicateValues" dxfId="269" priority="121"/>
  </conditionalFormatting>
  <conditionalFormatting sqref="B10">
    <cfRule type="duplicateValues" dxfId="268" priority="114"/>
    <cfRule type="duplicateValues" dxfId="267" priority="116"/>
    <cfRule type="duplicateValues" dxfId="266" priority="118"/>
    <cfRule type="duplicateValues" dxfId="265" priority="120"/>
  </conditionalFormatting>
  <conditionalFormatting sqref="B10">
    <cfRule type="duplicateValues" dxfId="264" priority="110"/>
    <cfRule type="duplicateValues" dxfId="263" priority="115"/>
    <cfRule type="duplicateValues" dxfId="262" priority="117"/>
    <cfRule type="duplicateValues" dxfId="261" priority="119"/>
  </conditionalFormatting>
  <conditionalFormatting sqref="B10">
    <cfRule type="duplicateValues" dxfId="260" priority="111"/>
    <cfRule type="duplicateValues" dxfId="259" priority="113"/>
  </conditionalFormatting>
  <conditionalFormatting sqref="B10">
    <cfRule type="duplicateValues" dxfId="258" priority="112"/>
  </conditionalFormatting>
  <conditionalFormatting sqref="B73">
    <cfRule type="duplicateValues" dxfId="257" priority="109"/>
  </conditionalFormatting>
  <conditionalFormatting sqref="B73">
    <cfRule type="duplicateValues" dxfId="256" priority="108"/>
  </conditionalFormatting>
  <conditionalFormatting sqref="B73">
    <cfRule type="duplicateValues" dxfId="255" priority="107"/>
  </conditionalFormatting>
  <conditionalFormatting sqref="B73">
    <cfRule type="duplicateValues" dxfId="254" priority="106"/>
  </conditionalFormatting>
  <conditionalFormatting sqref="B73">
    <cfRule type="duplicateValues" dxfId="253" priority="105"/>
  </conditionalFormatting>
  <conditionalFormatting sqref="B73">
    <cfRule type="duplicateValues" dxfId="252" priority="104"/>
  </conditionalFormatting>
  <conditionalFormatting sqref="B73">
    <cfRule type="duplicateValues" dxfId="251" priority="103"/>
  </conditionalFormatting>
  <conditionalFormatting sqref="B73">
    <cfRule type="duplicateValues" dxfId="250" priority="102"/>
  </conditionalFormatting>
  <conditionalFormatting sqref="B73">
    <cfRule type="duplicateValues" dxfId="249" priority="101"/>
  </conditionalFormatting>
  <conditionalFormatting sqref="B73">
    <cfRule type="duplicateValues" dxfId="248" priority="100"/>
  </conditionalFormatting>
  <conditionalFormatting sqref="B73">
    <cfRule type="duplicateValues" dxfId="247" priority="99"/>
  </conditionalFormatting>
  <conditionalFormatting sqref="B73">
    <cfRule type="duplicateValues" dxfId="246" priority="98"/>
  </conditionalFormatting>
  <conditionalFormatting sqref="B73">
    <cfRule type="duplicateValues" dxfId="245" priority="97"/>
  </conditionalFormatting>
  <conditionalFormatting sqref="B73">
    <cfRule type="duplicateValues" dxfId="244" priority="96"/>
  </conditionalFormatting>
  <conditionalFormatting sqref="B73">
    <cfRule type="duplicateValues" dxfId="243" priority="95"/>
  </conditionalFormatting>
  <conditionalFormatting sqref="B73">
    <cfRule type="duplicateValues" dxfId="242" priority="88"/>
    <cfRule type="duplicateValues" dxfId="241" priority="90"/>
    <cfRule type="duplicateValues" dxfId="240" priority="92"/>
    <cfRule type="duplicateValues" dxfId="239" priority="94"/>
  </conditionalFormatting>
  <conditionalFormatting sqref="B73">
    <cfRule type="duplicateValues" dxfId="238" priority="84"/>
    <cfRule type="duplicateValues" dxfId="237" priority="89"/>
    <cfRule type="duplicateValues" dxfId="236" priority="91"/>
    <cfRule type="duplicateValues" dxfId="235" priority="93"/>
  </conditionalFormatting>
  <conditionalFormatting sqref="B73">
    <cfRule type="duplicateValues" dxfId="234" priority="85"/>
    <cfRule type="duplicateValues" dxfId="233" priority="87"/>
  </conditionalFormatting>
  <conditionalFormatting sqref="B73">
    <cfRule type="duplicateValues" dxfId="232" priority="86"/>
  </conditionalFormatting>
  <conditionalFormatting sqref="B4:B33 B35:B80">
    <cfRule type="duplicateValues" dxfId="231" priority="81"/>
    <cfRule type="duplicateValues" dxfId="230" priority="82"/>
    <cfRule type="duplicateValues" dxfId="229" priority="83"/>
  </conditionalFormatting>
  <conditionalFormatting sqref="B34">
    <cfRule type="duplicateValues" dxfId="228" priority="80"/>
  </conditionalFormatting>
  <conditionalFormatting sqref="B34">
    <cfRule type="duplicateValues" dxfId="227" priority="79"/>
  </conditionalFormatting>
  <conditionalFormatting sqref="B34">
    <cfRule type="duplicateValues" dxfId="226" priority="78"/>
  </conditionalFormatting>
  <conditionalFormatting sqref="B34">
    <cfRule type="duplicateValues" dxfId="225" priority="77"/>
  </conditionalFormatting>
  <conditionalFormatting sqref="B34">
    <cfRule type="duplicateValues" dxfId="224" priority="76"/>
  </conditionalFormatting>
  <conditionalFormatting sqref="B34">
    <cfRule type="duplicateValues" dxfId="223" priority="69"/>
    <cfRule type="duplicateValues" dxfId="222" priority="71"/>
    <cfRule type="duplicateValues" dxfId="221" priority="73"/>
    <cfRule type="duplicateValues" dxfId="220" priority="75"/>
  </conditionalFormatting>
  <conditionalFormatting sqref="B34">
    <cfRule type="duplicateValues" dxfId="219" priority="65"/>
    <cfRule type="duplicateValues" dxfId="218" priority="70"/>
    <cfRule type="duplicateValues" dxfId="217" priority="72"/>
    <cfRule type="duplicateValues" dxfId="216" priority="74"/>
  </conditionalFormatting>
  <conditionalFormatting sqref="B34">
    <cfRule type="duplicateValues" dxfId="215" priority="66"/>
    <cfRule type="duplicateValues" dxfId="214" priority="68"/>
  </conditionalFormatting>
  <conditionalFormatting sqref="B34">
    <cfRule type="duplicateValues" dxfId="213" priority="67"/>
  </conditionalFormatting>
  <conditionalFormatting sqref="B4:B80">
    <cfRule type="duplicateValues" dxfId="212" priority="64"/>
  </conditionalFormatting>
  <conditionalFormatting sqref="AH4:AH9 AH11:AH33 AH35:AH72">
    <cfRule type="duplicateValues" dxfId="211" priority="63"/>
  </conditionalFormatting>
  <conditionalFormatting sqref="AH10">
    <cfRule type="duplicateValues" dxfId="210" priority="62"/>
  </conditionalFormatting>
  <conditionalFormatting sqref="AH10">
    <cfRule type="duplicateValues" dxfId="209" priority="61"/>
  </conditionalFormatting>
  <conditionalFormatting sqref="AH10">
    <cfRule type="duplicateValues" dxfId="208" priority="60"/>
  </conditionalFormatting>
  <conditionalFormatting sqref="AH10">
    <cfRule type="duplicateValues" dxfId="207" priority="59"/>
  </conditionalFormatting>
  <conditionalFormatting sqref="AH10">
    <cfRule type="duplicateValues" dxfId="206" priority="58"/>
  </conditionalFormatting>
  <conditionalFormatting sqref="AH10">
    <cfRule type="duplicateValues" dxfId="205" priority="51"/>
    <cfRule type="duplicateValues" dxfId="204" priority="53"/>
    <cfRule type="duplicateValues" dxfId="203" priority="55"/>
    <cfRule type="duplicateValues" dxfId="202" priority="57"/>
  </conditionalFormatting>
  <conditionalFormatting sqref="AH10">
    <cfRule type="duplicateValues" dxfId="201" priority="47"/>
    <cfRule type="duplicateValues" dxfId="200" priority="52"/>
    <cfRule type="duplicateValues" dxfId="199" priority="54"/>
    <cfRule type="duplicateValues" dxfId="198" priority="56"/>
  </conditionalFormatting>
  <conditionalFormatting sqref="AH10">
    <cfRule type="duplicateValues" dxfId="197" priority="48"/>
    <cfRule type="duplicateValues" dxfId="196" priority="50"/>
  </conditionalFormatting>
  <conditionalFormatting sqref="AH10">
    <cfRule type="duplicateValues" dxfId="195" priority="49"/>
  </conditionalFormatting>
  <conditionalFormatting sqref="AH73">
    <cfRule type="duplicateValues" dxfId="194" priority="46"/>
  </conditionalFormatting>
  <conditionalFormatting sqref="AH73">
    <cfRule type="duplicateValues" dxfId="193" priority="45"/>
  </conditionalFormatting>
  <conditionalFormatting sqref="AH73">
    <cfRule type="duplicateValues" dxfId="192" priority="44"/>
  </conditionalFormatting>
  <conditionalFormatting sqref="AH73">
    <cfRule type="duplicateValues" dxfId="191" priority="43"/>
  </conditionalFormatting>
  <conditionalFormatting sqref="AH73">
    <cfRule type="duplicateValues" dxfId="190" priority="42"/>
  </conditionalFormatting>
  <conditionalFormatting sqref="AH73">
    <cfRule type="duplicateValues" dxfId="189" priority="41"/>
  </conditionalFormatting>
  <conditionalFormatting sqref="AH73">
    <cfRule type="duplicateValues" dxfId="188" priority="40"/>
  </conditionalFormatting>
  <conditionalFormatting sqref="AH73">
    <cfRule type="duplicateValues" dxfId="187" priority="39"/>
  </conditionalFormatting>
  <conditionalFormatting sqref="AH73">
    <cfRule type="duplicateValues" dxfId="186" priority="38"/>
  </conditionalFormatting>
  <conditionalFormatting sqref="AH73">
    <cfRule type="duplicateValues" dxfId="185" priority="37"/>
  </conditionalFormatting>
  <conditionalFormatting sqref="AH73">
    <cfRule type="duplicateValues" dxfId="184" priority="36"/>
  </conditionalFormatting>
  <conditionalFormatting sqref="AH73">
    <cfRule type="duplicateValues" dxfId="183" priority="35"/>
  </conditionalFormatting>
  <conditionalFormatting sqref="AH73">
    <cfRule type="duplicateValues" dxfId="182" priority="34"/>
  </conditionalFormatting>
  <conditionalFormatting sqref="AH73">
    <cfRule type="duplicateValues" dxfId="181" priority="33"/>
  </conditionalFormatting>
  <conditionalFormatting sqref="AH73">
    <cfRule type="duplicateValues" dxfId="180" priority="32"/>
  </conditionalFormatting>
  <conditionalFormatting sqref="AH73">
    <cfRule type="duplicateValues" dxfId="179" priority="25"/>
    <cfRule type="duplicateValues" dxfId="178" priority="27"/>
    <cfRule type="duplicateValues" dxfId="177" priority="29"/>
    <cfRule type="duplicateValues" dxfId="176" priority="31"/>
  </conditionalFormatting>
  <conditionalFormatting sqref="AH73">
    <cfRule type="duplicateValues" dxfId="175" priority="21"/>
    <cfRule type="duplicateValues" dxfId="174" priority="26"/>
    <cfRule type="duplicateValues" dxfId="173" priority="28"/>
    <cfRule type="duplicateValues" dxfId="172" priority="30"/>
  </conditionalFormatting>
  <conditionalFormatting sqref="AH73">
    <cfRule type="duplicateValues" dxfId="171" priority="22"/>
    <cfRule type="duplicateValues" dxfId="170" priority="24"/>
  </conditionalFormatting>
  <conditionalFormatting sqref="AH73">
    <cfRule type="duplicateValues" dxfId="169" priority="23"/>
  </conditionalFormatting>
  <conditionalFormatting sqref="AH4:AH33 AH35:AH73">
    <cfRule type="duplicateValues" dxfId="168" priority="18"/>
    <cfRule type="duplicateValues" dxfId="167" priority="19"/>
    <cfRule type="duplicateValues" dxfId="166" priority="20"/>
  </conditionalFormatting>
  <conditionalFormatting sqref="AH34">
    <cfRule type="duplicateValues" dxfId="165" priority="17"/>
  </conditionalFormatting>
  <conditionalFormatting sqref="AH34">
    <cfRule type="duplicateValues" dxfId="164" priority="16"/>
  </conditionalFormatting>
  <conditionalFormatting sqref="AH34">
    <cfRule type="duplicateValues" dxfId="163" priority="15"/>
  </conditionalFormatting>
  <conditionalFormatting sqref="AH34">
    <cfRule type="duplicateValues" dxfId="162" priority="14"/>
  </conditionalFormatting>
  <conditionalFormatting sqref="AH34">
    <cfRule type="duplicateValues" dxfId="161" priority="13"/>
  </conditionalFormatting>
  <conditionalFormatting sqref="AH34">
    <cfRule type="duplicateValues" dxfId="160" priority="6"/>
    <cfRule type="duplicateValues" dxfId="159" priority="8"/>
    <cfRule type="duplicateValues" dxfId="158" priority="10"/>
    <cfRule type="duplicateValues" dxfId="157" priority="12"/>
  </conditionalFormatting>
  <conditionalFormatting sqref="AH34">
    <cfRule type="duplicateValues" dxfId="156" priority="2"/>
    <cfRule type="duplicateValues" dxfId="155" priority="7"/>
    <cfRule type="duplicateValues" dxfId="154" priority="9"/>
    <cfRule type="duplicateValues" dxfId="153" priority="11"/>
  </conditionalFormatting>
  <conditionalFormatting sqref="AH34">
    <cfRule type="duplicateValues" dxfId="152" priority="3"/>
    <cfRule type="duplicateValues" dxfId="151" priority="5"/>
  </conditionalFormatting>
  <conditionalFormatting sqref="AH34">
    <cfRule type="duplicateValues" dxfId="150" priority="4"/>
  </conditionalFormatting>
  <conditionalFormatting sqref="AH4:AH73">
    <cfRule type="duplicateValues" dxfId="149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49B9D-9A23-4AA6-AF9C-5694428335C9}">
  <sheetPr codeName="Sheet4"/>
  <dimension ref="A1:AJ100"/>
  <sheetViews>
    <sheetView zoomScale="70" zoomScaleNormal="70" workbookViewId="0"/>
  </sheetViews>
  <sheetFormatPr defaultColWidth="9.140625" defaultRowHeight="15" x14ac:dyDescent="0.25"/>
  <cols>
    <col min="1" max="1" width="4.5703125" style="18" bestFit="1" customWidth="1"/>
    <col min="2" max="2" width="18.140625" style="1" bestFit="1" customWidth="1"/>
    <col min="3" max="3" width="37.28515625" style="1" bestFit="1" customWidth="1"/>
    <col min="4" max="9" width="7.42578125" style="1" customWidth="1"/>
    <col min="10" max="10" width="7.42578125" customWidth="1"/>
    <col min="11" max="17" width="7.42578125" style="1" customWidth="1"/>
    <col min="18" max="18" width="7.42578125" style="151" customWidth="1"/>
    <col min="19" max="24" width="7.42578125" style="1" customWidth="1"/>
    <col min="25" max="25" width="7.42578125" style="151" customWidth="1"/>
    <col min="26" max="28" width="7.42578125" style="1" customWidth="1"/>
    <col min="29" max="29" width="7.42578125" style="151" customWidth="1"/>
    <col min="30" max="31" width="7.42578125" style="1" customWidth="1"/>
    <col min="32" max="32" width="17.85546875" style="1" customWidth="1"/>
    <col min="34" max="34" width="8.85546875" bestFit="1" customWidth="1"/>
    <col min="38" max="38" width="10" bestFit="1" customWidth="1"/>
  </cols>
  <sheetData>
    <row r="1" spans="1:36" ht="18" customHeight="1" thickBot="1" x14ac:dyDescent="0.3"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8"/>
    </row>
    <row r="2" spans="1:36" ht="30.75" customHeight="1" thickBot="1" x14ac:dyDescent="0.3">
      <c r="B2" s="69" t="s">
        <v>212</v>
      </c>
      <c r="C2" s="220" t="s">
        <v>151</v>
      </c>
      <c r="D2" s="212" t="str">
        <f>"LUNES " &amp; TEXT(AJ2,"DD")</f>
        <v>LUNES 02</v>
      </c>
      <c r="E2" s="213"/>
      <c r="F2" s="213"/>
      <c r="G2" s="214"/>
      <c r="H2" s="207" t="str">
        <f>"MARTES " &amp; TEXT(AJ2+1,"DD")</f>
        <v>MARTES 03</v>
      </c>
      <c r="I2" s="209"/>
      <c r="J2" s="209"/>
      <c r="K2" s="208"/>
      <c r="L2" s="207" t="str">
        <f>"MIERCOLES " &amp; TEXT(AJ2+2,"DD")</f>
        <v>MIERCOLES 04</v>
      </c>
      <c r="M2" s="209"/>
      <c r="N2" s="209"/>
      <c r="O2" s="208"/>
      <c r="P2" s="207" t="str">
        <f>"JUEVES " &amp; TEXT(AJ2+3,"DD")</f>
        <v>JUEVES 05</v>
      </c>
      <c r="Q2" s="209"/>
      <c r="R2" s="209"/>
      <c r="S2" s="208"/>
      <c r="T2" s="207" t="str">
        <f>"VIERNES " &amp; TEXT(AJ2+4,"DD")</f>
        <v>VIERNES 06</v>
      </c>
      <c r="U2" s="209"/>
      <c r="V2" s="209"/>
      <c r="W2" s="208"/>
      <c r="X2" s="207" t="str">
        <f>"SABADO " &amp; TEXT(AJ2+5,"DD")</f>
        <v>SABADO 07</v>
      </c>
      <c r="Y2" s="209"/>
      <c r="Z2" s="209"/>
      <c r="AA2" s="208"/>
      <c r="AB2" s="207" t="str">
        <f>"DOMINGO " &amp; TEXT(AJ2+6,"DD")</f>
        <v>DOMINGO 08</v>
      </c>
      <c r="AC2" s="209"/>
      <c r="AD2" s="209"/>
      <c r="AE2" s="208"/>
      <c r="AF2" s="19" t="s">
        <v>13</v>
      </c>
      <c r="AJ2" t="str" cm="1">
        <f t="array" ref="AJ2">Primer_dia_sem_mes_n(2024,Mes_Sem_H("M"),Mes_Sem_H("S"))</f>
        <v>02/09/2024</v>
      </c>
    </row>
    <row r="3" spans="1:36" ht="24" customHeight="1" thickBot="1" x14ac:dyDescent="0.3">
      <c r="B3" s="39"/>
      <c r="C3" s="221"/>
      <c r="D3" s="222" t="s">
        <v>152</v>
      </c>
      <c r="E3" s="223" t="s">
        <v>153</v>
      </c>
      <c r="F3" s="223" t="s">
        <v>154</v>
      </c>
      <c r="G3" s="224" t="s">
        <v>155</v>
      </c>
      <c r="H3" s="225" t="s">
        <v>152</v>
      </c>
      <c r="I3" s="226" t="s">
        <v>153</v>
      </c>
      <c r="J3" s="227" t="s">
        <v>154</v>
      </c>
      <c r="K3" s="228" t="s">
        <v>155</v>
      </c>
      <c r="L3" s="225" t="s">
        <v>152</v>
      </c>
      <c r="M3" s="226" t="s">
        <v>153</v>
      </c>
      <c r="N3" s="226" t="s">
        <v>154</v>
      </c>
      <c r="O3" s="228" t="s">
        <v>155</v>
      </c>
      <c r="P3" s="225" t="s">
        <v>152</v>
      </c>
      <c r="Q3" s="226" t="s">
        <v>153</v>
      </c>
      <c r="R3" s="229" t="s">
        <v>154</v>
      </c>
      <c r="S3" s="228" t="s">
        <v>155</v>
      </c>
      <c r="T3" s="225" t="s">
        <v>152</v>
      </c>
      <c r="U3" s="226" t="s">
        <v>153</v>
      </c>
      <c r="V3" s="226" t="s">
        <v>154</v>
      </c>
      <c r="W3" s="228" t="s">
        <v>155</v>
      </c>
      <c r="X3" s="225" t="s">
        <v>152</v>
      </c>
      <c r="Y3" s="226" t="s">
        <v>153</v>
      </c>
      <c r="Z3" s="229" t="s">
        <v>154</v>
      </c>
      <c r="AA3" s="228" t="s">
        <v>155</v>
      </c>
      <c r="AB3" s="225" t="s">
        <v>152</v>
      </c>
      <c r="AC3" s="226" t="s">
        <v>153</v>
      </c>
      <c r="AD3" s="229" t="s">
        <v>154</v>
      </c>
      <c r="AE3" s="228" t="s">
        <v>155</v>
      </c>
      <c r="AF3" s="39"/>
    </row>
    <row r="4" spans="1:36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30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145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217">
        <f>IFERROR(F4+J4+N4+R4+V4+Z4+AD4,0)</f>
        <v>35</v>
      </c>
      <c r="AH4" s="26">
        <v>11469</v>
      </c>
    </row>
    <row r="5" spans="1:36" ht="15.75" thickBot="1" x14ac:dyDescent="0.3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7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14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59">
        <f>IFERROR(F5+J5+N5+R5+V5+Z5+AD5,0)</f>
        <v>35</v>
      </c>
      <c r="AH5" s="33"/>
    </row>
    <row r="6" spans="1:36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3"/>
      <c r="K6" s="43"/>
      <c r="L6" s="41"/>
      <c r="M6" s="42"/>
      <c r="N6" s="42"/>
      <c r="O6" s="43"/>
      <c r="P6" s="41"/>
      <c r="Q6" s="42"/>
      <c r="R6" s="147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F6" s="52"/>
      <c r="AH6" s="39"/>
    </row>
    <row r="7" spans="1:36" ht="19.5" customHeight="1" thickBot="1" x14ac:dyDescent="0.3">
      <c r="A7" s="26">
        <v>2</v>
      </c>
      <c r="B7" s="67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8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148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217">
        <f>IFERROR(F7+J7+N7+R7+V7+Z7+AD7,0)</f>
        <v>35</v>
      </c>
      <c r="AH7" s="60">
        <v>11501</v>
      </c>
    </row>
    <row r="8" spans="1:36" ht="19.5" customHeight="1" thickBot="1" x14ac:dyDescent="0.3">
      <c r="A8" s="33"/>
      <c r="B8" s="33"/>
      <c r="C8" s="50"/>
      <c r="D8" s="35"/>
      <c r="E8" s="36"/>
      <c r="F8" s="36"/>
      <c r="G8" s="51"/>
      <c r="H8" s="35"/>
      <c r="I8" s="36"/>
      <c r="J8" s="51"/>
      <c r="K8" s="51"/>
      <c r="L8" s="35"/>
      <c r="M8" s="36"/>
      <c r="N8" s="36"/>
      <c r="O8" s="51"/>
      <c r="P8" s="35"/>
      <c r="Q8" s="36"/>
      <c r="R8" s="14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F8" s="59">
        <f>IFERROR(F8+J8+N8+R8+V8+Z8+AD8,0)</f>
        <v>0</v>
      </c>
      <c r="AH8" s="33"/>
    </row>
    <row r="9" spans="1:36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5"/>
      <c r="K9" s="55"/>
      <c r="L9" s="53"/>
      <c r="M9" s="54"/>
      <c r="N9" s="54"/>
      <c r="O9" s="55"/>
      <c r="P9" s="53"/>
      <c r="Q9" s="54"/>
      <c r="R9" s="149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F9" s="52"/>
      <c r="AH9" s="39"/>
    </row>
    <row r="10" spans="1:36" ht="19.5" customHeight="1" thickBot="1" x14ac:dyDescent="0.3">
      <c r="A10" s="26">
        <v>3</v>
      </c>
      <c r="B10" s="67">
        <v>11498</v>
      </c>
      <c r="C10" s="27" t="s">
        <v>167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4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145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217">
        <f>IFERROR(F10+J10+N10+R10+V10+Z10+AD10,0)</f>
        <v>42</v>
      </c>
      <c r="AH10" s="26">
        <v>11498</v>
      </c>
    </row>
    <row r="11" spans="1:36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56"/>
      <c r="K11" s="56"/>
      <c r="L11" s="35"/>
      <c r="M11" s="36"/>
      <c r="N11" s="36"/>
      <c r="O11" s="56"/>
      <c r="P11" s="35"/>
      <c r="Q11" s="36"/>
      <c r="R11" s="14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9">
        <f>IFERROR(F11+J11+N11+R11+V11+Z11+AD11,0)</f>
        <v>0</v>
      </c>
      <c r="AH11" s="33"/>
    </row>
    <row r="12" spans="1:36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4"/>
      <c r="K12" s="44"/>
      <c r="L12" s="41"/>
      <c r="M12" s="42"/>
      <c r="N12" s="42"/>
      <c r="O12" s="44"/>
      <c r="P12" s="41"/>
      <c r="Q12" s="42"/>
      <c r="R12" s="147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F12" s="52"/>
      <c r="AH12" s="39"/>
    </row>
    <row r="13" spans="1:36" ht="19.5" customHeight="1" thickBot="1" x14ac:dyDescent="0.3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8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148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217">
        <f>IFERROR(F13+J13+N13+R13+V13+Z13+AD13,0)</f>
        <v>28</v>
      </c>
      <c r="AH13" s="26">
        <v>11496</v>
      </c>
    </row>
    <row r="14" spans="1:36" ht="19.5" customHeight="1" thickBot="1" x14ac:dyDescent="0.3">
      <c r="A14" s="33"/>
      <c r="B14" s="33"/>
      <c r="C14" s="50"/>
      <c r="D14" s="35"/>
      <c r="E14" s="36"/>
      <c r="F14" s="36"/>
      <c r="G14" s="51"/>
      <c r="H14" s="35"/>
      <c r="I14" s="36"/>
      <c r="J14" s="51"/>
      <c r="K14" s="51"/>
      <c r="L14" s="35"/>
      <c r="M14" s="36"/>
      <c r="N14" s="36"/>
      <c r="O14" s="51"/>
      <c r="P14" s="35"/>
      <c r="Q14" s="36"/>
      <c r="R14" s="14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F14" s="59">
        <f>IFERROR(F14+J14+N14+R14+V14+Z14+AD14,0)</f>
        <v>0</v>
      </c>
      <c r="AH14" s="33"/>
    </row>
    <row r="15" spans="1:36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5"/>
      <c r="K15" s="55"/>
      <c r="L15" s="53"/>
      <c r="M15" s="54"/>
      <c r="N15" s="54"/>
      <c r="O15" s="55"/>
      <c r="P15" s="53"/>
      <c r="Q15" s="54"/>
      <c r="R15" s="149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F15" s="52"/>
      <c r="AH15" s="39"/>
    </row>
    <row r="16" spans="1:36" ht="15.75" thickBot="1" x14ac:dyDescent="0.3">
      <c r="A16" s="26">
        <v>5</v>
      </c>
      <c r="B16" s="67">
        <v>11495</v>
      </c>
      <c r="C16" s="27" t="s">
        <v>178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4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145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217">
        <f>IFERROR(F16+J16+N16+R16+V16+Z16+AD16,0)</f>
        <v>33</v>
      </c>
      <c r="AH16" s="26">
        <v>11495</v>
      </c>
    </row>
    <row r="17" spans="1:34" ht="15.75" thickBot="1" x14ac:dyDescent="0.3">
      <c r="A17" s="33"/>
      <c r="B17" s="33"/>
      <c r="C17" s="50"/>
      <c r="D17" s="35"/>
      <c r="E17" s="36"/>
      <c r="F17" s="36"/>
      <c r="G17" s="51"/>
      <c r="H17" s="35"/>
      <c r="I17" s="36"/>
      <c r="J17" s="51"/>
      <c r="K17" s="51"/>
      <c r="L17" s="35"/>
      <c r="M17" s="36"/>
      <c r="N17" s="36"/>
      <c r="O17" s="51"/>
      <c r="P17" s="35"/>
      <c r="Q17" s="36"/>
      <c r="R17" s="14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F17" s="59">
        <f>IFERROR(F17+J17+N17+R17+V17+Z17+AD17,0)</f>
        <v>0</v>
      </c>
      <c r="AH17" s="33"/>
    </row>
    <row r="18" spans="1:34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4"/>
      <c r="K18" s="44"/>
      <c r="L18" s="41"/>
      <c r="M18" s="42"/>
      <c r="N18" s="42"/>
      <c r="O18" s="44"/>
      <c r="P18" s="41"/>
      <c r="Q18" s="42"/>
      <c r="R18" s="147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F18" s="52"/>
      <c r="AH18" s="39"/>
    </row>
    <row r="19" spans="1:34" ht="15.75" thickBot="1" x14ac:dyDescent="0.3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4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145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217">
        <f>IFERROR(F19+J19+N19+R19+V19+Z19+AD19,0)</f>
        <v>40</v>
      </c>
      <c r="AH19" s="26">
        <v>11502</v>
      </c>
    </row>
    <row r="20" spans="1:34" ht="15.75" thickBot="1" x14ac:dyDescent="0.3">
      <c r="A20" s="33"/>
      <c r="B20" s="33"/>
      <c r="C20" s="50"/>
      <c r="D20" s="35"/>
      <c r="E20" s="36"/>
      <c r="F20" s="36"/>
      <c r="G20" s="51"/>
      <c r="H20" s="35"/>
      <c r="I20" s="36"/>
      <c r="J20" s="51"/>
      <c r="K20" s="51"/>
      <c r="L20" s="35"/>
      <c r="M20" s="36"/>
      <c r="N20" s="36"/>
      <c r="O20" s="51"/>
      <c r="P20" s="35"/>
      <c r="Q20" s="36"/>
      <c r="R20" s="14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F20" s="59">
        <f>IFERROR(F20+J20+N20+R20+V20+Z20+AD20,0)</f>
        <v>0</v>
      </c>
      <c r="AH20" s="33"/>
    </row>
    <row r="21" spans="1:34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4"/>
      <c r="K21" s="44"/>
      <c r="L21" s="41"/>
      <c r="M21" s="42"/>
      <c r="N21" s="42"/>
      <c r="O21" s="44"/>
      <c r="P21" s="41"/>
      <c r="Q21" s="42"/>
      <c r="R21" s="147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F21" s="52"/>
      <c r="AH21" s="39"/>
    </row>
    <row r="22" spans="1:34" ht="15.75" thickBot="1" x14ac:dyDescent="0.3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4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145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217">
        <f>IFERROR(F22+J22+N22+R22+V22+Z22+AD22,0)</f>
        <v>33</v>
      </c>
      <c r="AH22" s="26">
        <v>11497</v>
      </c>
    </row>
    <row r="23" spans="1:34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51"/>
      <c r="K23" s="51"/>
      <c r="L23" s="35"/>
      <c r="M23" s="36"/>
      <c r="N23" s="36"/>
      <c r="O23" s="51"/>
      <c r="P23" s="35"/>
      <c r="Q23" s="36"/>
      <c r="R23" s="14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IFERROR(F23+J23+N23+R23+V23+Z23+AD23,0)</f>
        <v>0</v>
      </c>
      <c r="AH23" s="33"/>
    </row>
    <row r="24" spans="1:34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4"/>
      <c r="K24" s="44"/>
      <c r="L24" s="41"/>
      <c r="M24" s="42"/>
      <c r="N24" s="42"/>
      <c r="O24" s="44"/>
      <c r="P24" s="41"/>
      <c r="Q24" s="42"/>
      <c r="R24" s="147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F24" s="52"/>
      <c r="AH24" s="39"/>
    </row>
    <row r="25" spans="1:34" ht="15.75" thickBot="1" x14ac:dyDescent="0.3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4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145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217">
        <f>IFERROR(F25+J25+N25+R25+V25+Z25+AD25,0)</f>
        <v>40</v>
      </c>
      <c r="AH25" s="60">
        <v>11499</v>
      </c>
    </row>
    <row r="26" spans="1:34" ht="15.75" thickBot="1" x14ac:dyDescent="0.3">
      <c r="A26" s="33"/>
      <c r="B26" s="33"/>
      <c r="C26" s="50"/>
      <c r="D26" s="35"/>
      <c r="E26" s="36"/>
      <c r="F26" s="36"/>
      <c r="G26" s="51"/>
      <c r="H26" s="35"/>
      <c r="I26" s="36"/>
      <c r="J26" s="51"/>
      <c r="K26" s="51"/>
      <c r="L26" s="35"/>
      <c r="M26" s="36"/>
      <c r="N26" s="36"/>
      <c r="O26" s="51"/>
      <c r="P26" s="35"/>
      <c r="Q26" s="36"/>
      <c r="R26" s="14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F26" s="59">
        <f>IFERROR(F26+J26+N26+R26+V26+Z26+AD26,0)</f>
        <v>0</v>
      </c>
      <c r="AH26" s="33"/>
    </row>
    <row r="27" spans="1:34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4"/>
      <c r="K27" s="44"/>
      <c r="L27" s="41"/>
      <c r="M27" s="42"/>
      <c r="N27" s="42"/>
      <c r="O27" s="44"/>
      <c r="P27" s="41"/>
      <c r="Q27" s="42"/>
      <c r="R27" s="147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F27" s="52"/>
      <c r="AH27" s="39"/>
    </row>
    <row r="28" spans="1:34" ht="15.75" thickBot="1" x14ac:dyDescent="0.3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4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218" t="s">
        <v>185</v>
      </c>
      <c r="Q28" s="219"/>
      <c r="R28" s="145"/>
      <c r="S28" s="49"/>
      <c r="T28" s="218" t="s">
        <v>185</v>
      </c>
      <c r="U28" s="219"/>
      <c r="V28" s="29"/>
      <c r="W28" s="49"/>
      <c r="X28" s="218" t="s">
        <v>185</v>
      </c>
      <c r="Y28" s="219"/>
      <c r="Z28" s="145"/>
      <c r="AA28" s="49"/>
      <c r="AB28" s="28"/>
      <c r="AC28" s="29"/>
      <c r="AD28" s="145"/>
      <c r="AE28" s="49"/>
      <c r="AF28" s="217">
        <f>IFERROR(F28+J28+N28+R28+V28+Z28+AD28,0)</f>
        <v>21</v>
      </c>
      <c r="AH28" s="61">
        <v>11493</v>
      </c>
    </row>
    <row r="29" spans="1:34" ht="15.75" thickBot="1" x14ac:dyDescent="0.3">
      <c r="A29" s="33"/>
      <c r="B29" s="33"/>
      <c r="C29" s="50"/>
      <c r="D29" s="35"/>
      <c r="E29" s="36"/>
      <c r="F29" s="36"/>
      <c r="G29" s="51"/>
      <c r="H29" s="35"/>
      <c r="I29" s="36"/>
      <c r="J29" s="51"/>
      <c r="K29" s="51"/>
      <c r="L29" s="35"/>
      <c r="M29" s="36"/>
      <c r="N29" s="36"/>
      <c r="O29" s="51"/>
      <c r="P29" s="35"/>
      <c r="Q29" s="36"/>
      <c r="R29" s="14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F29" s="59">
        <f>IFERROR(F29+J29+N29+R29+V29+Z29+AD29,0)</f>
        <v>0</v>
      </c>
      <c r="AH29" s="33"/>
    </row>
    <row r="30" spans="1:34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4"/>
      <c r="K30" s="44"/>
      <c r="L30" s="41"/>
      <c r="M30" s="42"/>
      <c r="N30" s="42"/>
      <c r="O30" s="44"/>
      <c r="P30" s="41"/>
      <c r="Q30" s="42"/>
      <c r="R30" s="147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F30" s="52"/>
      <c r="AH30" s="33"/>
    </row>
    <row r="31" spans="1:34" ht="15.75" thickBot="1" x14ac:dyDescent="0.3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4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145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217">
        <f>IFERROR(F31+J31+N31+R31+V31+Z31+AD31,0)</f>
        <v>40</v>
      </c>
      <c r="AH31" s="26">
        <v>11500</v>
      </c>
    </row>
    <row r="32" spans="1:34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51"/>
      <c r="K32" s="51"/>
      <c r="L32" s="35"/>
      <c r="M32" s="36"/>
      <c r="N32" s="36"/>
      <c r="O32" s="51"/>
      <c r="P32" s="35"/>
      <c r="Q32" s="36"/>
      <c r="R32" s="14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IFERROR(F32+J32+N32+R32+V32+Z32+AD32,0)</f>
        <v>0</v>
      </c>
      <c r="AH32" s="33"/>
    </row>
    <row r="33" spans="1:34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4"/>
      <c r="K33" s="44"/>
      <c r="L33" s="41"/>
      <c r="M33" s="42"/>
      <c r="N33" s="42"/>
      <c r="O33" s="44"/>
      <c r="P33" s="41"/>
      <c r="Q33" s="42"/>
      <c r="R33" s="147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F33" s="52"/>
      <c r="AH33" s="39"/>
    </row>
    <row r="34" spans="1:34" ht="15.75" thickBot="1" x14ac:dyDescent="0.3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4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145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217">
        <f>IFERROR(F34+J34+N34+R34+V34+Z34+AD34,0)</f>
        <v>35</v>
      </c>
      <c r="AH34" s="26">
        <v>11494</v>
      </c>
    </row>
    <row r="35" spans="1:34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51"/>
      <c r="K35" s="51"/>
      <c r="L35" s="35"/>
      <c r="M35" s="36"/>
      <c r="N35" s="36"/>
      <c r="O35" s="51"/>
      <c r="P35" s="35"/>
      <c r="Q35" s="36"/>
      <c r="R35" s="14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IFERROR(F35+J35+N35+R35+V35+Z35+AD35,0)</f>
        <v>0</v>
      </c>
      <c r="AH35" s="33"/>
    </row>
    <row r="36" spans="1:34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4"/>
      <c r="K36" s="44"/>
      <c r="L36" s="41"/>
      <c r="M36" s="42"/>
      <c r="N36" s="42"/>
      <c r="O36" s="44"/>
      <c r="P36" s="41"/>
      <c r="Q36" s="42"/>
      <c r="R36" s="147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  <c r="AF36" s="52"/>
      <c r="AH36" s="39"/>
    </row>
    <row r="37" spans="1:34" ht="15.75" thickBot="1" x14ac:dyDescent="0.3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4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145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217">
        <f>IFERROR(F37+J37+N37+R37+V37+Z37+AD37,0)</f>
        <v>33</v>
      </c>
      <c r="AH37" s="26">
        <v>11514</v>
      </c>
    </row>
    <row r="38" spans="1:34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51"/>
      <c r="K38" s="51"/>
      <c r="L38" s="35"/>
      <c r="M38" s="36"/>
      <c r="N38" s="36"/>
      <c r="O38" s="51"/>
      <c r="P38" s="35"/>
      <c r="Q38" s="36"/>
      <c r="R38" s="14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IFERROR(F38+J38+N38+R38+V38+Z38+AD38,0)</f>
        <v>0</v>
      </c>
      <c r="AH38" s="33"/>
    </row>
    <row r="39" spans="1:34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4"/>
      <c r="K39" s="44"/>
      <c r="L39" s="41"/>
      <c r="M39" s="42"/>
      <c r="N39" s="42"/>
      <c r="O39" s="44"/>
      <c r="P39" s="41"/>
      <c r="Q39" s="42"/>
      <c r="R39" s="147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  <c r="AF39" s="52"/>
      <c r="AH39" s="39"/>
    </row>
    <row r="40" spans="1:34" ht="15.75" thickBot="1" x14ac:dyDescent="0.3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4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145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217">
        <f>IFERROR(F40+J40+N40+R40+V40+Z40+AD40,0)</f>
        <v>40</v>
      </c>
      <c r="AH40" s="26">
        <v>11401</v>
      </c>
    </row>
    <row r="41" spans="1:34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51"/>
      <c r="K41" s="51"/>
      <c r="L41" s="35"/>
      <c r="M41" s="36"/>
      <c r="N41" s="36"/>
      <c r="O41" s="51"/>
      <c r="P41" s="35"/>
      <c r="Q41" s="36"/>
      <c r="R41" s="14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IFERROR(F41+J41+N41+R41+V41+Z41+AD41,0)</f>
        <v>0</v>
      </c>
      <c r="AH41" s="33"/>
    </row>
    <row r="42" spans="1:34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4"/>
      <c r="K42" s="44"/>
      <c r="L42" s="41"/>
      <c r="M42" s="42"/>
      <c r="N42" s="42"/>
      <c r="O42" s="44"/>
      <c r="P42" s="41"/>
      <c r="Q42" s="42"/>
      <c r="R42" s="147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  <c r="AF42" s="52"/>
      <c r="AH42" s="33"/>
    </row>
    <row r="43" spans="1:34" ht="15.75" thickBot="1" x14ac:dyDescent="0.3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4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145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217">
        <f>IFERROR(F43+J43+N43+R43+V43+Z43+AD43,0)</f>
        <v>40</v>
      </c>
      <c r="AH43" s="26">
        <v>11408</v>
      </c>
    </row>
    <row r="44" spans="1:34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51"/>
      <c r="K44" s="51"/>
      <c r="L44" s="35"/>
      <c r="M44" s="36"/>
      <c r="N44" s="36"/>
      <c r="O44" s="51"/>
      <c r="P44" s="35"/>
      <c r="Q44" s="36"/>
      <c r="R44" s="14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IFERROR(F44+J44+N44+R44+V44+Z44+AD44,0)</f>
        <v>0</v>
      </c>
      <c r="AH44" s="33"/>
    </row>
    <row r="45" spans="1:34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4"/>
      <c r="K45" s="44"/>
      <c r="L45" s="41"/>
      <c r="M45" s="42"/>
      <c r="N45" s="42"/>
      <c r="O45" s="44"/>
      <c r="P45" s="41"/>
      <c r="Q45" s="42"/>
      <c r="R45" s="147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  <c r="AF45" s="52"/>
      <c r="AH45" s="39"/>
    </row>
    <row r="46" spans="1:34" ht="15.75" thickBot="1" x14ac:dyDescent="0.3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4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145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217">
        <f>IFERROR(F46+J46+N46+R46+V46+Z46+AD46,0)</f>
        <v>40</v>
      </c>
      <c r="AH46" s="26">
        <v>11406</v>
      </c>
    </row>
    <row r="47" spans="1:34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51"/>
      <c r="K47" s="51"/>
      <c r="L47" s="35"/>
      <c r="M47" s="36"/>
      <c r="N47" s="36"/>
      <c r="O47" s="51"/>
      <c r="P47" s="35"/>
      <c r="Q47" s="36"/>
      <c r="R47" s="14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IFERROR(F47+J47+N47+R47+V47+Z47+AD47,0)</f>
        <v>0</v>
      </c>
      <c r="AH47" s="33"/>
    </row>
    <row r="48" spans="1:34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4"/>
      <c r="K48" s="44"/>
      <c r="L48" s="41"/>
      <c r="M48" s="42"/>
      <c r="N48" s="42"/>
      <c r="O48" s="44"/>
      <c r="P48" s="41"/>
      <c r="Q48" s="42"/>
      <c r="R48" s="147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  <c r="AF48" s="52"/>
      <c r="AH48" s="39"/>
    </row>
    <row r="49" spans="1:34" ht="15.75" thickBot="1" x14ac:dyDescent="0.3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4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145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217">
        <f>IFERROR(F49+J49+N49+R49+V49+Z49+AD49,0)</f>
        <v>33</v>
      </c>
      <c r="AH49" s="26">
        <v>11407</v>
      </c>
    </row>
    <row r="50" spans="1:34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51"/>
      <c r="K50" s="51"/>
      <c r="L50" s="35"/>
      <c r="M50" s="36"/>
      <c r="N50" s="36"/>
      <c r="O50" s="51"/>
      <c r="P50" s="35"/>
      <c r="Q50" s="36"/>
      <c r="R50" s="14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IFERROR(F50+J50+N50+R50+V50+Z50+AD50,0)</f>
        <v>0</v>
      </c>
      <c r="AH50" s="33"/>
    </row>
    <row r="51" spans="1:34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4"/>
      <c r="K51" s="44"/>
      <c r="L51" s="41"/>
      <c r="M51" s="42"/>
      <c r="N51" s="42"/>
      <c r="O51" s="44"/>
      <c r="P51" s="41"/>
      <c r="Q51" s="42"/>
      <c r="R51" s="147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  <c r="AF51" s="52"/>
      <c r="AH51" s="33"/>
    </row>
    <row r="52" spans="1:34" ht="15.75" thickBot="1" x14ac:dyDescent="0.3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4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145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217">
        <f>IFERROR(F52+J52+N52+R52+V52+Z52+AD52,0)</f>
        <v>40</v>
      </c>
      <c r="AH52" s="26">
        <v>11428</v>
      </c>
    </row>
    <row r="53" spans="1:34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51"/>
      <c r="K53" s="51"/>
      <c r="L53" s="70"/>
      <c r="M53" s="36"/>
      <c r="N53" s="36"/>
      <c r="O53" s="51"/>
      <c r="P53" s="70"/>
      <c r="Q53" s="36"/>
      <c r="R53" s="14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IFERROR(F53+J53+N53+R53+V53+Z53+AD53,0)</f>
        <v>0</v>
      </c>
      <c r="AH53" s="33"/>
    </row>
    <row r="54" spans="1:34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4"/>
      <c r="K54" s="44"/>
      <c r="L54" s="72"/>
      <c r="M54" s="42"/>
      <c r="N54" s="42"/>
      <c r="O54" s="44"/>
      <c r="P54" s="72"/>
      <c r="Q54" s="42"/>
      <c r="R54" s="147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  <c r="AF54" s="52"/>
      <c r="AH54" s="39"/>
    </row>
    <row r="55" spans="1:34" ht="15.75" thickBot="1" x14ac:dyDescent="0.3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4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145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217">
        <f>IFERROR(F55+J55+N55+R55+V55+Z55+AD55,0)</f>
        <v>35</v>
      </c>
      <c r="AH55" s="77">
        <v>11517</v>
      </c>
    </row>
    <row r="56" spans="1:34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51"/>
      <c r="K56" s="51"/>
      <c r="L56" s="35"/>
      <c r="M56" s="36"/>
      <c r="N56" s="36"/>
      <c r="O56" s="51"/>
      <c r="P56" s="35"/>
      <c r="Q56" s="36"/>
      <c r="R56" s="14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IFERROR(F56+J56+N56+R56+V56+Z56+AD56,0)</f>
        <v>0</v>
      </c>
      <c r="AH56" s="33"/>
    </row>
    <row r="57" spans="1:34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4"/>
      <c r="K57" s="44"/>
      <c r="L57" s="41"/>
      <c r="M57" s="42"/>
      <c r="N57" s="42"/>
      <c r="O57" s="44"/>
      <c r="P57" s="41"/>
      <c r="Q57" s="42"/>
      <c r="R57" s="147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  <c r="AF57" s="52"/>
      <c r="AH57" s="39"/>
    </row>
    <row r="58" spans="1:34" ht="15.75" thickBot="1" x14ac:dyDescent="0.3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4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145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217">
        <f>IFERROR(F58+J58+N58+R58+V58+Z58+AD58,0)</f>
        <v>40</v>
      </c>
      <c r="AH58" s="77">
        <v>11526</v>
      </c>
    </row>
    <row r="59" spans="1:34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51"/>
      <c r="K59" s="51"/>
      <c r="L59" s="35"/>
      <c r="M59" s="36"/>
      <c r="N59" s="36"/>
      <c r="O59" s="51"/>
      <c r="P59" s="35"/>
      <c r="Q59" s="36"/>
      <c r="R59" s="14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IFERROR(F59+J59+N59+R59+V59+Z59+AD59,0)</f>
        <v>0</v>
      </c>
      <c r="AH59" s="33"/>
    </row>
    <row r="60" spans="1:34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5"/>
      <c r="K60" s="55"/>
      <c r="L60" s="53"/>
      <c r="M60" s="54"/>
      <c r="N60" s="54"/>
      <c r="O60" s="55"/>
      <c r="P60" s="53"/>
      <c r="Q60" s="54"/>
      <c r="R60" s="149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52"/>
      <c r="AH60" s="33"/>
    </row>
    <row r="61" spans="1:34" ht="15.75" thickBot="1" x14ac:dyDescent="0.3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4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145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217">
        <f>IFERROR(F61+J61+N61+R61+V61+Z61+AD61,0)</f>
        <v>35</v>
      </c>
      <c r="AH61" s="26">
        <v>11527</v>
      </c>
    </row>
    <row r="62" spans="1:34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51"/>
      <c r="K62" s="51"/>
      <c r="L62" s="35"/>
      <c r="M62" s="36"/>
      <c r="N62" s="36"/>
      <c r="O62" s="51"/>
      <c r="P62" s="35"/>
      <c r="Q62" s="36"/>
      <c r="R62" s="14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IFERROR(F62+J62+N62+R62+V62+Z62+AD62,0)</f>
        <v>0</v>
      </c>
      <c r="AH62" s="33"/>
    </row>
    <row r="63" spans="1:34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4"/>
      <c r="K63" s="44"/>
      <c r="L63" s="41"/>
      <c r="M63" s="42"/>
      <c r="N63" s="42"/>
      <c r="O63" s="44"/>
      <c r="P63" s="41"/>
      <c r="Q63" s="42"/>
      <c r="R63" s="147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52"/>
      <c r="AH63" s="33"/>
    </row>
    <row r="64" spans="1:34" ht="15.75" thickBot="1" x14ac:dyDescent="0.3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4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145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217">
        <f>IFERROR(F64+J64+N64+R64+V64+Z64+AD64,0)</f>
        <v>40</v>
      </c>
      <c r="AH64" s="26">
        <v>11528</v>
      </c>
    </row>
    <row r="65" spans="1:34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51"/>
      <c r="K65" s="51"/>
      <c r="L65" s="35"/>
      <c r="M65" s="36"/>
      <c r="N65" s="36"/>
      <c r="O65" s="51"/>
      <c r="P65" s="35"/>
      <c r="Q65" s="36"/>
      <c r="R65" s="14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IFERROR(F65+J65+N65+R65+V65+Z65+AD65,0)</f>
        <v>0</v>
      </c>
      <c r="AH65" s="33"/>
    </row>
    <row r="66" spans="1:34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4"/>
      <c r="K66" s="44"/>
      <c r="L66" s="41"/>
      <c r="M66" s="42"/>
      <c r="N66" s="42"/>
      <c r="O66" s="44"/>
      <c r="P66" s="41"/>
      <c r="Q66" s="42"/>
      <c r="R66" s="147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52"/>
      <c r="AH66" s="33"/>
    </row>
    <row r="67" spans="1:34" ht="15.75" thickBot="1" x14ac:dyDescent="0.3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4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145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217">
        <f>IFERROR(F67+J67+N67+R67+V67+Z67+AD67,0)</f>
        <v>40</v>
      </c>
      <c r="AH67" s="26">
        <v>11531</v>
      </c>
    </row>
    <row r="68" spans="1:34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51"/>
      <c r="K68" s="51"/>
      <c r="L68" s="35"/>
      <c r="M68" s="36"/>
      <c r="N68" s="36"/>
      <c r="O68" s="51"/>
      <c r="P68" s="35"/>
      <c r="Q68" s="36"/>
      <c r="R68" s="14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IFERROR(F68+J68+N68+R68+V68+Z68+AD68,0)</f>
        <v>0</v>
      </c>
      <c r="AH68" s="33"/>
    </row>
    <row r="69" spans="1:34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4"/>
      <c r="K69" s="44"/>
      <c r="L69" s="41"/>
      <c r="M69" s="42"/>
      <c r="N69" s="42"/>
      <c r="O69" s="44"/>
      <c r="P69" s="41"/>
      <c r="Q69" s="42"/>
      <c r="R69" s="147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52"/>
      <c r="AH69" s="33"/>
    </row>
    <row r="70" spans="1:34" ht="15.75" thickBot="1" x14ac:dyDescent="0.3">
      <c r="A70" s="26">
        <v>23</v>
      </c>
      <c r="B70" s="26">
        <v>11291</v>
      </c>
      <c r="C70" s="73" t="s">
        <v>168</v>
      </c>
      <c r="D70" s="32"/>
      <c r="E70" s="140"/>
      <c r="F70" s="139"/>
      <c r="G70" s="48"/>
      <c r="H70" s="139"/>
      <c r="I70" s="140"/>
      <c r="J70" s="48" t="s">
        <v>192</v>
      </c>
      <c r="K70" s="48"/>
      <c r="L70" s="139"/>
      <c r="M70" s="140"/>
      <c r="N70" s="139" t="s">
        <v>192</v>
      </c>
      <c r="O70" s="48"/>
      <c r="P70" s="139"/>
      <c r="Q70" s="140"/>
      <c r="R70" s="160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217">
        <f>IFERROR(F70+J70+N70+R70+V70+Z70+AD70,0)</f>
        <v>0</v>
      </c>
      <c r="AH70" s="77">
        <v>11291</v>
      </c>
    </row>
    <row r="71" spans="1:34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51"/>
      <c r="K71" s="51"/>
      <c r="L71" s="35"/>
      <c r="M71" s="36"/>
      <c r="N71" s="36"/>
      <c r="O71" s="51"/>
      <c r="P71" s="35"/>
      <c r="Q71" s="36"/>
      <c r="R71" s="14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IFERROR(F71+J71+N71+R71+V71+Z71+AD71,0)</f>
        <v>0</v>
      </c>
      <c r="AH71" s="33"/>
    </row>
    <row r="72" spans="1:34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4"/>
      <c r="K72" s="44"/>
      <c r="L72" s="41"/>
      <c r="M72" s="42"/>
      <c r="N72" s="42"/>
      <c r="O72" s="44"/>
      <c r="P72" s="41"/>
      <c r="Q72" s="42"/>
      <c r="R72" s="147"/>
      <c r="S72" s="44"/>
      <c r="T72" s="41"/>
      <c r="U72" s="42"/>
      <c r="V72" s="42"/>
      <c r="W72" s="44"/>
      <c r="X72" s="41"/>
      <c r="Y72" s="42"/>
      <c r="Z72" s="146"/>
      <c r="AA72" s="44"/>
      <c r="AB72" s="41"/>
      <c r="AC72" s="42"/>
      <c r="AD72" s="147"/>
      <c r="AE72" s="44"/>
      <c r="AF72" s="52"/>
      <c r="AH72" s="39"/>
    </row>
    <row r="73" spans="1:34" ht="15" customHeight="1" thickBot="1" x14ac:dyDescent="0.3">
      <c r="A73" s="26">
        <v>24</v>
      </c>
      <c r="B73" s="67">
        <v>11504</v>
      </c>
      <c r="C73" s="27" t="s">
        <v>186</v>
      </c>
      <c r="D73" s="141">
        <v>12</v>
      </c>
      <c r="E73" s="142">
        <v>221</v>
      </c>
      <c r="F73" s="142">
        <v>5</v>
      </c>
      <c r="G73" s="143">
        <v>37</v>
      </c>
      <c r="H73" s="141">
        <v>12</v>
      </c>
      <c r="I73" s="142">
        <v>221</v>
      </c>
      <c r="J73" s="143">
        <v>5</v>
      </c>
      <c r="K73" s="143">
        <v>37</v>
      </c>
      <c r="L73" s="141">
        <v>12</v>
      </c>
      <c r="M73" s="142">
        <v>221</v>
      </c>
      <c r="N73" s="142">
        <v>5</v>
      </c>
      <c r="O73" s="143">
        <v>37</v>
      </c>
      <c r="P73" s="141">
        <v>12</v>
      </c>
      <c r="Q73" s="142">
        <v>221</v>
      </c>
      <c r="R73" s="147">
        <v>5</v>
      </c>
      <c r="S73" s="143">
        <v>37</v>
      </c>
      <c r="T73" s="141">
        <v>12</v>
      </c>
      <c r="U73" s="142">
        <v>221</v>
      </c>
      <c r="V73" s="142">
        <v>5</v>
      </c>
      <c r="W73" s="143">
        <v>37</v>
      </c>
      <c r="X73" s="141">
        <v>12</v>
      </c>
      <c r="Y73" s="142">
        <v>221</v>
      </c>
      <c r="Z73" s="146">
        <v>3</v>
      </c>
      <c r="AA73" s="143">
        <v>37</v>
      </c>
      <c r="AB73" s="28"/>
      <c r="AC73" s="29"/>
      <c r="AD73" s="147"/>
      <c r="AE73" s="49"/>
      <c r="AF73" s="217">
        <f>IFERROR(F73+J73+N73+R73+V73+Z73+AD73,0)</f>
        <v>28</v>
      </c>
      <c r="AH73" s="26">
        <v>11504</v>
      </c>
    </row>
    <row r="74" spans="1:34" ht="15.75" thickBot="1" x14ac:dyDescent="0.3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51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14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59">
        <f>IFERROR(F74+J74+N74+R74+V74+Z74+AD74,0)</f>
        <v>23</v>
      </c>
    </row>
    <row r="75" spans="1:34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4"/>
      <c r="K75" s="44"/>
      <c r="L75" s="41"/>
      <c r="M75" s="42"/>
      <c r="N75" s="42"/>
      <c r="O75" s="44"/>
      <c r="P75" s="41"/>
      <c r="Q75" s="42"/>
      <c r="R75" s="147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  <c r="AF75" s="52"/>
    </row>
    <row r="76" spans="1:34" x14ac:dyDescent="0.25">
      <c r="B76" s="18"/>
      <c r="C76" s="18"/>
      <c r="D76" s="18"/>
      <c r="Y76" s="1"/>
      <c r="Z76" s="151"/>
      <c r="AC76" s="1"/>
      <c r="AD76" s="151"/>
    </row>
    <row r="77" spans="1:34" x14ac:dyDescent="0.25">
      <c r="B77" s="18"/>
      <c r="C77" s="18"/>
      <c r="D77" s="18"/>
      <c r="E77" s="18"/>
      <c r="Y77" s="1"/>
      <c r="Z77" s="151"/>
      <c r="AC77" s="1"/>
      <c r="AD77" s="151"/>
    </row>
    <row r="78" spans="1:34" x14ac:dyDescent="0.25">
      <c r="B78" s="18"/>
      <c r="C78" s="18"/>
      <c r="D78" s="18"/>
      <c r="E78" s="18"/>
      <c r="Y78" s="1"/>
      <c r="Z78" s="151"/>
      <c r="AC78" s="1"/>
      <c r="AD78" s="151"/>
    </row>
    <row r="79" spans="1:34" x14ac:dyDescent="0.25">
      <c r="B79" s="18"/>
      <c r="C79" s="18"/>
      <c r="D79" s="18"/>
      <c r="E79" s="18"/>
      <c r="Y79" s="1"/>
      <c r="Z79" s="151"/>
      <c r="AC79" s="1"/>
      <c r="AD79" s="151"/>
    </row>
    <row r="80" spans="1:34" x14ac:dyDescent="0.25">
      <c r="B80" s="18"/>
      <c r="C80" s="18"/>
      <c r="D80" s="18"/>
      <c r="E80" s="18"/>
      <c r="Y80" s="1"/>
      <c r="Z80" s="151"/>
      <c r="AC80" s="1"/>
      <c r="AD80" s="151"/>
    </row>
    <row r="81" spans="2:30" x14ac:dyDescent="0.25">
      <c r="B81" s="18"/>
      <c r="C81" s="18"/>
      <c r="D81" s="18"/>
      <c r="E81" s="18"/>
      <c r="Y81" s="1"/>
      <c r="Z81" s="151"/>
      <c r="AC81" s="1"/>
      <c r="AD81" s="151"/>
    </row>
    <row r="82" spans="2:30" x14ac:dyDescent="0.25">
      <c r="B82" s="18"/>
      <c r="C82" s="18"/>
      <c r="D82" s="18"/>
      <c r="E82" s="18"/>
      <c r="Y82" s="1"/>
      <c r="Z82" s="151"/>
      <c r="AC82" s="1"/>
      <c r="AD82" s="151"/>
    </row>
    <row r="83" spans="2:30" x14ac:dyDescent="0.25">
      <c r="B83" s="18"/>
      <c r="C83" s="18"/>
      <c r="D83" s="18"/>
      <c r="E83" s="18"/>
      <c r="Y83" s="1"/>
      <c r="Z83" s="151"/>
      <c r="AC83" s="1"/>
      <c r="AD83" s="151"/>
    </row>
    <row r="84" spans="2:30" x14ac:dyDescent="0.25">
      <c r="B84" s="18"/>
      <c r="C84" s="18"/>
      <c r="D84" s="18"/>
      <c r="E84" s="18"/>
      <c r="Y84" s="1"/>
      <c r="Z84" s="151"/>
      <c r="AC84" s="1"/>
      <c r="AD84" s="151"/>
    </row>
    <row r="85" spans="2:30" x14ac:dyDescent="0.25">
      <c r="B85" s="18"/>
      <c r="C85" s="18"/>
      <c r="D85" s="18"/>
      <c r="E85" s="18"/>
      <c r="Y85" s="1"/>
      <c r="Z85" s="151"/>
      <c r="AC85" s="1"/>
      <c r="AD85" s="151"/>
    </row>
    <row r="86" spans="2:30" x14ac:dyDescent="0.25">
      <c r="B86" s="18"/>
      <c r="C86" s="18"/>
      <c r="D86" s="18"/>
      <c r="E86" s="18"/>
      <c r="Y86" s="1"/>
      <c r="Z86" s="151"/>
      <c r="AC86" s="1"/>
      <c r="AD86" s="151"/>
    </row>
    <row r="87" spans="2:30" x14ac:dyDescent="0.25">
      <c r="B87" s="18"/>
      <c r="C87" s="18"/>
      <c r="D87" s="18"/>
      <c r="E87" s="18"/>
      <c r="Y87" s="1"/>
      <c r="Z87" s="151"/>
      <c r="AC87" s="1"/>
      <c r="AD87" s="151"/>
    </row>
    <row r="88" spans="2:30" x14ac:dyDescent="0.25">
      <c r="B88" s="18"/>
      <c r="C88" s="18"/>
      <c r="D88" s="18"/>
      <c r="E88" s="18"/>
      <c r="Y88" s="1"/>
      <c r="Z88" s="151"/>
      <c r="AC88" s="1"/>
      <c r="AD88" s="151"/>
    </row>
    <row r="89" spans="2:30" x14ac:dyDescent="0.25">
      <c r="B89" s="18"/>
      <c r="C89" s="18"/>
      <c r="D89" s="18"/>
      <c r="E89" s="18"/>
      <c r="Y89" s="1"/>
      <c r="Z89" s="151"/>
      <c r="AC89" s="1"/>
      <c r="AD89" s="151"/>
    </row>
    <row r="90" spans="2:30" x14ac:dyDescent="0.25">
      <c r="B90" s="18"/>
      <c r="C90" s="18"/>
      <c r="D90" s="18"/>
      <c r="E90" s="18"/>
      <c r="Y90" s="1"/>
      <c r="Z90" s="151"/>
      <c r="AC90" s="1"/>
      <c r="AD90" s="151"/>
    </row>
    <row r="91" spans="2:30" x14ac:dyDescent="0.25">
      <c r="B91" s="18"/>
      <c r="C91" s="18"/>
      <c r="D91" s="18"/>
      <c r="E91" s="18"/>
      <c r="Y91" s="1"/>
      <c r="Z91" s="151"/>
      <c r="AC91" s="1"/>
      <c r="AD91" s="151"/>
    </row>
    <row r="92" spans="2:30" x14ac:dyDescent="0.25">
      <c r="B92" s="18"/>
      <c r="C92" s="18"/>
      <c r="D92" s="18"/>
      <c r="E92" s="18"/>
      <c r="Y92" s="1"/>
      <c r="Z92" s="151"/>
      <c r="AC92" s="1"/>
      <c r="AD92" s="151"/>
    </row>
    <row r="93" spans="2:30" x14ac:dyDescent="0.25">
      <c r="B93" s="18"/>
      <c r="C93" s="18"/>
      <c r="D93" s="18"/>
      <c r="E93" s="18"/>
      <c r="Y93" s="1"/>
      <c r="Z93" s="151"/>
      <c r="AC93" s="1"/>
      <c r="AD93" s="151"/>
    </row>
    <row r="94" spans="2:30" x14ac:dyDescent="0.25">
      <c r="B94" s="18"/>
      <c r="C94" s="18"/>
      <c r="D94" s="18"/>
      <c r="E94" s="18"/>
      <c r="Y94" s="1"/>
      <c r="Z94" s="151"/>
      <c r="AC94" s="1"/>
      <c r="AD94" s="151"/>
    </row>
    <row r="95" spans="2:30" x14ac:dyDescent="0.25">
      <c r="B95" s="18"/>
      <c r="C95" s="18"/>
      <c r="D95" s="18"/>
      <c r="E95" s="18"/>
      <c r="Y95" s="1"/>
      <c r="Z95" s="151"/>
      <c r="AC95" s="1"/>
      <c r="AD95" s="151"/>
    </row>
    <row r="96" spans="2:30" x14ac:dyDescent="0.25">
      <c r="B96" s="18"/>
      <c r="C96" s="18"/>
      <c r="D96" s="18"/>
      <c r="E96" s="18"/>
      <c r="Y96" s="1"/>
      <c r="Z96" s="151"/>
      <c r="AC96" s="1"/>
      <c r="AD96" s="151"/>
    </row>
    <row r="97" spans="2:30" x14ac:dyDescent="0.25">
      <c r="B97" s="18"/>
      <c r="C97" s="18"/>
      <c r="D97" s="18"/>
      <c r="E97" s="18"/>
      <c r="Y97" s="1"/>
      <c r="Z97" s="151"/>
      <c r="AC97" s="1"/>
      <c r="AD97" s="151"/>
    </row>
    <row r="98" spans="2:30" x14ac:dyDescent="0.25">
      <c r="B98" s="18"/>
      <c r="C98" s="18"/>
      <c r="D98" s="18"/>
      <c r="E98" s="18"/>
      <c r="Y98" s="1"/>
      <c r="Z98" s="151"/>
      <c r="AC98" s="1"/>
      <c r="AD98" s="151"/>
    </row>
    <row r="99" spans="2:30" x14ac:dyDescent="0.25">
      <c r="B99" s="18"/>
      <c r="C99" s="18"/>
      <c r="D99" s="18"/>
      <c r="E99" s="18"/>
      <c r="Y99" s="1"/>
      <c r="Z99" s="151"/>
      <c r="AC99" s="1"/>
      <c r="AD99" s="151"/>
    </row>
    <row r="100" spans="2:30" x14ac:dyDescent="0.25">
      <c r="B100" s="18"/>
      <c r="C100" s="18"/>
      <c r="D100" s="18"/>
      <c r="E100" s="18"/>
      <c r="Y100" s="1"/>
      <c r="Z100" s="151"/>
      <c r="AC100" s="1"/>
      <c r="AD100" s="151"/>
    </row>
  </sheetData>
  <mergeCells count="9"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B11:B33 B74:B80 B2:B9 B35:B72">
    <cfRule type="duplicateValues" dxfId="148" priority="148"/>
  </conditionalFormatting>
  <conditionalFormatting sqref="B10">
    <cfRule type="duplicateValues" dxfId="147" priority="147"/>
  </conditionalFormatting>
  <conditionalFormatting sqref="B10">
    <cfRule type="duplicateValues" dxfId="146" priority="146"/>
  </conditionalFormatting>
  <conditionalFormatting sqref="B10">
    <cfRule type="duplicateValues" dxfId="145" priority="145"/>
  </conditionalFormatting>
  <conditionalFormatting sqref="B10">
    <cfRule type="duplicateValues" dxfId="144" priority="144"/>
  </conditionalFormatting>
  <conditionalFormatting sqref="B10">
    <cfRule type="duplicateValues" dxfId="143" priority="143"/>
  </conditionalFormatting>
  <conditionalFormatting sqref="B10">
    <cfRule type="duplicateValues" dxfId="142" priority="136"/>
    <cfRule type="duplicateValues" dxfId="141" priority="138"/>
    <cfRule type="duplicateValues" dxfId="140" priority="140"/>
    <cfRule type="duplicateValues" dxfId="139" priority="142"/>
  </conditionalFormatting>
  <conditionalFormatting sqref="B10">
    <cfRule type="duplicateValues" dxfId="138" priority="132"/>
    <cfRule type="duplicateValues" dxfId="137" priority="137"/>
    <cfRule type="duplicateValues" dxfId="136" priority="139"/>
    <cfRule type="duplicateValues" dxfId="135" priority="141"/>
  </conditionalFormatting>
  <conditionalFormatting sqref="B10">
    <cfRule type="duplicateValues" dxfId="134" priority="133"/>
    <cfRule type="duplicateValues" dxfId="133" priority="135"/>
  </conditionalFormatting>
  <conditionalFormatting sqref="B10">
    <cfRule type="duplicateValues" dxfId="132" priority="134"/>
  </conditionalFormatting>
  <conditionalFormatting sqref="B73">
    <cfRule type="duplicateValues" dxfId="131" priority="131"/>
  </conditionalFormatting>
  <conditionalFormatting sqref="B73">
    <cfRule type="duplicateValues" dxfId="130" priority="130"/>
  </conditionalFormatting>
  <conditionalFormatting sqref="B73">
    <cfRule type="duplicateValues" dxfId="129" priority="129"/>
  </conditionalFormatting>
  <conditionalFormatting sqref="B73">
    <cfRule type="duplicateValues" dxfId="128" priority="128"/>
  </conditionalFormatting>
  <conditionalFormatting sqref="B73">
    <cfRule type="duplicateValues" dxfId="127" priority="127"/>
  </conditionalFormatting>
  <conditionalFormatting sqref="B73">
    <cfRule type="duplicateValues" dxfId="126" priority="126"/>
  </conditionalFormatting>
  <conditionalFormatting sqref="B73">
    <cfRule type="duplicateValues" dxfId="125" priority="125"/>
  </conditionalFormatting>
  <conditionalFormatting sqref="B73">
    <cfRule type="duplicateValues" dxfId="124" priority="124"/>
  </conditionalFormatting>
  <conditionalFormatting sqref="B73">
    <cfRule type="duplicateValues" dxfId="123" priority="123"/>
  </conditionalFormatting>
  <conditionalFormatting sqref="B73">
    <cfRule type="duplicateValues" dxfId="122" priority="122"/>
  </conditionalFormatting>
  <conditionalFormatting sqref="B73">
    <cfRule type="duplicateValues" dxfId="121" priority="121"/>
  </conditionalFormatting>
  <conditionalFormatting sqref="B73">
    <cfRule type="duplicateValues" dxfId="120" priority="120"/>
  </conditionalFormatting>
  <conditionalFormatting sqref="B73">
    <cfRule type="duplicateValues" dxfId="119" priority="119"/>
  </conditionalFormatting>
  <conditionalFormatting sqref="B73">
    <cfRule type="duplicateValues" dxfId="118" priority="118"/>
  </conditionalFormatting>
  <conditionalFormatting sqref="B73">
    <cfRule type="duplicateValues" dxfId="117" priority="117"/>
  </conditionalFormatting>
  <conditionalFormatting sqref="B73">
    <cfRule type="duplicateValues" dxfId="116" priority="110"/>
    <cfRule type="duplicateValues" dxfId="115" priority="112"/>
    <cfRule type="duplicateValues" dxfId="114" priority="114"/>
    <cfRule type="duplicateValues" dxfId="113" priority="116"/>
  </conditionalFormatting>
  <conditionalFormatting sqref="B73">
    <cfRule type="duplicateValues" dxfId="112" priority="106"/>
    <cfRule type="duplicateValues" dxfId="111" priority="111"/>
    <cfRule type="duplicateValues" dxfId="110" priority="113"/>
    <cfRule type="duplicateValues" dxfId="109" priority="115"/>
  </conditionalFormatting>
  <conditionalFormatting sqref="B73">
    <cfRule type="duplicateValues" dxfId="108" priority="107"/>
    <cfRule type="duplicateValues" dxfId="107" priority="109"/>
  </conditionalFormatting>
  <conditionalFormatting sqref="B73">
    <cfRule type="duplicateValues" dxfId="106" priority="108"/>
  </conditionalFormatting>
  <conditionalFormatting sqref="B2:B33 B35:B80">
    <cfRule type="duplicateValues" dxfId="105" priority="103"/>
    <cfRule type="duplicateValues" dxfId="104" priority="104"/>
    <cfRule type="duplicateValues" dxfId="103" priority="105"/>
  </conditionalFormatting>
  <conditionalFormatting sqref="B34">
    <cfRule type="duplicateValues" dxfId="102" priority="102"/>
  </conditionalFormatting>
  <conditionalFormatting sqref="B34">
    <cfRule type="duplicateValues" dxfId="101" priority="101"/>
  </conditionalFormatting>
  <conditionalFormatting sqref="B34">
    <cfRule type="duplicateValues" dxfId="100" priority="100"/>
  </conditionalFormatting>
  <conditionalFormatting sqref="B34">
    <cfRule type="duplicateValues" dxfId="99" priority="99"/>
  </conditionalFormatting>
  <conditionalFormatting sqref="B34">
    <cfRule type="duplicateValues" dxfId="98" priority="98"/>
  </conditionalFormatting>
  <conditionalFormatting sqref="B34">
    <cfRule type="duplicateValues" dxfId="97" priority="91"/>
    <cfRule type="duplicateValues" dxfId="96" priority="93"/>
    <cfRule type="duplicateValues" dxfId="95" priority="95"/>
    <cfRule type="duplicateValues" dxfId="94" priority="97"/>
  </conditionalFormatting>
  <conditionalFormatting sqref="B34">
    <cfRule type="duplicateValues" dxfId="93" priority="87"/>
    <cfRule type="duplicateValues" dxfId="92" priority="92"/>
    <cfRule type="duplicateValues" dxfId="91" priority="94"/>
    <cfRule type="duplicateValues" dxfId="90" priority="96"/>
  </conditionalFormatting>
  <conditionalFormatting sqref="B34">
    <cfRule type="duplicateValues" dxfId="89" priority="88"/>
    <cfRule type="duplicateValues" dxfId="88" priority="90"/>
  </conditionalFormatting>
  <conditionalFormatting sqref="B34">
    <cfRule type="duplicateValues" dxfId="87" priority="89"/>
  </conditionalFormatting>
  <conditionalFormatting sqref="B2:B80">
    <cfRule type="duplicateValues" dxfId="86" priority="83"/>
    <cfRule type="duplicateValues" dxfId="85" priority="84"/>
    <cfRule type="duplicateValues" dxfId="84" priority="85"/>
    <cfRule type="duplicateValues" dxfId="83" priority="86"/>
  </conditionalFormatting>
  <conditionalFormatting sqref="AH4:AH9 AH11:AH33 AH35:AH72">
    <cfRule type="duplicateValues" dxfId="82" priority="82"/>
  </conditionalFormatting>
  <conditionalFormatting sqref="AH10">
    <cfRule type="duplicateValues" dxfId="81" priority="81"/>
  </conditionalFormatting>
  <conditionalFormatting sqref="AH10">
    <cfRule type="duplicateValues" dxfId="80" priority="80"/>
  </conditionalFormatting>
  <conditionalFormatting sqref="AH10">
    <cfRule type="duplicateValues" dxfId="79" priority="79"/>
  </conditionalFormatting>
  <conditionalFormatting sqref="AH10">
    <cfRule type="duplicateValues" dxfId="78" priority="78"/>
  </conditionalFormatting>
  <conditionalFormatting sqref="AH10">
    <cfRule type="duplicateValues" dxfId="77" priority="77"/>
  </conditionalFormatting>
  <conditionalFormatting sqref="AH10">
    <cfRule type="duplicateValues" dxfId="76" priority="70"/>
    <cfRule type="duplicateValues" dxfId="75" priority="72"/>
    <cfRule type="duplicateValues" dxfId="74" priority="74"/>
    <cfRule type="duplicateValues" dxfId="73" priority="76"/>
  </conditionalFormatting>
  <conditionalFormatting sqref="AH10">
    <cfRule type="duplicateValues" dxfId="72" priority="66"/>
    <cfRule type="duplicateValues" dxfId="71" priority="71"/>
    <cfRule type="duplicateValues" dxfId="70" priority="73"/>
    <cfRule type="duplicateValues" dxfId="69" priority="75"/>
  </conditionalFormatting>
  <conditionalFormatting sqref="AH10">
    <cfRule type="duplicateValues" dxfId="68" priority="67"/>
    <cfRule type="duplicateValues" dxfId="67" priority="69"/>
  </conditionalFormatting>
  <conditionalFormatting sqref="AH10">
    <cfRule type="duplicateValues" dxfId="66" priority="68"/>
  </conditionalFormatting>
  <conditionalFormatting sqref="AH73">
    <cfRule type="duplicateValues" dxfId="65" priority="65"/>
  </conditionalFormatting>
  <conditionalFormatting sqref="AH73">
    <cfRule type="duplicateValues" dxfId="64" priority="64"/>
  </conditionalFormatting>
  <conditionalFormatting sqref="AH73">
    <cfRule type="duplicateValues" dxfId="63" priority="63"/>
  </conditionalFormatting>
  <conditionalFormatting sqref="AH73">
    <cfRule type="duplicateValues" dxfId="62" priority="62"/>
  </conditionalFormatting>
  <conditionalFormatting sqref="AH73">
    <cfRule type="duplicateValues" dxfId="61" priority="61"/>
  </conditionalFormatting>
  <conditionalFormatting sqref="AH73">
    <cfRule type="duplicateValues" dxfId="60" priority="60"/>
  </conditionalFormatting>
  <conditionalFormatting sqref="AH73">
    <cfRule type="duplicateValues" dxfId="59" priority="59"/>
  </conditionalFormatting>
  <conditionalFormatting sqref="AH73">
    <cfRule type="duplicateValues" dxfId="58" priority="58"/>
  </conditionalFormatting>
  <conditionalFormatting sqref="AH73">
    <cfRule type="duplicateValues" dxfId="57" priority="57"/>
  </conditionalFormatting>
  <conditionalFormatting sqref="AH73">
    <cfRule type="duplicateValues" dxfId="56" priority="56"/>
  </conditionalFormatting>
  <conditionalFormatting sqref="AH73">
    <cfRule type="duplicateValues" dxfId="55" priority="55"/>
  </conditionalFormatting>
  <conditionalFormatting sqref="AH73">
    <cfRule type="duplicateValues" dxfId="54" priority="54"/>
  </conditionalFormatting>
  <conditionalFormatting sqref="AH73">
    <cfRule type="duplicateValues" dxfId="53" priority="53"/>
  </conditionalFormatting>
  <conditionalFormatting sqref="AH73">
    <cfRule type="duplicateValues" dxfId="52" priority="52"/>
  </conditionalFormatting>
  <conditionalFormatting sqref="AH73">
    <cfRule type="duplicateValues" dxfId="51" priority="51"/>
  </conditionalFormatting>
  <conditionalFormatting sqref="AH73">
    <cfRule type="duplicateValues" dxfId="50" priority="44"/>
    <cfRule type="duplicateValues" dxfId="49" priority="46"/>
    <cfRule type="duplicateValues" dxfId="48" priority="48"/>
    <cfRule type="duplicateValues" dxfId="47" priority="50"/>
  </conditionalFormatting>
  <conditionalFormatting sqref="AH73">
    <cfRule type="duplicateValues" dxfId="46" priority="40"/>
    <cfRule type="duplicateValues" dxfId="45" priority="45"/>
    <cfRule type="duplicateValues" dxfId="44" priority="47"/>
    <cfRule type="duplicateValues" dxfId="43" priority="49"/>
  </conditionalFormatting>
  <conditionalFormatting sqref="AH73">
    <cfRule type="duplicateValues" dxfId="42" priority="41"/>
    <cfRule type="duplicateValues" dxfId="41" priority="43"/>
  </conditionalFormatting>
  <conditionalFormatting sqref="AH73">
    <cfRule type="duplicateValues" dxfId="40" priority="42"/>
  </conditionalFormatting>
  <conditionalFormatting sqref="AH4:AH33 AH35:AH73">
    <cfRule type="duplicateValues" dxfId="39" priority="37"/>
    <cfRule type="duplicateValues" dxfId="38" priority="38"/>
    <cfRule type="duplicateValues" dxfId="37" priority="39"/>
  </conditionalFormatting>
  <conditionalFormatting sqref="AH34">
    <cfRule type="duplicateValues" dxfId="36" priority="36"/>
  </conditionalFormatting>
  <conditionalFormatting sqref="AH34">
    <cfRule type="duplicateValues" dxfId="35" priority="35"/>
  </conditionalFormatting>
  <conditionalFormatting sqref="AH34">
    <cfRule type="duplicateValues" dxfId="34" priority="34"/>
  </conditionalFormatting>
  <conditionalFormatting sqref="AH34">
    <cfRule type="duplicateValues" dxfId="33" priority="33"/>
  </conditionalFormatting>
  <conditionalFormatting sqref="AH34">
    <cfRule type="duplicateValues" dxfId="32" priority="32"/>
  </conditionalFormatting>
  <conditionalFormatting sqref="AH34">
    <cfRule type="duplicateValues" dxfId="31" priority="25"/>
    <cfRule type="duplicateValues" dxfId="30" priority="27"/>
    <cfRule type="duplicateValues" dxfId="29" priority="29"/>
    <cfRule type="duplicateValues" dxfId="28" priority="31"/>
  </conditionalFormatting>
  <conditionalFormatting sqref="AH34">
    <cfRule type="duplicateValues" dxfId="27" priority="21"/>
    <cfRule type="duplicateValues" dxfId="26" priority="26"/>
    <cfRule type="duplicateValues" dxfId="25" priority="28"/>
    <cfRule type="duplicateValues" dxfId="24" priority="30"/>
  </conditionalFormatting>
  <conditionalFormatting sqref="AH34">
    <cfRule type="duplicateValues" dxfId="23" priority="22"/>
    <cfRule type="duplicateValues" dxfId="22" priority="24"/>
  </conditionalFormatting>
  <conditionalFormatting sqref="AH34">
    <cfRule type="duplicateValues" dxfId="21" priority="23"/>
  </conditionalFormatting>
  <conditionalFormatting sqref="AH4:AH73">
    <cfRule type="duplicateValues" dxfId="20" priority="17"/>
    <cfRule type="duplicateValues" dxfId="19" priority="18"/>
    <cfRule type="duplicateValues" dxfId="18" priority="19"/>
    <cfRule type="duplicateValues" dxfId="17" priority="20"/>
  </conditionalFormatting>
  <conditionalFormatting sqref="AF3">
    <cfRule type="duplicateValues" dxfId="16" priority="16"/>
  </conditionalFormatting>
  <conditionalFormatting sqref="AF3">
    <cfRule type="duplicateValues" dxfId="15" priority="13"/>
    <cfRule type="duplicateValues" dxfId="14" priority="14"/>
    <cfRule type="duplicateValues" dxfId="13" priority="15"/>
  </conditionalFormatting>
  <conditionalFormatting sqref="AF3">
    <cfRule type="duplicateValues" dxfId="12" priority="9"/>
    <cfRule type="duplicateValues" dxfId="11" priority="10"/>
    <cfRule type="duplicateValues" dxfId="10" priority="11"/>
    <cfRule type="duplicateValues" dxfId="9" priority="12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AGOSTO</vt:lpstr>
      <vt:lpstr>SEPTIEMBRE</vt:lpstr>
      <vt:lpstr>JORNADAS</vt:lpstr>
      <vt:lpstr>SEMANA_AGO_1</vt:lpstr>
      <vt:lpstr>SEMANA_AGO_2</vt:lpstr>
      <vt:lpstr>SEMANA_AGO_3</vt:lpstr>
      <vt:lpstr>SEMANA_AGO_4</vt:lpstr>
      <vt:lpstr>SEMANA_SEP_2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2024-08-27T19:16:44Z</dcterms:modified>
</cp:coreProperties>
</file>
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109" documentId="8_{38D6AB80-FC3E-4A78-8CD8-6FDB2B733F3F}" xr6:coauthVersionLast="47" xr6:coauthVersionMax="47" xr10:uidLastSave="{B3F15A87-37D3-4AAC-9B40-5C3DF4BA07E7}"/>
  <bookViews>
    <workbookView xWindow="-120" yWindow="-120" windowWidth="24240" windowHeight="13020" tabRatio="517" activeTab="2" xr2:uid="{FB7D1B7B-0160-4AC8-B207-E1A9D5F2893C}"/>
  </bookViews>
  <sheets>
    <sheet name="AGOSTO" sheetId="1" r:id="rId1"/>
    <sheet name="JORNADAS" sheetId="2" r:id="rId2"/>
    <sheet name="M8_S2_5a11" sheetId="3" r:id="rId3"/>
  </sheets>
  <definedNames>
    <definedName name="_xlnm._FilterDatabase" localSheetId="0" hidden="1">AGOSTO!$A$65:$Z$65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74" i="3" l="1"/>
  <c r="AE73" i="3"/>
  <c r="AE71" i="3"/>
  <c r="AE70" i="3"/>
  <c r="AE68" i="3"/>
  <c r="AE67" i="3"/>
  <c r="AE65" i="3"/>
  <c r="AE64" i="3"/>
  <c r="AE62" i="3"/>
  <c r="AE61" i="3"/>
  <c r="AE59" i="3"/>
  <c r="AE58" i="3"/>
  <c r="AE56" i="3"/>
  <c r="AE55" i="3"/>
  <c r="AE53" i="3"/>
  <c r="AE52" i="3"/>
  <c r="AE50" i="3"/>
  <c r="AE49" i="3"/>
  <c r="AE47" i="3"/>
  <c r="AE46" i="3"/>
  <c r="AE44" i="3"/>
  <c r="AE43" i="3"/>
  <c r="AE41" i="3"/>
  <c r="AE40" i="3"/>
  <c r="AE38" i="3"/>
  <c r="AE37" i="3"/>
  <c r="AE35" i="3"/>
  <c r="AE34" i="3"/>
  <c r="AE32" i="3"/>
  <c r="AE31" i="3"/>
  <c r="AE28" i="3"/>
  <c r="AE25" i="3"/>
  <c r="AE23" i="3"/>
  <c r="AE22" i="3"/>
  <c r="AE19" i="3"/>
  <c r="AE16" i="3"/>
  <c r="AE13" i="3"/>
  <c r="AE11" i="3"/>
  <c r="AE10" i="3"/>
  <c r="AE7" i="3"/>
  <c r="AE5" i="3"/>
  <c r="AE4" i="3"/>
  <c r="F133" i="1"/>
  <c r="AG76" i="3" l="1"/>
  <c r="AH78" i="3" s="1"/>
  <c r="I21" i="1" l="1"/>
  <c r="W27" i="1" l="1"/>
  <c r="H97" i="1"/>
  <c r="G97" i="1"/>
  <c r="F97" i="1"/>
  <c r="R111" i="1" l="1"/>
  <c r="U111" i="1" s="1"/>
  <c r="X111" i="1" s="1"/>
  <c r="S111" i="1"/>
  <c r="T111" i="1"/>
  <c r="V111" i="1"/>
  <c r="W111" i="1"/>
  <c r="D97" i="1"/>
  <c r="E97" i="1"/>
  <c r="I97" i="1"/>
  <c r="J97" i="1"/>
  <c r="K97" i="1"/>
  <c r="L97" i="1"/>
  <c r="M97" i="1"/>
  <c r="N97" i="1"/>
  <c r="O97" i="1"/>
  <c r="P97" i="1"/>
  <c r="Q97" i="1"/>
  <c r="C97" i="1"/>
  <c r="F12" i="1" l="1"/>
  <c r="C3" i="1"/>
  <c r="N21" i="1"/>
  <c r="Z58" i="1"/>
  <c r="R87" i="1" l="1"/>
  <c r="R92" i="1" l="1"/>
  <c r="U92" i="1" s="1"/>
  <c r="T92" i="1"/>
  <c r="W92" i="1" s="1"/>
  <c r="S92" i="1"/>
  <c r="V92" i="1" s="1"/>
  <c r="X92" i="1" l="1"/>
  <c r="Q133" i="1" l="1"/>
  <c r="P133" i="1"/>
  <c r="O133" i="1"/>
  <c r="N133" i="1"/>
  <c r="M133" i="1"/>
  <c r="L133" i="1"/>
  <c r="K133" i="1"/>
  <c r="J133" i="1"/>
  <c r="I133" i="1"/>
  <c r="H133" i="1"/>
  <c r="G133" i="1"/>
  <c r="E133" i="1"/>
  <c r="D133" i="1"/>
  <c r="T91" i="1" l="1"/>
  <c r="W91" i="1" s="1"/>
  <c r="S91" i="1"/>
  <c r="V91" i="1" s="1"/>
  <c r="R91" i="1"/>
  <c r="U91" i="1" s="1"/>
  <c r="X91" i="1" l="1"/>
  <c r="D21" i="1"/>
  <c r="E21" i="1"/>
  <c r="F21" i="1"/>
  <c r="G21" i="1"/>
  <c r="H21" i="1"/>
  <c r="J21" i="1"/>
  <c r="K21" i="1"/>
  <c r="L21" i="1"/>
  <c r="M21" i="1"/>
  <c r="O21" i="1"/>
  <c r="P21" i="1"/>
  <c r="Q21" i="1"/>
  <c r="C21" i="1"/>
  <c r="T18" i="1"/>
  <c r="W18" i="1" s="1"/>
  <c r="S18" i="1"/>
  <c r="V18" i="1" s="1"/>
  <c r="R18" i="1"/>
  <c r="U18" i="1" s="1"/>
  <c r="T10" i="1"/>
  <c r="W10" i="1" s="1"/>
  <c r="S10" i="1"/>
  <c r="V10" i="1" s="1"/>
  <c r="R10" i="1"/>
  <c r="U10" i="1" s="1"/>
  <c r="T15" i="1"/>
  <c r="W15" i="1" s="1"/>
  <c r="S15" i="1"/>
  <c r="V15" i="1" s="1"/>
  <c r="R15" i="1"/>
  <c r="U15" i="1" s="1"/>
  <c r="R76" i="1"/>
  <c r="U76" i="1" s="1"/>
  <c r="S76" i="1"/>
  <c r="V76" i="1" s="1"/>
  <c r="T76" i="1"/>
  <c r="W76" i="1" s="1"/>
  <c r="R84" i="1"/>
  <c r="U84" i="1" s="1"/>
  <c r="S84" i="1"/>
  <c r="V84" i="1" s="1"/>
  <c r="T84" i="1"/>
  <c r="W84" i="1" s="1"/>
  <c r="X10" i="1" l="1"/>
  <c r="X15" i="1"/>
  <c r="X18" i="1"/>
  <c r="X84" i="1"/>
  <c r="X76" i="1"/>
  <c r="R96" i="1"/>
  <c r="S69" i="1"/>
  <c r="S78" i="1"/>
  <c r="S95" i="1"/>
  <c r="S93" i="1"/>
  <c r="S94" i="1"/>
  <c r="R93" i="1" l="1"/>
  <c r="U93" i="1" s="1"/>
  <c r="R95" i="1"/>
  <c r="U95" i="1" s="1"/>
  <c r="R78" i="1"/>
  <c r="U78" i="1" s="1"/>
  <c r="T78" i="1"/>
  <c r="W78" i="1" s="1"/>
  <c r="V78" i="1"/>
  <c r="T95" i="1"/>
  <c r="V95" i="1"/>
  <c r="T93" i="1"/>
  <c r="W93" i="1" s="1"/>
  <c r="V93" i="1"/>
  <c r="R94" i="1"/>
  <c r="U94" i="1" s="1"/>
  <c r="T94" i="1"/>
  <c r="W94" i="1" s="1"/>
  <c r="V94" i="1"/>
  <c r="R122" i="1"/>
  <c r="S122" i="1"/>
  <c r="V122" i="1" s="1"/>
  <c r="T122" i="1"/>
  <c r="W122" i="1" s="1"/>
  <c r="C133" i="1"/>
  <c r="R126" i="1"/>
  <c r="U126" i="1" s="1"/>
  <c r="S126" i="1"/>
  <c r="V126" i="1" s="1"/>
  <c r="T126" i="1"/>
  <c r="W126" i="1" s="1"/>
  <c r="U122" i="1" l="1"/>
  <c r="W95" i="1"/>
  <c r="X95" i="1" s="1"/>
  <c r="X78" i="1"/>
  <c r="X93" i="1"/>
  <c r="X94" i="1"/>
  <c r="X126" i="1"/>
  <c r="X122" i="1" l="1"/>
  <c r="R127" i="1"/>
  <c r="U127" i="1" s="1"/>
  <c r="S127" i="1"/>
  <c r="V127" i="1" s="1"/>
  <c r="T127" i="1"/>
  <c r="W127" i="1" s="1"/>
  <c r="X127" i="1" l="1"/>
  <c r="R104" i="1"/>
  <c r="R69" i="1"/>
  <c r="R79" i="1"/>
  <c r="R7" i="1"/>
  <c r="T102" i="1" l="1"/>
  <c r="W102" i="1" s="1"/>
  <c r="S102" i="1"/>
  <c r="V102" i="1" s="1"/>
  <c r="R102" i="1"/>
  <c r="U102" i="1" s="1"/>
  <c r="T117" i="1"/>
  <c r="T113" i="1"/>
  <c r="T109" i="1"/>
  <c r="T106" i="1"/>
  <c r="T114" i="1"/>
  <c r="S117" i="1"/>
  <c r="S113" i="1"/>
  <c r="S109" i="1"/>
  <c r="S106" i="1"/>
  <c r="S114" i="1"/>
  <c r="R106" i="1"/>
  <c r="R114" i="1"/>
  <c r="T46" i="1"/>
  <c r="S46" i="1"/>
  <c r="R46" i="1"/>
  <c r="U46" i="1" s="1"/>
  <c r="X102" i="1" l="1"/>
  <c r="V69" i="1" l="1"/>
  <c r="T69" i="1"/>
  <c r="W69" i="1" s="1"/>
  <c r="U69" i="1" l="1"/>
  <c r="X69" i="1" s="1"/>
  <c r="U114" i="1"/>
  <c r="V114" i="1"/>
  <c r="W114" i="1"/>
  <c r="T96" i="1"/>
  <c r="W96" i="1" s="1"/>
  <c r="S96" i="1"/>
  <c r="V96" i="1" s="1"/>
  <c r="U96" i="1"/>
  <c r="X114" i="1" l="1"/>
  <c r="X96" i="1"/>
  <c r="W106" i="1" l="1"/>
  <c r="V106" i="1"/>
  <c r="U106" i="1"/>
  <c r="S33" i="1"/>
  <c r="V33" i="1" s="1"/>
  <c r="W117" i="1"/>
  <c r="W113" i="1"/>
  <c r="W109" i="1"/>
  <c r="V117" i="1"/>
  <c r="V113" i="1"/>
  <c r="V109" i="1"/>
  <c r="R109" i="1"/>
  <c r="R113" i="1"/>
  <c r="R117" i="1"/>
  <c r="U117" i="1" l="1"/>
  <c r="X117" i="1" s="1"/>
  <c r="X106" i="1"/>
  <c r="U109" i="1"/>
  <c r="X109" i="1" s="1"/>
  <c r="U113" i="1"/>
  <c r="X113" i="1" s="1"/>
  <c r="W46" i="1"/>
  <c r="V46" i="1"/>
  <c r="T13" i="1" l="1"/>
  <c r="W13" i="1" s="1"/>
  <c r="S13" i="1"/>
  <c r="V13" i="1" s="1"/>
  <c r="R13" i="1"/>
  <c r="A137" i="1"/>
  <c r="R118" i="1"/>
  <c r="S118" i="1"/>
  <c r="T118" i="1"/>
  <c r="R123" i="1"/>
  <c r="S123" i="1"/>
  <c r="V123" i="1" s="1"/>
  <c r="T123" i="1"/>
  <c r="W123" i="1" s="1"/>
  <c r="V118" i="1" l="1"/>
  <c r="W118" i="1"/>
  <c r="U123" i="1"/>
  <c r="X123" i="1" s="1"/>
  <c r="U13" i="1"/>
  <c r="X13" i="1" s="1"/>
  <c r="U118" i="1"/>
  <c r="R14" i="1"/>
  <c r="X118" i="1" l="1"/>
  <c r="U14" i="1"/>
  <c r="S14" i="1"/>
  <c r="V14" i="1" s="1"/>
  <c r="T14" i="1"/>
  <c r="W14" i="1" s="1"/>
  <c r="X14" i="1" l="1"/>
  <c r="L61" i="1"/>
  <c r="M61" i="1" l="1"/>
  <c r="L62" i="1" s="1"/>
  <c r="N61" i="1"/>
  <c r="N62" i="1" s="1"/>
  <c r="O61" i="1"/>
  <c r="P61" i="1"/>
  <c r="Q61" i="1"/>
  <c r="I61" i="1"/>
  <c r="R85" i="1"/>
  <c r="S85" i="1"/>
  <c r="V85" i="1" s="1"/>
  <c r="T85" i="1"/>
  <c r="W85" i="1" s="1"/>
  <c r="R66" i="1"/>
  <c r="S66" i="1"/>
  <c r="T66" i="1"/>
  <c r="R81" i="1"/>
  <c r="S81" i="1"/>
  <c r="V81" i="1" s="1"/>
  <c r="T81" i="1"/>
  <c r="W81" i="1" s="1"/>
  <c r="R83" i="1"/>
  <c r="S83" i="1"/>
  <c r="V83" i="1" s="1"/>
  <c r="T83" i="1"/>
  <c r="W83" i="1" s="1"/>
  <c r="S87" i="1"/>
  <c r="V87" i="1" s="1"/>
  <c r="T87" i="1"/>
  <c r="W87" i="1" s="1"/>
  <c r="R89" i="1"/>
  <c r="S89" i="1"/>
  <c r="V89" i="1" s="1"/>
  <c r="T89" i="1"/>
  <c r="W89" i="1" s="1"/>
  <c r="R70" i="1"/>
  <c r="S70" i="1"/>
  <c r="V70" i="1" s="1"/>
  <c r="T70" i="1"/>
  <c r="W70" i="1" s="1"/>
  <c r="R80" i="1"/>
  <c r="S80" i="1"/>
  <c r="V80" i="1" s="1"/>
  <c r="T80" i="1"/>
  <c r="W80" i="1" s="1"/>
  <c r="R73" i="1"/>
  <c r="S73" i="1"/>
  <c r="V73" i="1" s="1"/>
  <c r="T73" i="1"/>
  <c r="W73" i="1" s="1"/>
  <c r="R82" i="1"/>
  <c r="S82" i="1"/>
  <c r="V82" i="1" s="1"/>
  <c r="T82" i="1"/>
  <c r="W82" i="1" s="1"/>
  <c r="H61" i="1"/>
  <c r="G61" i="1"/>
  <c r="F61" i="1"/>
  <c r="U82" i="1" l="1"/>
  <c r="X82" i="1" s="1"/>
  <c r="U81" i="1"/>
  <c r="U73" i="1"/>
  <c r="X73" i="1" s="1"/>
  <c r="U85" i="1"/>
  <c r="X85" i="1" s="1"/>
  <c r="U83" i="1"/>
  <c r="X83" i="1" s="1"/>
  <c r="U80" i="1"/>
  <c r="X80" i="1" s="1"/>
  <c r="U89" i="1"/>
  <c r="X89" i="1" s="1"/>
  <c r="U87" i="1"/>
  <c r="X87" i="1" s="1"/>
  <c r="U70" i="1"/>
  <c r="X70" i="1" s="1"/>
  <c r="V66" i="1"/>
  <c r="U66" i="1"/>
  <c r="W66" i="1"/>
  <c r="X81" i="1"/>
  <c r="S58" i="1"/>
  <c r="V58" i="1" s="1"/>
  <c r="T58" i="1"/>
  <c r="W58" i="1" s="1"/>
  <c r="S40" i="1"/>
  <c r="V40" i="1" s="1"/>
  <c r="T40" i="1"/>
  <c r="W40" i="1" s="1"/>
  <c r="X66" i="1" l="1"/>
  <c r="E61" i="1"/>
  <c r="C61" i="1"/>
  <c r="R40" i="1"/>
  <c r="R58" i="1"/>
  <c r="T11" i="1"/>
  <c r="W11" i="1" s="1"/>
  <c r="S11" i="1"/>
  <c r="V11" i="1" s="1"/>
  <c r="R11" i="1"/>
  <c r="S104" i="1"/>
  <c r="V104" i="1" s="1"/>
  <c r="T104" i="1"/>
  <c r="W104" i="1" s="1"/>
  <c r="R105" i="1"/>
  <c r="S105" i="1"/>
  <c r="V105" i="1" s="1"/>
  <c r="T105" i="1"/>
  <c r="W105" i="1" s="1"/>
  <c r="R107" i="1"/>
  <c r="S107" i="1"/>
  <c r="V107" i="1" s="1"/>
  <c r="T107" i="1"/>
  <c r="W107" i="1" s="1"/>
  <c r="R108" i="1"/>
  <c r="S108" i="1"/>
  <c r="V108" i="1" s="1"/>
  <c r="T108" i="1"/>
  <c r="W108" i="1" s="1"/>
  <c r="R110" i="1"/>
  <c r="S110" i="1"/>
  <c r="V110" i="1" s="1"/>
  <c r="T110" i="1"/>
  <c r="W110" i="1" s="1"/>
  <c r="R112" i="1"/>
  <c r="S112" i="1"/>
  <c r="V112" i="1" s="1"/>
  <c r="T112" i="1"/>
  <c r="R115" i="1"/>
  <c r="S115" i="1"/>
  <c r="V115" i="1" s="1"/>
  <c r="T115" i="1"/>
  <c r="W115" i="1" s="1"/>
  <c r="R116" i="1"/>
  <c r="S116" i="1"/>
  <c r="T116" i="1"/>
  <c r="R119" i="1"/>
  <c r="S119" i="1"/>
  <c r="T119" i="1"/>
  <c r="R120" i="1"/>
  <c r="S120" i="1"/>
  <c r="V120" i="1" s="1"/>
  <c r="T120" i="1"/>
  <c r="W120" i="1" s="1"/>
  <c r="R121" i="1"/>
  <c r="S121" i="1"/>
  <c r="V121" i="1" s="1"/>
  <c r="T121" i="1"/>
  <c r="W121" i="1" s="1"/>
  <c r="R124" i="1"/>
  <c r="U124" i="1" s="1"/>
  <c r="S124" i="1"/>
  <c r="V124" i="1" s="1"/>
  <c r="T124" i="1"/>
  <c r="W124" i="1" s="1"/>
  <c r="R125" i="1"/>
  <c r="S125" i="1"/>
  <c r="V125" i="1" s="1"/>
  <c r="T125" i="1"/>
  <c r="W125" i="1" s="1"/>
  <c r="R128" i="1"/>
  <c r="S128" i="1"/>
  <c r="V128" i="1" s="1"/>
  <c r="T128" i="1"/>
  <c r="W128" i="1" s="1"/>
  <c r="R129" i="1"/>
  <c r="S129" i="1"/>
  <c r="V129" i="1" s="1"/>
  <c r="T129" i="1"/>
  <c r="W129" i="1" s="1"/>
  <c r="R130" i="1"/>
  <c r="S130" i="1"/>
  <c r="V130" i="1" s="1"/>
  <c r="T130" i="1"/>
  <c r="W130" i="1" s="1"/>
  <c r="R131" i="1"/>
  <c r="S131" i="1"/>
  <c r="V131" i="1" s="1"/>
  <c r="T131" i="1"/>
  <c r="W131" i="1" s="1"/>
  <c r="R132" i="1"/>
  <c r="S132" i="1"/>
  <c r="V132" i="1" s="1"/>
  <c r="T132" i="1"/>
  <c r="W132" i="1" s="1"/>
  <c r="T103" i="1"/>
  <c r="S103" i="1"/>
  <c r="R103" i="1"/>
  <c r="T79" i="1"/>
  <c r="W79" i="1" s="1"/>
  <c r="S79" i="1"/>
  <c r="V79" i="1" s="1"/>
  <c r="U79" i="1"/>
  <c r="T88" i="1"/>
  <c r="W88" i="1" s="1"/>
  <c r="S88" i="1"/>
  <c r="V88" i="1" s="1"/>
  <c r="R88" i="1"/>
  <c r="T86" i="1"/>
  <c r="S86" i="1"/>
  <c r="V86" i="1" s="1"/>
  <c r="R86" i="1"/>
  <c r="T77" i="1"/>
  <c r="W77" i="1" s="1"/>
  <c r="S77" i="1"/>
  <c r="V77" i="1" s="1"/>
  <c r="R77" i="1"/>
  <c r="U77" i="1" s="1"/>
  <c r="T75" i="1"/>
  <c r="W75" i="1" s="1"/>
  <c r="S75" i="1"/>
  <c r="V75" i="1" s="1"/>
  <c r="R75" i="1"/>
  <c r="U75" i="1" s="1"/>
  <c r="T74" i="1"/>
  <c r="W74" i="1" s="1"/>
  <c r="S74" i="1"/>
  <c r="V74" i="1" s="1"/>
  <c r="R74" i="1"/>
  <c r="U74" i="1" s="1"/>
  <c r="T67" i="1"/>
  <c r="S67" i="1"/>
  <c r="R67" i="1"/>
  <c r="R90" i="1"/>
  <c r="S90" i="1"/>
  <c r="T90" i="1"/>
  <c r="D61" i="1"/>
  <c r="J61" i="1"/>
  <c r="K61" i="1"/>
  <c r="T60" i="1"/>
  <c r="W60" i="1" s="1"/>
  <c r="S60" i="1"/>
  <c r="V60" i="1" s="1"/>
  <c r="R60" i="1"/>
  <c r="T59" i="1"/>
  <c r="W59" i="1" s="1"/>
  <c r="S59" i="1"/>
  <c r="V59" i="1" s="1"/>
  <c r="R59" i="1"/>
  <c r="T17" i="1"/>
  <c r="W17" i="1" s="1"/>
  <c r="S17" i="1"/>
  <c r="R17" i="1"/>
  <c r="T57" i="1"/>
  <c r="W57" i="1" s="1"/>
  <c r="S57" i="1"/>
  <c r="V57" i="1" s="1"/>
  <c r="R57" i="1"/>
  <c r="T56" i="1"/>
  <c r="W56" i="1" s="1"/>
  <c r="S56" i="1"/>
  <c r="V56" i="1" s="1"/>
  <c r="R56" i="1"/>
  <c r="T55" i="1"/>
  <c r="W55" i="1" s="1"/>
  <c r="S55" i="1"/>
  <c r="V55" i="1" s="1"/>
  <c r="R55" i="1"/>
  <c r="T54" i="1"/>
  <c r="W54" i="1" s="1"/>
  <c r="S54" i="1"/>
  <c r="V54" i="1" s="1"/>
  <c r="R54" i="1"/>
  <c r="T53" i="1"/>
  <c r="W53" i="1" s="1"/>
  <c r="S53" i="1"/>
  <c r="V53" i="1" s="1"/>
  <c r="R53" i="1"/>
  <c r="T52" i="1"/>
  <c r="W52" i="1" s="1"/>
  <c r="S52" i="1"/>
  <c r="V52" i="1" s="1"/>
  <c r="R52" i="1"/>
  <c r="T51" i="1"/>
  <c r="W51" i="1" s="1"/>
  <c r="S51" i="1"/>
  <c r="V51" i="1" s="1"/>
  <c r="R51" i="1"/>
  <c r="T50" i="1"/>
  <c r="W50" i="1" s="1"/>
  <c r="S50" i="1"/>
  <c r="V50" i="1" s="1"/>
  <c r="R50" i="1"/>
  <c r="T49" i="1"/>
  <c r="W49" i="1" s="1"/>
  <c r="S49" i="1"/>
  <c r="V49" i="1" s="1"/>
  <c r="R49" i="1"/>
  <c r="T48" i="1"/>
  <c r="W48" i="1" s="1"/>
  <c r="S48" i="1"/>
  <c r="V48" i="1" s="1"/>
  <c r="R48" i="1"/>
  <c r="T47" i="1"/>
  <c r="W47" i="1" s="1"/>
  <c r="S47" i="1"/>
  <c r="V47" i="1" s="1"/>
  <c r="R47" i="1"/>
  <c r="T45" i="1"/>
  <c r="W45" i="1" s="1"/>
  <c r="S45" i="1"/>
  <c r="V45" i="1" s="1"/>
  <c r="R45" i="1"/>
  <c r="T44" i="1"/>
  <c r="W44" i="1" s="1"/>
  <c r="S44" i="1"/>
  <c r="V44" i="1" s="1"/>
  <c r="R44" i="1"/>
  <c r="T43" i="1"/>
  <c r="W43" i="1" s="1"/>
  <c r="S43" i="1"/>
  <c r="V43" i="1" s="1"/>
  <c r="R43" i="1"/>
  <c r="T41" i="1"/>
  <c r="W41" i="1" s="1"/>
  <c r="S41" i="1"/>
  <c r="V41" i="1" s="1"/>
  <c r="R41" i="1"/>
  <c r="T39" i="1"/>
  <c r="W39" i="1" s="1"/>
  <c r="S39" i="1"/>
  <c r="V39" i="1" s="1"/>
  <c r="R39" i="1"/>
  <c r="T38" i="1"/>
  <c r="W38" i="1" s="1"/>
  <c r="S38" i="1"/>
  <c r="V38" i="1" s="1"/>
  <c r="R38" i="1"/>
  <c r="T37" i="1"/>
  <c r="W37" i="1" s="1"/>
  <c r="S37" i="1"/>
  <c r="V37" i="1" s="1"/>
  <c r="R37" i="1"/>
  <c r="T36" i="1"/>
  <c r="W36" i="1" s="1"/>
  <c r="S36" i="1"/>
  <c r="V36" i="1" s="1"/>
  <c r="R36" i="1"/>
  <c r="T35" i="1"/>
  <c r="W35" i="1" s="1"/>
  <c r="S35" i="1"/>
  <c r="V35" i="1" s="1"/>
  <c r="R35" i="1"/>
  <c r="T34" i="1"/>
  <c r="W34" i="1" s="1"/>
  <c r="S34" i="1"/>
  <c r="V34" i="1" s="1"/>
  <c r="R34" i="1"/>
  <c r="T33" i="1"/>
  <c r="W33" i="1" s="1"/>
  <c r="R33" i="1"/>
  <c r="T31" i="1"/>
  <c r="W31" i="1" s="1"/>
  <c r="S31" i="1"/>
  <c r="V31" i="1" s="1"/>
  <c r="R31" i="1"/>
  <c r="T30" i="1"/>
  <c r="W30" i="1" s="1"/>
  <c r="S30" i="1"/>
  <c r="V30" i="1" s="1"/>
  <c r="R30" i="1"/>
  <c r="T29" i="1"/>
  <c r="W29" i="1" s="1"/>
  <c r="S29" i="1"/>
  <c r="V29" i="1" s="1"/>
  <c r="R29" i="1"/>
  <c r="T28" i="1"/>
  <c r="W28" i="1" s="1"/>
  <c r="S28" i="1"/>
  <c r="V28" i="1" s="1"/>
  <c r="R28" i="1"/>
  <c r="T27" i="1"/>
  <c r="S27" i="1"/>
  <c r="V27" i="1" s="1"/>
  <c r="R27" i="1"/>
  <c r="T26" i="1"/>
  <c r="S26" i="1"/>
  <c r="R26" i="1"/>
  <c r="T20" i="1"/>
  <c r="W20" i="1" s="1"/>
  <c r="S20" i="1"/>
  <c r="V20" i="1" s="1"/>
  <c r="R20" i="1"/>
  <c r="T19" i="1"/>
  <c r="W19" i="1" s="1"/>
  <c r="S19" i="1"/>
  <c r="V19" i="1" s="1"/>
  <c r="R19" i="1"/>
  <c r="T9" i="1"/>
  <c r="W9" i="1" s="1"/>
  <c r="S9" i="1"/>
  <c r="V9" i="1" s="1"/>
  <c r="R9" i="1"/>
  <c r="T32" i="1"/>
  <c r="W32" i="1" s="1"/>
  <c r="S32" i="1"/>
  <c r="V32" i="1" s="1"/>
  <c r="R32" i="1"/>
  <c r="T8" i="1"/>
  <c r="S8" i="1"/>
  <c r="R8" i="1"/>
  <c r="T7" i="1"/>
  <c r="W7" i="1" s="1"/>
  <c r="S7" i="1"/>
  <c r="R68" i="1"/>
  <c r="U68" i="1" s="1"/>
  <c r="S68" i="1"/>
  <c r="V68" i="1" s="1"/>
  <c r="T68" i="1"/>
  <c r="W68" i="1" s="1"/>
  <c r="R42" i="1"/>
  <c r="U42" i="1" s="1"/>
  <c r="S42" i="1"/>
  <c r="V42" i="1" s="1"/>
  <c r="T42" i="1"/>
  <c r="W42" i="1" s="1"/>
  <c r="R71" i="1"/>
  <c r="S71" i="1"/>
  <c r="T71" i="1"/>
  <c r="R72" i="1"/>
  <c r="U72" i="1" s="1"/>
  <c r="S72" i="1"/>
  <c r="V72" i="1" s="1"/>
  <c r="T72" i="1"/>
  <c r="R16" i="1"/>
  <c r="U16" i="1" s="1"/>
  <c r="S16" i="1"/>
  <c r="V16" i="1" s="1"/>
  <c r="T16" i="1"/>
  <c r="W16" i="1" s="1"/>
  <c r="S12" i="1"/>
  <c r="V12" i="1" s="1"/>
  <c r="T12" i="1"/>
  <c r="W12" i="1" s="1"/>
  <c r="R12" i="1"/>
  <c r="U12" i="1" s="1"/>
  <c r="R133" i="1" l="1"/>
  <c r="V116" i="1"/>
  <c r="S133" i="1"/>
  <c r="W116" i="1"/>
  <c r="T133" i="1"/>
  <c r="R97" i="1"/>
  <c r="S97" i="1"/>
  <c r="S139" i="1" s="1"/>
  <c r="T97" i="1"/>
  <c r="R21" i="1"/>
  <c r="R23" i="1" s="1"/>
  <c r="W8" i="1"/>
  <c r="T21" i="1"/>
  <c r="V8" i="1"/>
  <c r="S21" i="1"/>
  <c r="W103" i="1"/>
  <c r="V103" i="1"/>
  <c r="W112" i="1"/>
  <c r="W119" i="1"/>
  <c r="V119" i="1"/>
  <c r="W71" i="1"/>
  <c r="V71" i="1"/>
  <c r="U71" i="1"/>
  <c r="U132" i="1"/>
  <c r="X132" i="1" s="1"/>
  <c r="U104" i="1"/>
  <c r="X104" i="1" s="1"/>
  <c r="U125" i="1"/>
  <c r="X125" i="1" s="1"/>
  <c r="U9" i="1"/>
  <c r="X9" i="1" s="1"/>
  <c r="U120" i="1"/>
  <c r="X120" i="1" s="1"/>
  <c r="U119" i="1"/>
  <c r="U112" i="1"/>
  <c r="U8" i="1"/>
  <c r="U110" i="1"/>
  <c r="X110" i="1" s="1"/>
  <c r="U107" i="1"/>
  <c r="X107" i="1" s="1"/>
  <c r="U115" i="1"/>
  <c r="X115" i="1" s="1"/>
  <c r="U130" i="1"/>
  <c r="X130" i="1" s="1"/>
  <c r="U19" i="1"/>
  <c r="X19" i="1" s="1"/>
  <c r="U129" i="1"/>
  <c r="X129" i="1" s="1"/>
  <c r="U20" i="1"/>
  <c r="X20" i="1" s="1"/>
  <c r="U116" i="1"/>
  <c r="U105" i="1"/>
  <c r="X105" i="1" s="1"/>
  <c r="U131" i="1"/>
  <c r="X131" i="1" s="1"/>
  <c r="U108" i="1"/>
  <c r="X108" i="1" s="1"/>
  <c r="U11" i="1"/>
  <c r="X11" i="1" s="1"/>
  <c r="U128" i="1"/>
  <c r="X128" i="1" s="1"/>
  <c r="W72" i="1"/>
  <c r="X72" i="1" s="1"/>
  <c r="U121" i="1"/>
  <c r="U103" i="1"/>
  <c r="U7" i="1"/>
  <c r="V7" i="1"/>
  <c r="U88" i="1"/>
  <c r="U34" i="1"/>
  <c r="X34" i="1" s="1"/>
  <c r="U38" i="1"/>
  <c r="X38" i="1" s="1"/>
  <c r="U44" i="1"/>
  <c r="X44" i="1" s="1"/>
  <c r="U48" i="1"/>
  <c r="X48" i="1" s="1"/>
  <c r="U52" i="1"/>
  <c r="X52" i="1" s="1"/>
  <c r="U56" i="1"/>
  <c r="X56" i="1" s="1"/>
  <c r="U60" i="1"/>
  <c r="X60" i="1" s="1"/>
  <c r="U40" i="1"/>
  <c r="X40" i="1" s="1"/>
  <c r="U32" i="1"/>
  <c r="X32" i="1" s="1"/>
  <c r="U28" i="1"/>
  <c r="X28" i="1" s="1"/>
  <c r="U43" i="1"/>
  <c r="X43" i="1" s="1"/>
  <c r="U47" i="1"/>
  <c r="X47" i="1" s="1"/>
  <c r="U51" i="1"/>
  <c r="X51" i="1" s="1"/>
  <c r="U55" i="1"/>
  <c r="X55" i="1" s="1"/>
  <c r="U59" i="1"/>
  <c r="X59" i="1" s="1"/>
  <c r="U27" i="1"/>
  <c r="X27" i="1" s="1"/>
  <c r="U31" i="1"/>
  <c r="X31" i="1" s="1"/>
  <c r="U36" i="1"/>
  <c r="X36" i="1" s="1"/>
  <c r="U41" i="1"/>
  <c r="X41" i="1" s="1"/>
  <c r="U50" i="1"/>
  <c r="X50" i="1" s="1"/>
  <c r="U54" i="1"/>
  <c r="X54" i="1" s="1"/>
  <c r="U17" i="1"/>
  <c r="U29" i="1"/>
  <c r="X29" i="1" s="1"/>
  <c r="U33" i="1"/>
  <c r="X33" i="1" s="1"/>
  <c r="U37" i="1"/>
  <c r="X37" i="1" s="1"/>
  <c r="U30" i="1"/>
  <c r="X30" i="1" s="1"/>
  <c r="U35" i="1"/>
  <c r="X35" i="1" s="1"/>
  <c r="U39" i="1"/>
  <c r="X39" i="1" s="1"/>
  <c r="U45" i="1"/>
  <c r="X45" i="1" s="1"/>
  <c r="U49" i="1"/>
  <c r="X49" i="1" s="1"/>
  <c r="U53" i="1"/>
  <c r="X53" i="1" s="1"/>
  <c r="U57" i="1"/>
  <c r="X57" i="1" s="1"/>
  <c r="U58" i="1"/>
  <c r="X58" i="1" s="1"/>
  <c r="W86" i="1"/>
  <c r="U86" i="1"/>
  <c r="U26" i="1"/>
  <c r="R61" i="1"/>
  <c r="V26" i="1"/>
  <c r="S61" i="1"/>
  <c r="T61" i="1"/>
  <c r="W90" i="1"/>
  <c r="V90" i="1"/>
  <c r="U90" i="1"/>
  <c r="U67" i="1"/>
  <c r="X77" i="1"/>
  <c r="V67" i="1"/>
  <c r="X74" i="1"/>
  <c r="X124" i="1"/>
  <c r="W67" i="1"/>
  <c r="X79" i="1"/>
  <c r="X75" i="1"/>
  <c r="X46" i="1"/>
  <c r="W26" i="1"/>
  <c r="V17" i="1"/>
  <c r="X42" i="1"/>
  <c r="X12" i="1"/>
  <c r="X16" i="1"/>
  <c r="X68" i="1"/>
  <c r="T139" i="1" l="1"/>
  <c r="R139" i="1"/>
  <c r="R141" i="1" s="1"/>
  <c r="V97" i="1"/>
  <c r="Z22" i="1"/>
  <c r="W97" i="1"/>
  <c r="V133" i="1"/>
  <c r="R135" i="1"/>
  <c r="F144" i="1"/>
  <c r="W133" i="1"/>
  <c r="X116" i="1"/>
  <c r="U133" i="1"/>
  <c r="U97" i="1"/>
  <c r="V21" i="1"/>
  <c r="W21" i="1"/>
  <c r="X8" i="1"/>
  <c r="U21" i="1"/>
  <c r="S135" i="1"/>
  <c r="X103" i="1"/>
  <c r="X112" i="1"/>
  <c r="X119" i="1"/>
  <c r="X71" i="1"/>
  <c r="R62" i="1"/>
  <c r="X86" i="1"/>
  <c r="X121" i="1"/>
  <c r="T135" i="1"/>
  <c r="R22" i="1"/>
  <c r="X88" i="1"/>
  <c r="U61" i="1"/>
  <c r="W61" i="1"/>
  <c r="V61" i="1"/>
  <c r="X90" i="1"/>
  <c r="X67" i="1"/>
  <c r="X7" i="1"/>
  <c r="X26" i="1"/>
  <c r="X17" i="1"/>
  <c r="V139" i="1" l="1"/>
  <c r="V141" i="1" s="1"/>
  <c r="W139" i="1"/>
  <c r="W141" i="1" s="1"/>
  <c r="W22" i="1"/>
  <c r="W23" i="1"/>
  <c r="V22" i="1"/>
  <c r="V23" i="1"/>
  <c r="X97" i="1"/>
  <c r="R137" i="1"/>
  <c r="T137" i="1"/>
  <c r="S137" i="1"/>
  <c r="X133" i="1"/>
  <c r="X21" i="1"/>
  <c r="V135" i="1"/>
  <c r="U135" i="1"/>
  <c r="W135" i="1"/>
  <c r="X61" i="1"/>
  <c r="X135" i="1" l="1"/>
</calcChain>
</file>

<file path=xl/sharedStrings.xml><?xml version="1.0" encoding="utf-8"?>
<sst xmlns="http://schemas.openxmlformats.org/spreadsheetml/2006/main" count="409" uniqueCount="194">
  <si>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</si>
  <si>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</si>
  <si>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</si>
  <si>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</si>
  <si>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</si>
  <si>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</si>
  <si>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</si>
  <si>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</si>
  <si>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SEMANA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</si>
  <si>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</si>
  <si>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</si>
  <si>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</si>
  <si>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</si>
  <si>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</si>
  <si>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</si>
  <si>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</si>
  <si>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</si>
  <si>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</si>
  <si>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</si>
  <si>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</si>
  <si>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</si>
  <si>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</si>
  <si>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</si>
  <si>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</si>
  <si>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</si>
  <si>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</si>
  <si>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</si>
  <si>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</si>
  <si>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</si>
  <si>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</si>
  <si>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</si>
  <si>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</si>
  <si>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</si>
  <si>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</si>
  <si>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</si>
  <si>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</si>
  <si>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</si>
  <si>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</si>
  <si>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</si>
  <si>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</si>
  <si>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</si>
  <si>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</si>
  <si>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</si>
  <si>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</si>
  <si>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</si>
  <si>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</si>
  <si>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</si>
  <si>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</si>
  <si>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</si>
  <si>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</si>
  <si>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</si>
  <si>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</si>
  <si>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</si>
  <si>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</si>
  <si>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</si>
  <si>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</si>
  <si>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</si>
  <si>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</si>
  <si>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</si>
  <si>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</si>
  <si>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</si>
  <si>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</si>
  <si>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</si>
  <si>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</si>
  <si>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</si>
  <si>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</si>
  <si>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</si>
  <si>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</si>
  <si>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</si>
  <si>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</si>
  <si>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</si>
  <si>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</si>
  <si>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</si>
  <si>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</si>
  <si>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</si>
  <si>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</si>
  <si>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</si>
  <si>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</si>
  <si>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</si>
  <si>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</si>
  <si>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</si>
  <si>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</si>
  <si>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</si>
  <si>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</si>
  <si>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</si>
  <si>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</si>
  <si>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</si>
  <si>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</si>
  <si>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</si>
  <si>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</si>
  <si>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</si>
  <si>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</si>
  <si>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</si>
  <si>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</si>
  <si>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</si>
  <si>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</si>
  <si>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</si>
  <si>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</si>
  <si>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</si>
  <si>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</si>
  <si>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</si>
  <si>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</si>
  <si>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</si>
  <si>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</si>
  <si>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</si>
  <si>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</si>
  <si>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</si>
  <si>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</si>
  <si>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</si>
  <si>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</si>
  <si>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</si>
  <si>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LUNES</t>
  </si>
  <si>
    <t>MARTES</t>
  </si>
  <si>
    <t>MIÉRCOLES</t>
  </si>
  <si>
    <t>JUEVES</t>
  </si>
  <si>
    <t>VIERNES</t>
  </si>
  <si>
    <t>SÁBADO</t>
  </si>
  <si>
    <t>DOMINGO</t>
  </si>
  <si>
    <t>X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</si>
  <si>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</si>
  <si>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</si>
  <si>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</si>
  <si>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</si>
  <si>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</si>
  <si>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</si>
  <si>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</si>
  <si>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</si>
  <si>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</si>
  <si>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</si>
  <si>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</si>
  <si>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</si>
  <si>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</si>
  <si>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</si>
  <si>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</si>
  <si>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</si>
  <si>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</si>
  <si>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</si>
  <si>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</si>
  <si>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</si>
  <si>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</si>
  <si>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</si>
  <si>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</si>
  <si>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</si>
  <si>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</si>
  <si>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</si>
  <si>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</si>
  <si>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TOTAL HORAS AGOSTO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</si>
  <si>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</si>
  <si>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</si>
  <si>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</si>
  <si>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</si>
  <si>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</si>
  <si>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</si>
  <si>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</si>
  <si>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</si>
  <si>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</si>
  <si>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</si>
  <si>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</si>
  <si>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</si>
  <si>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</si>
  <si>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</si>
  <si>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</si>
  <si>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</si>
  <si>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</si>
  <si>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</si>
  <si>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NEIVA CATALINA FIALLOS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</si>
  <si>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</si>
  <si>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</si>
  <si>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</si>
  <si>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</si>
  <si>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</si>
  <si>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</si>
  <si>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>MARIA MARTINA MENDOZA TELEMAZA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</si>
  <si>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</si>
  <si>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</si>
  <si>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</si>
  <si>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</si>
  <si>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</si>
  <si>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</si>
  <si>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</si>
  <si>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</si>
  <si>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</si>
  <si>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</si>
  <si>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</si>
  <si>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</si>
  <si>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</si>
  <si>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BAJA ENF.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</si>
  <si>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</si>
  <si>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</si>
  <si>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</si>
  <si>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</si>
  <si>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</si>
  <si>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</si>
  <si>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>VACACIONES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</si>
</sst>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4">
    <xf numFmtId="0" fontId="0" fillId="0" borderId="0" xfId="0"/>
    <xf numFmtId="0" fontId="0" fillId="2" borderId="0" xfId="0" applyFill="1"/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3" borderId="1" xfId="1" applyFont="1" applyFill="1" applyBorder="1"/>
    <xf numFmtId="44" fontId="5" fillId="4" borderId="1" xfId="1" applyFont="1" applyFill="1" applyBorder="1"/>
    <xf numFmtId="44" fontId="5" fillId="5" borderId="1" xfId="1" applyFont="1" applyFill="1" applyBorder="1"/>
    <xf numFmtId="44" fontId="5" fillId="2" borderId="1" xfId="0" applyNumberFormat="1" applyFont="1" applyFill="1" applyBorder="1"/>
    <xf numFmtId="44" fontId="5" fillId="2" borderId="1" xfId="1" applyFont="1" applyFill="1" applyBorder="1"/>
    <xf numFmtId="44" fontId="5" fillId="2" borderId="0" xfId="0" applyNumberFormat="1" applyFont="1" applyFill="1"/>
    <xf numFmtId="2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2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5" fillId="0" borderId="1" xfId="0" applyFont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0" fillId="0" borderId="1" xfId="0" applyBorder="1"/>
    <xf numFmtId="0" fontId="12" fillId="0" borderId="1" xfId="0" applyFont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5" fillId="0" borderId="1" xfId="0" applyFont="1" applyBorder="1" applyAlignment="1">
      <alignment horizontal="left" vertical="center" shrinkToFit="1"/>
    </xf>
    <xf numFmtId="0" fontId="8" fillId="2" borderId="0" xfId="0" applyFont="1" applyFill="1"/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2" applyNumberFormat="1" applyFont="1" applyFill="1"/>
    <xf numFmtId="4" fontId="5" fillId="2" borderId="0" xfId="0" applyNumberFormat="1" applyFont="1" applyFill="1"/>
    <xf numFmtId="44" fontId="0" fillId="2" borderId="0" xfId="0" applyNumberForma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44" fontId="9" fillId="3" borderId="1" xfId="1" applyFont="1" applyFill="1" applyBorder="1"/>
    <xf numFmtId="44" fontId="9" fillId="4" borderId="1" xfId="1" applyFont="1" applyFill="1" applyBorder="1"/>
    <xf numFmtId="44" fontId="9" fillId="5" borderId="1" xfId="1" applyFont="1" applyFill="1" applyBorder="1"/>
    <xf numFmtId="44" fontId="9" fillId="2" borderId="1" xfId="0" applyNumberFormat="1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8" borderId="1" xfId="0" applyFont="1" applyFill="1" applyBorder="1"/>
    <xf numFmtId="1" fontId="5" fillId="8" borderId="1" xfId="0" applyNumberFormat="1" applyFont="1" applyFill="1" applyBorder="1"/>
    <xf numFmtId="0" fontId="15" fillId="2" borderId="0" xfId="0" applyFont="1" applyFill="1"/>
    <xf numFmtId="0" fontId="5" fillId="9" borderId="1" xfId="0" applyFont="1" applyFill="1" applyBorder="1"/>
    <xf numFmtId="0" fontId="9" fillId="9" borderId="1" xfId="0" applyFont="1" applyFill="1" applyBorder="1"/>
    <xf numFmtId="0" fontId="12" fillId="2" borderId="0" xfId="0" applyFont="1" applyFill="1" applyAlignment="1">
      <alignment horizontal="center"/>
    </xf>
    <xf numFmtId="0" fontId="0" fillId="2" borderId="12" xfId="0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9" borderId="20" xfId="0" applyFont="1" applyFill="1" applyBorder="1" applyAlignment="1">
      <alignment horizontal="center"/>
    </xf>
    <xf numFmtId="0" fontId="17" fillId="9" borderId="21" xfId="0" applyFont="1" applyFill="1" applyBorder="1"/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0" xfId="0" applyFill="1"/>
    <xf numFmtId="0" fontId="12" fillId="2" borderId="26" xfId="0" applyFont="1" applyFill="1" applyBorder="1" applyAlignment="1">
      <alignment horizontal="center"/>
    </xf>
    <xf numFmtId="0" fontId="0" fillId="2" borderId="27" xfId="0" applyFill="1" applyBorder="1"/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0" fillId="2" borderId="29" xfId="0" applyFill="1" applyBorder="1"/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17" fillId="9" borderId="5" xfId="0" applyFont="1" applyFill="1" applyBorder="1"/>
    <xf numFmtId="0" fontId="0" fillId="9" borderId="34" xfId="0" applyFill="1" applyBorder="1" applyAlignment="1">
      <alignment horizontal="center"/>
    </xf>
    <xf numFmtId="0" fontId="0" fillId="9" borderId="3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2" borderId="38" xfId="0" applyFill="1" applyBorder="1"/>
    <xf numFmtId="0" fontId="0" fillId="2" borderId="39" xfId="0" applyFill="1" applyBorder="1" applyAlignment="1">
      <alignment horizontal="center"/>
    </xf>
    <xf numFmtId="0" fontId="0" fillId="2" borderId="40" xfId="0" applyFill="1" applyBorder="1"/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2" fillId="9" borderId="26" xfId="0" applyFont="1" applyFill="1" applyBorder="1" applyAlignment="1">
      <alignment horizontal="center"/>
    </xf>
    <xf numFmtId="0" fontId="0" fillId="2" borderId="46" xfId="0" applyFill="1" applyBorder="1"/>
    <xf numFmtId="0" fontId="0" fillId="2" borderId="13" xfId="0" applyFill="1" applyBorder="1"/>
    <xf numFmtId="0" fontId="0" fillId="9" borderId="20" xfId="0" applyFill="1" applyBorder="1" applyAlignment="1">
      <alignment horizontal="center"/>
    </xf>
    <xf numFmtId="0" fontId="0" fillId="2" borderId="47" xfId="0" applyFill="1" applyBorder="1"/>
    <xf numFmtId="0" fontId="0" fillId="2" borderId="26" xfId="0" applyFill="1" applyBorder="1"/>
    <xf numFmtId="0" fontId="12" fillId="9" borderId="21" xfId="0" applyFont="1" applyFill="1" applyBorder="1" applyAlignment="1">
      <alignment horizontal="center"/>
    </xf>
    <xf numFmtId="0" fontId="17" fillId="9" borderId="20" xfId="0" applyFont="1" applyFill="1" applyBorder="1"/>
    <xf numFmtId="0" fontId="12" fillId="2" borderId="12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2" borderId="47" xfId="0" applyFont="1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17" fillId="9" borderId="49" xfId="0" applyFont="1" applyFill="1" applyBorder="1"/>
    <xf numFmtId="0" fontId="0" fillId="2" borderId="0" xfId="0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3:Z144"/>
  <sheetViews>
    <sheetView topLeftCell="A69" zoomScale="85" zoomScaleNormal="85" workbookViewId="0">
      <selection activeCell="W70" sqref="W70"/>
    </sheetView>
  </sheetViews>
  <sheetFormatPr defaultColWidth="11.28515625" defaultRowHeight="15.75" x14ac:dyDescent="0.25"/>
  <cols>
    <col min="1" max="1" width="8.140625" style="1" customWidth="1"/>
    <col min="2" max="2" width="48" style="5" bestFit="1" customWidth="1"/>
    <col min="3" max="3" width="6.85546875" style="5" customWidth="1"/>
    <col min="4" max="4" width="6.28515625" style="5" customWidth="1"/>
    <col min="5" max="5" width="7" style="5" customWidth="1"/>
    <col min="6" max="6" width="7.42578125" style="5" customWidth="1"/>
    <col min="7" max="7" width="7.85546875" style="5" customWidth="1"/>
    <col min="8" max="8" width="6.42578125" style="5" customWidth="1"/>
    <col min="9" max="9" width="6.85546875" style="5" customWidth="1"/>
    <col min="10" max="10" width="6.28515625" style="5" customWidth="1"/>
    <col min="11" max="11" width="6.7109375" style="5" customWidth="1"/>
    <col min="12" max="14" width="8.140625" style="5" customWidth="1"/>
    <col min="15" max="17" width="8.140625" style="18" customWidth="1"/>
    <col min="18" max="24" width="12.5703125" style="5" customWidth="1"/>
    <col min="25" max="25" width="13.28515625" style="1" customWidth="1"/>
    <col min="26" max="26" width="14" style="1" customWidth="1"/>
    <col min="27" max="16384" width="11.28515625" style="1"/>
  </cols>
  <sheetData>
    <row r="3" spans="1:25" x14ac:dyDescent="0.25">
      <c r="C3" s="5">
        <f>11+9.5+11.5+10+10</f>
        <v>52</v>
      </c>
    </row>
    <row r="4" spans="1:25" ht="12" customHeight="1" x14ac:dyDescent="0.25"/>
    <row r="5" spans="1:25" ht="18.75" x14ac:dyDescent="0.25">
      <c r="A5" s="146" t="s">
        <v>21</v>
      </c>
      <c r="B5" s="147"/>
      <c r="C5" s="148" t="s">
        <v>8</v>
      </c>
      <c r="D5" s="149"/>
      <c r="E5" s="150"/>
      <c r="F5" s="148" t="s">
        <v>8</v>
      </c>
      <c r="G5" s="149"/>
      <c r="H5" s="150"/>
      <c r="I5" s="148" t="s">
        <v>8</v>
      </c>
      <c r="J5" s="149"/>
      <c r="K5" s="150"/>
      <c r="L5" s="148" t="s">
        <v>8</v>
      </c>
      <c r="M5" s="149"/>
      <c r="N5" s="150"/>
      <c r="O5" s="151" t="s">
        <v>8</v>
      </c>
      <c r="P5" s="152"/>
      <c r="Q5" s="153"/>
      <c r="R5" s="143" t="s">
        <v>13</v>
      </c>
      <c r="S5" s="143"/>
      <c r="T5" s="143"/>
      <c r="U5" s="143" t="s">
        <v>12</v>
      </c>
      <c r="V5" s="143"/>
      <c r="W5" s="143"/>
      <c r="X5" s="143"/>
    </row>
    <row r="6" spans="1:25" ht="15" customHeight="1" x14ac:dyDescent="0.25">
      <c r="A6" s="2" t="s">
        <v>0</v>
      </c>
      <c r="B6" s="7" t="s">
        <v>1</v>
      </c>
      <c r="C6" s="144" t="s">
        <v>139</v>
      </c>
      <c r="D6" s="144"/>
      <c r="E6" s="144"/>
      <c r="F6" s="144" t="s">
        <v>140</v>
      </c>
      <c r="G6" s="144"/>
      <c r="H6" s="144"/>
      <c r="I6" s="144" t="s">
        <v>141</v>
      </c>
      <c r="J6" s="144"/>
      <c r="K6" s="144"/>
      <c r="L6" s="145" t="s">
        <v>142</v>
      </c>
      <c r="M6" s="145"/>
      <c r="N6" s="145"/>
      <c r="O6" s="145" t="s">
        <v>143</v>
      </c>
      <c r="P6" s="145"/>
      <c r="Q6" s="145"/>
      <c r="R6" s="6" t="s">
        <v>11</v>
      </c>
      <c r="S6" s="6" t="s">
        <v>10</v>
      </c>
      <c r="T6" s="6" t="s">
        <v>9</v>
      </c>
      <c r="U6" s="6" t="s">
        <v>11</v>
      </c>
      <c r="V6" s="6" t="s">
        <v>10</v>
      </c>
      <c r="W6" s="6" t="s">
        <v>9</v>
      </c>
      <c r="X6" s="7" t="s">
        <v>14</v>
      </c>
    </row>
    <row r="7" spans="1:25" x14ac:dyDescent="0.25">
      <c r="A7" s="3">
        <v>11488</v>
      </c>
      <c r="B7" s="7" t="s">
        <v>15</v>
      </c>
      <c r="C7" s="8">
        <v>10</v>
      </c>
      <c r="D7" s="9"/>
      <c r="E7" s="10"/>
      <c r="F7" s="8">
        <v>27.5</v>
      </c>
      <c r="G7" s="9"/>
      <c r="H7" s="11"/>
      <c r="I7" s="8">
        <v>22.5</v>
      </c>
      <c r="J7" s="9">
        <v>3.5</v>
      </c>
      <c r="K7" s="10"/>
      <c r="L7" s="8"/>
      <c r="M7" s="9"/>
      <c r="N7" s="10"/>
      <c r="O7" s="31"/>
      <c r="P7" s="20"/>
      <c r="Q7" s="21"/>
      <c r="R7" s="34">
        <f t="shared" ref="R7:R20" si="0">C7+F7+I7+L7+O7</f>
        <v>60</v>
      </c>
      <c r="S7" s="9">
        <f t="shared" ref="S7:S20" si="1">D7+G7+J7+M7+P7</f>
        <v>3.5</v>
      </c>
      <c r="T7" s="10">
        <f t="shared" ref="T7:T20" si="2">E7+H7+K7+N7+Q7</f>
        <v>0</v>
      </c>
      <c r="U7" s="12">
        <f t="shared" ref="U7:V11" si="3">R7*8.9</f>
        <v>534</v>
      </c>
      <c r="V7" s="13">
        <f t="shared" si="3"/>
        <v>31.150000000000002</v>
      </c>
      <c r="W7" s="14">
        <f>T7*11.12</f>
        <v>0</v>
      </c>
      <c r="X7" s="15">
        <f t="shared" ref="X7:X20" si="4">SUM(U7:W7)</f>
        <v>565.15</v>
      </c>
    </row>
    <row r="8" spans="1:25" x14ac:dyDescent="0.25">
      <c r="A8" s="3">
        <v>11467</v>
      </c>
      <c r="B8" s="7" t="s">
        <v>16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8">
        <f t="shared" si="0"/>
        <v>0</v>
      </c>
      <c r="S8" s="9">
        <f t="shared" si="1"/>
        <v>0</v>
      </c>
      <c r="T8" s="10">
        <f t="shared" si="2"/>
        <v>0</v>
      </c>
      <c r="U8" s="12">
        <f t="shared" si="3"/>
        <v>0</v>
      </c>
      <c r="V8" s="13">
        <f t="shared" si="3"/>
        <v>0</v>
      </c>
      <c r="W8" s="14">
        <f>T8*11.12</f>
        <v>0</v>
      </c>
      <c r="X8" s="15">
        <f t="shared" si="4"/>
        <v>0</v>
      </c>
      <c r="Y8" s="1" t="s">
        <v>130</v>
      </c>
    </row>
    <row r="9" spans="1:25" x14ac:dyDescent="0.25">
      <c r="A9" s="3">
        <v>11482</v>
      </c>
      <c r="B9" s="7" t="s">
        <v>18</v>
      </c>
      <c r="C9" s="8">
        <v>10</v>
      </c>
      <c r="D9" s="9"/>
      <c r="E9" s="10"/>
      <c r="F9" s="8">
        <v>26.5</v>
      </c>
      <c r="G9" s="9"/>
      <c r="H9" s="11"/>
      <c r="I9" s="8">
        <v>25.5</v>
      </c>
      <c r="J9" s="9">
        <v>1.5</v>
      </c>
      <c r="K9" s="10"/>
      <c r="L9" s="8"/>
      <c r="M9" s="9"/>
      <c r="N9" s="10"/>
      <c r="O9" s="31"/>
      <c r="P9" s="33"/>
      <c r="Q9" s="32"/>
      <c r="R9" s="8">
        <f t="shared" si="0"/>
        <v>62</v>
      </c>
      <c r="S9" s="9">
        <f t="shared" si="1"/>
        <v>1.5</v>
      </c>
      <c r="T9" s="10">
        <f t="shared" si="2"/>
        <v>0</v>
      </c>
      <c r="U9" s="12">
        <f t="shared" si="3"/>
        <v>551.80000000000007</v>
      </c>
      <c r="V9" s="13">
        <f t="shared" si="3"/>
        <v>13.350000000000001</v>
      </c>
      <c r="W9" s="14">
        <f>T9*11.12</f>
        <v>0</v>
      </c>
      <c r="X9" s="15">
        <f t="shared" si="4"/>
        <v>565.15000000000009</v>
      </c>
    </row>
    <row r="10" spans="1:25" x14ac:dyDescent="0.25">
      <c r="A10" s="2">
        <v>11524</v>
      </c>
      <c r="B10" s="7" t="s">
        <v>125</v>
      </c>
      <c r="C10" s="8">
        <v>10</v>
      </c>
      <c r="D10" s="9"/>
      <c r="E10" s="10"/>
      <c r="F10" s="8">
        <v>32</v>
      </c>
      <c r="G10" s="9"/>
      <c r="H10" s="10"/>
      <c r="I10" s="8">
        <v>28.5</v>
      </c>
      <c r="J10" s="9">
        <v>1</v>
      </c>
      <c r="K10" s="10"/>
      <c r="L10" s="8"/>
      <c r="M10" s="9"/>
      <c r="N10" s="10"/>
      <c r="O10" s="31"/>
      <c r="P10" s="33"/>
      <c r="Q10" s="32"/>
      <c r="R10" s="31">
        <f t="shared" si="0"/>
        <v>70.5</v>
      </c>
      <c r="S10" s="9">
        <f t="shared" si="1"/>
        <v>1</v>
      </c>
      <c r="T10" s="10">
        <f t="shared" si="2"/>
        <v>0</v>
      </c>
      <c r="U10" s="12">
        <f t="shared" si="3"/>
        <v>627.45000000000005</v>
      </c>
      <c r="V10" s="13">
        <f t="shared" si="3"/>
        <v>8.9</v>
      </c>
      <c r="W10" s="14">
        <f>T10*11.12</f>
        <v>0</v>
      </c>
      <c r="X10" s="15">
        <f t="shared" si="4"/>
        <v>636.35</v>
      </c>
    </row>
    <row r="11" spans="1:25" x14ac:dyDescent="0.25">
      <c r="A11" s="3">
        <v>11490</v>
      </c>
      <c r="B11" s="7" t="s">
        <v>94</v>
      </c>
      <c r="C11" s="8">
        <v>10</v>
      </c>
      <c r="D11" s="9"/>
      <c r="E11" s="10"/>
      <c r="F11" s="8">
        <v>20.5</v>
      </c>
      <c r="G11" s="9"/>
      <c r="H11" s="11"/>
      <c r="I11" s="8">
        <v>30.5</v>
      </c>
      <c r="J11" s="9">
        <v>3.5</v>
      </c>
      <c r="K11" s="10"/>
      <c r="L11" s="8"/>
      <c r="M11" s="9"/>
      <c r="N11" s="10"/>
      <c r="O11" s="31"/>
      <c r="P11" s="20"/>
      <c r="Q11" s="32"/>
      <c r="R11" s="8">
        <f t="shared" si="0"/>
        <v>61</v>
      </c>
      <c r="S11" s="9">
        <f t="shared" si="1"/>
        <v>3.5</v>
      </c>
      <c r="T11" s="10">
        <f t="shared" si="2"/>
        <v>0</v>
      </c>
      <c r="U11" s="12">
        <f t="shared" si="3"/>
        <v>542.9</v>
      </c>
      <c r="V11" s="13">
        <f t="shared" si="3"/>
        <v>31.150000000000002</v>
      </c>
      <c r="W11" s="14">
        <f>T11*11.12</f>
        <v>0</v>
      </c>
      <c r="X11" s="15">
        <f t="shared" si="4"/>
        <v>574.04999999999995</v>
      </c>
    </row>
    <row r="12" spans="1:25" x14ac:dyDescent="0.25">
      <c r="A12" s="30">
        <v>11438</v>
      </c>
      <c r="B12" s="70" t="s">
        <v>2</v>
      </c>
      <c r="C12" s="8">
        <v>16</v>
      </c>
      <c r="D12" s="9"/>
      <c r="E12" s="10"/>
      <c r="F12" s="8">
        <f>11+9.5+11.5+10+10-12</f>
        <v>40</v>
      </c>
      <c r="G12" s="9"/>
      <c r="H12" s="10"/>
      <c r="I12" s="8"/>
      <c r="J12" s="9"/>
      <c r="K12" s="10"/>
      <c r="L12" s="8"/>
      <c r="M12" s="9"/>
      <c r="N12" s="10"/>
      <c r="O12" s="31"/>
      <c r="P12" s="35"/>
      <c r="Q12" s="11"/>
      <c r="R12" s="8">
        <f t="shared" si="0"/>
        <v>56</v>
      </c>
      <c r="S12" s="9">
        <f t="shared" si="1"/>
        <v>0</v>
      </c>
      <c r="T12" s="10">
        <f t="shared" si="2"/>
        <v>0</v>
      </c>
      <c r="U12" s="12">
        <f>R12*9.56</f>
        <v>535.36</v>
      </c>
      <c r="V12" s="13">
        <f>S12*9.56</f>
        <v>0</v>
      </c>
      <c r="W12" s="14">
        <f>T12*11.95</f>
        <v>0</v>
      </c>
      <c r="X12" s="15">
        <f t="shared" si="4"/>
        <v>535.36</v>
      </c>
    </row>
    <row r="13" spans="1:25" x14ac:dyDescent="0.25">
      <c r="A13" s="3">
        <v>11375</v>
      </c>
      <c r="B13" s="7" t="s">
        <v>99</v>
      </c>
      <c r="C13" s="8">
        <v>14</v>
      </c>
      <c r="D13" s="9">
        <v>1.5</v>
      </c>
      <c r="E13" s="10"/>
      <c r="F13" s="8">
        <v>30</v>
      </c>
      <c r="G13" s="9">
        <v>2</v>
      </c>
      <c r="H13" s="11"/>
      <c r="I13" s="8">
        <v>30.5</v>
      </c>
      <c r="J13" s="9">
        <v>3.5</v>
      </c>
      <c r="K13" s="10"/>
      <c r="L13" s="8"/>
      <c r="M13" s="9"/>
      <c r="N13" s="10"/>
      <c r="O13" s="31"/>
      <c r="P13" s="20"/>
      <c r="Q13" s="21"/>
      <c r="R13" s="8">
        <f t="shared" si="0"/>
        <v>74.5</v>
      </c>
      <c r="S13" s="9">
        <f t="shared" si="1"/>
        <v>7</v>
      </c>
      <c r="T13" s="10">
        <f t="shared" si="2"/>
        <v>0</v>
      </c>
      <c r="U13" s="12">
        <f t="shared" ref="U13:V15" si="5">R13*8.9</f>
        <v>663.05000000000007</v>
      </c>
      <c r="V13" s="13">
        <f t="shared" si="5"/>
        <v>62.300000000000004</v>
      </c>
      <c r="W13" s="14">
        <f>T13*11.12</f>
        <v>0</v>
      </c>
      <c r="X13" s="15">
        <f t="shared" si="4"/>
        <v>725.35</v>
      </c>
    </row>
    <row r="14" spans="1:25" x14ac:dyDescent="0.25">
      <c r="A14" s="3">
        <v>11505</v>
      </c>
      <c r="B14" s="7" t="s">
        <v>100</v>
      </c>
      <c r="C14" s="8">
        <v>16</v>
      </c>
      <c r="D14" s="9">
        <v>1.5</v>
      </c>
      <c r="E14" s="10"/>
      <c r="F14" s="8">
        <v>35.5</v>
      </c>
      <c r="G14" s="9"/>
      <c r="H14" s="11"/>
      <c r="I14" s="8">
        <v>30.5</v>
      </c>
      <c r="J14" s="9">
        <v>3.5</v>
      </c>
      <c r="K14" s="10"/>
      <c r="L14" s="8"/>
      <c r="M14" s="9"/>
      <c r="N14" s="10"/>
      <c r="O14" s="31"/>
      <c r="P14" s="20"/>
      <c r="Q14" s="11"/>
      <c r="R14" s="8">
        <f t="shared" si="0"/>
        <v>82</v>
      </c>
      <c r="S14" s="9">
        <f t="shared" si="1"/>
        <v>5</v>
      </c>
      <c r="T14" s="10">
        <f t="shared" si="2"/>
        <v>0</v>
      </c>
      <c r="U14" s="12">
        <f t="shared" si="5"/>
        <v>729.80000000000007</v>
      </c>
      <c r="V14" s="13">
        <f t="shared" si="5"/>
        <v>44.5</v>
      </c>
      <c r="W14" s="14">
        <f>T14*11.12</f>
        <v>0</v>
      </c>
      <c r="X14" s="15">
        <f t="shared" si="4"/>
        <v>774.30000000000007</v>
      </c>
    </row>
    <row r="15" spans="1:25" x14ac:dyDescent="0.25">
      <c r="A15" s="2">
        <v>11525</v>
      </c>
      <c r="B15" s="7" t="s">
        <v>127</v>
      </c>
      <c r="C15" s="8">
        <v>16</v>
      </c>
      <c r="D15" s="9">
        <v>4</v>
      </c>
      <c r="E15" s="10">
        <v>6</v>
      </c>
      <c r="F15" s="8">
        <v>41.5</v>
      </c>
      <c r="G15" s="9"/>
      <c r="H15" s="10"/>
      <c r="I15" s="8">
        <v>30.5</v>
      </c>
      <c r="J15" s="9">
        <v>3.5</v>
      </c>
      <c r="K15" s="10"/>
      <c r="L15" s="8"/>
      <c r="M15" s="9"/>
      <c r="N15" s="10"/>
      <c r="O15" s="31"/>
      <c r="P15" s="33"/>
      <c r="Q15" s="32"/>
      <c r="R15" s="31">
        <f t="shared" si="0"/>
        <v>88</v>
      </c>
      <c r="S15" s="9">
        <f t="shared" si="1"/>
        <v>7.5</v>
      </c>
      <c r="T15" s="10">
        <f t="shared" si="2"/>
        <v>6</v>
      </c>
      <c r="U15" s="12">
        <f t="shared" si="5"/>
        <v>783.2</v>
      </c>
      <c r="V15" s="13">
        <f t="shared" si="5"/>
        <v>66.75</v>
      </c>
      <c r="W15" s="14">
        <f>T15*11.12</f>
        <v>66.72</v>
      </c>
      <c r="X15" s="15">
        <f t="shared" si="4"/>
        <v>916.67000000000007</v>
      </c>
    </row>
    <row r="16" spans="1:25" x14ac:dyDescent="0.25">
      <c r="A16" s="30">
        <v>2096</v>
      </c>
      <c r="B16" s="70" t="s">
        <v>7</v>
      </c>
      <c r="C16" s="8">
        <v>16</v>
      </c>
      <c r="D16" s="9">
        <v>12</v>
      </c>
      <c r="E16" s="10">
        <v>11.5</v>
      </c>
      <c r="F16" s="8">
        <v>40</v>
      </c>
      <c r="G16" s="9">
        <v>6.5</v>
      </c>
      <c r="H16" s="11">
        <v>6</v>
      </c>
      <c r="I16" s="8">
        <v>32</v>
      </c>
      <c r="J16" s="9">
        <v>17.5</v>
      </c>
      <c r="K16" s="10">
        <v>19</v>
      </c>
      <c r="L16" s="8"/>
      <c r="M16" s="9"/>
      <c r="N16" s="10"/>
      <c r="O16" s="31"/>
      <c r="P16" s="33"/>
      <c r="Q16" s="32"/>
      <c r="R16" s="8">
        <f t="shared" si="0"/>
        <v>88</v>
      </c>
      <c r="S16" s="9">
        <f t="shared" si="1"/>
        <v>36</v>
      </c>
      <c r="T16" s="10">
        <f t="shared" si="2"/>
        <v>36.5</v>
      </c>
      <c r="U16" s="12">
        <f>R16*9.56</f>
        <v>841.28000000000009</v>
      </c>
      <c r="V16" s="13">
        <f>S16*9.56</f>
        <v>344.16</v>
      </c>
      <c r="W16" s="14">
        <f>T16*11.95</f>
        <v>436.17499999999995</v>
      </c>
      <c r="X16" s="15">
        <f t="shared" si="4"/>
        <v>1621.615</v>
      </c>
    </row>
    <row r="17" spans="1:26" x14ac:dyDescent="0.25">
      <c r="A17" s="72">
        <v>11461</v>
      </c>
      <c r="B17" s="71" t="s">
        <v>50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8">
        <f>C17+F17+I17+L17+O17</f>
        <v>0</v>
      </c>
      <c r="S17" s="9">
        <f>D17+G17+J17+M17+P17</f>
        <v>0</v>
      </c>
      <c r="T17" s="10">
        <f>E17+H17+K17+N17+Q17</f>
        <v>0</v>
      </c>
      <c r="U17" s="12">
        <f>R17*8.9</f>
        <v>0</v>
      </c>
      <c r="V17" s="13">
        <f>S17*8.9</f>
        <v>0</v>
      </c>
      <c r="W17" s="14">
        <f>T17*11.12</f>
        <v>0</v>
      </c>
      <c r="X17" s="15">
        <f>SUM(U17:W17)</f>
        <v>0</v>
      </c>
      <c r="Y17" s="52" t="s">
        <v>144</v>
      </c>
    </row>
    <row r="18" spans="1:26" x14ac:dyDescent="0.25">
      <c r="A18" s="2">
        <v>11523</v>
      </c>
      <c r="B18" s="7" t="s">
        <v>126</v>
      </c>
      <c r="C18" s="8">
        <v>10</v>
      </c>
      <c r="D18" s="9"/>
      <c r="E18" s="10"/>
      <c r="F18" s="8">
        <v>35.5</v>
      </c>
      <c r="G18" s="9"/>
      <c r="H18" s="10"/>
      <c r="I18" s="8">
        <v>28.5</v>
      </c>
      <c r="J18" s="9">
        <v>1</v>
      </c>
      <c r="K18" s="10"/>
      <c r="L18" s="8"/>
      <c r="M18" s="9"/>
      <c r="N18" s="10"/>
      <c r="O18" s="31"/>
      <c r="P18" s="33"/>
      <c r="Q18" s="32"/>
      <c r="R18" s="31">
        <f t="shared" si="0"/>
        <v>74</v>
      </c>
      <c r="S18" s="9">
        <f t="shared" si="1"/>
        <v>1</v>
      </c>
      <c r="T18" s="10">
        <f t="shared" si="2"/>
        <v>0</v>
      </c>
      <c r="U18" s="12">
        <f t="shared" ref="U18:V20" si="6">R18*8.9</f>
        <v>658.6</v>
      </c>
      <c r="V18" s="13">
        <f t="shared" si="6"/>
        <v>8.9</v>
      </c>
      <c r="W18" s="14">
        <f>T18*11.12</f>
        <v>0</v>
      </c>
      <c r="X18" s="15">
        <f t="shared" si="4"/>
        <v>667.5</v>
      </c>
    </row>
    <row r="19" spans="1:26" x14ac:dyDescent="0.25">
      <c r="A19" s="3">
        <v>11483</v>
      </c>
      <c r="B19" s="7" t="s">
        <v>19</v>
      </c>
      <c r="C19" s="8">
        <v>10</v>
      </c>
      <c r="D19" s="9"/>
      <c r="E19" s="10"/>
      <c r="F19" s="8">
        <v>28.5</v>
      </c>
      <c r="G19" s="9"/>
      <c r="H19" s="10"/>
      <c r="I19" s="8">
        <v>24</v>
      </c>
      <c r="J19" s="9">
        <v>3.5</v>
      </c>
      <c r="K19" s="10"/>
      <c r="L19" s="8"/>
      <c r="M19" s="9"/>
      <c r="N19" s="10"/>
      <c r="O19" s="31"/>
      <c r="P19" s="33"/>
      <c r="Q19" s="21"/>
      <c r="R19" s="8">
        <f t="shared" si="0"/>
        <v>62.5</v>
      </c>
      <c r="S19" s="9">
        <f t="shared" si="1"/>
        <v>3.5</v>
      </c>
      <c r="T19" s="10">
        <f t="shared" si="2"/>
        <v>0</v>
      </c>
      <c r="U19" s="12">
        <f t="shared" si="6"/>
        <v>556.25</v>
      </c>
      <c r="V19" s="13">
        <f t="shared" si="6"/>
        <v>31.150000000000002</v>
      </c>
      <c r="W19" s="14">
        <f>T19*11.12</f>
        <v>0</v>
      </c>
      <c r="X19" s="15">
        <f t="shared" si="4"/>
        <v>587.4</v>
      </c>
      <c r="Y19" s="1" t="s">
        <v>131</v>
      </c>
    </row>
    <row r="20" spans="1:26" x14ac:dyDescent="0.25">
      <c r="A20" s="3">
        <v>11487</v>
      </c>
      <c r="B20" s="7" t="s">
        <v>20</v>
      </c>
      <c r="C20" s="8">
        <v>10</v>
      </c>
      <c r="D20" s="9"/>
      <c r="E20" s="10"/>
      <c r="F20" s="8">
        <v>22</v>
      </c>
      <c r="G20" s="9"/>
      <c r="H20" s="11"/>
      <c r="I20" s="8">
        <v>22.5</v>
      </c>
      <c r="J20" s="9">
        <v>3.5</v>
      </c>
      <c r="K20" s="10"/>
      <c r="L20" s="8"/>
      <c r="M20" s="9"/>
      <c r="N20" s="10"/>
      <c r="O20" s="31"/>
      <c r="P20" s="20"/>
      <c r="Q20" s="32"/>
      <c r="R20" s="8">
        <f t="shared" si="0"/>
        <v>54.5</v>
      </c>
      <c r="S20" s="9">
        <f t="shared" si="1"/>
        <v>3.5</v>
      </c>
      <c r="T20" s="10">
        <f t="shared" si="2"/>
        <v>0</v>
      </c>
      <c r="U20" s="12">
        <f t="shared" si="6"/>
        <v>485.05</v>
      </c>
      <c r="V20" s="13">
        <f t="shared" si="6"/>
        <v>31.150000000000002</v>
      </c>
      <c r="W20" s="14">
        <f>T20*11.12</f>
        <v>0</v>
      </c>
      <c r="X20" s="15">
        <f t="shared" si="4"/>
        <v>516.20000000000005</v>
      </c>
    </row>
    <row r="21" spans="1:26" x14ac:dyDescent="0.25">
      <c r="C21" s="7">
        <f>SUM(C7:C20)</f>
        <v>148</v>
      </c>
      <c r="D21" s="7">
        <f t="shared" ref="D21:X21" si="7">SUM(D7:D20)</f>
        <v>19</v>
      </c>
      <c r="E21" s="7">
        <f t="shared" si="7"/>
        <v>17.5</v>
      </c>
      <c r="F21" s="7">
        <f t="shared" si="7"/>
        <v>379.5</v>
      </c>
      <c r="G21" s="7">
        <f t="shared" si="7"/>
        <v>8.5</v>
      </c>
      <c r="H21" s="7">
        <f t="shared" si="7"/>
        <v>6</v>
      </c>
      <c r="I21" s="7">
        <f>SUM(I7:I20)</f>
        <v>305.5</v>
      </c>
      <c r="J21" s="7">
        <f t="shared" si="7"/>
        <v>45.5</v>
      </c>
      <c r="K21" s="7">
        <f t="shared" si="7"/>
        <v>19</v>
      </c>
      <c r="L21" s="7">
        <f t="shared" si="7"/>
        <v>0</v>
      </c>
      <c r="M21" s="7">
        <f t="shared" si="7"/>
        <v>0</v>
      </c>
      <c r="N21" s="7">
        <f>SUM(N7:N20)</f>
        <v>0</v>
      </c>
      <c r="O21" s="7">
        <f t="shared" si="7"/>
        <v>0</v>
      </c>
      <c r="P21" s="7">
        <f t="shared" si="7"/>
        <v>0</v>
      </c>
      <c r="Q21" s="7">
        <f t="shared" si="7"/>
        <v>0</v>
      </c>
      <c r="R21" s="53">
        <f t="shared" si="7"/>
        <v>833</v>
      </c>
      <c r="S21" s="53">
        <f t="shared" si="7"/>
        <v>73</v>
      </c>
      <c r="T21" s="53">
        <f t="shared" si="7"/>
        <v>42.5</v>
      </c>
      <c r="U21" s="54">
        <f t="shared" si="7"/>
        <v>7508.7400000000007</v>
      </c>
      <c r="V21" s="54">
        <f t="shared" si="7"/>
        <v>673.45999999999992</v>
      </c>
      <c r="W21" s="54">
        <f t="shared" si="7"/>
        <v>502.89499999999998</v>
      </c>
      <c r="X21" s="54">
        <f t="shared" si="7"/>
        <v>8685.0949999999993</v>
      </c>
    </row>
    <row r="22" spans="1:26" x14ac:dyDescent="0.25">
      <c r="R22" s="17">
        <f>+R21-R11-R12</f>
        <v>716</v>
      </c>
      <c r="V22" s="17">
        <f>+V21-V11-V12</f>
        <v>642.30999999999995</v>
      </c>
      <c r="W22" s="17">
        <f t="shared" ref="W22" si="8">+W21-W11-W12</f>
        <v>502.89499999999998</v>
      </c>
      <c r="Y22" s="57"/>
      <c r="Z22" s="57">
        <f>W12+W16+W42+W72+W71</f>
        <v>866.375</v>
      </c>
    </row>
    <row r="23" spans="1:26" x14ac:dyDescent="0.25">
      <c r="R23" s="56">
        <f>R21-R12-R16+R56</f>
        <v>689</v>
      </c>
      <c r="S23" s="56"/>
      <c r="T23" s="56"/>
      <c r="U23" s="56"/>
      <c r="V23" s="56">
        <f t="shared" ref="V23:W23" si="9">V21-V12-V16+V56</f>
        <v>329.2999999999999</v>
      </c>
      <c r="W23" s="56">
        <f t="shared" si="9"/>
        <v>66.720000000000027</v>
      </c>
    </row>
    <row r="24" spans="1:26" ht="18.75" x14ac:dyDescent="0.25">
      <c r="A24" s="146" t="s">
        <v>53</v>
      </c>
      <c r="B24" s="147"/>
      <c r="C24" s="143" t="s">
        <v>8</v>
      </c>
      <c r="D24" s="143"/>
      <c r="E24" s="143"/>
      <c r="F24" s="143" t="s">
        <v>8</v>
      </c>
      <c r="G24" s="143"/>
      <c r="H24" s="143"/>
      <c r="I24" s="143" t="s">
        <v>8</v>
      </c>
      <c r="J24" s="143"/>
      <c r="K24" s="143"/>
      <c r="L24" s="143" t="s">
        <v>8</v>
      </c>
      <c r="M24" s="143"/>
      <c r="N24" s="143"/>
      <c r="O24" s="145" t="s">
        <v>8</v>
      </c>
      <c r="P24" s="145"/>
      <c r="Q24" s="145"/>
      <c r="R24" s="143" t="s">
        <v>13</v>
      </c>
      <c r="S24" s="143"/>
      <c r="T24" s="143"/>
      <c r="U24" s="143" t="s">
        <v>12</v>
      </c>
      <c r="V24" s="143"/>
      <c r="W24" s="143"/>
      <c r="X24" s="143"/>
    </row>
    <row r="25" spans="1:26" ht="15" customHeight="1" x14ac:dyDescent="0.25">
      <c r="A25" s="2" t="s">
        <v>0</v>
      </c>
      <c r="B25" s="7" t="s">
        <v>1</v>
      </c>
      <c r="C25" s="144" t="s">
        <v>139</v>
      </c>
      <c r="D25" s="144"/>
      <c r="E25" s="144"/>
      <c r="F25" s="144" t="s">
        <v>140</v>
      </c>
      <c r="G25" s="144"/>
      <c r="H25" s="144"/>
      <c r="I25" s="144" t="s">
        <v>141</v>
      </c>
      <c r="J25" s="144"/>
      <c r="K25" s="144"/>
      <c r="L25" s="145" t="s">
        <v>142</v>
      </c>
      <c r="M25" s="145"/>
      <c r="N25" s="145"/>
      <c r="O25" s="145" t="s">
        <v>143</v>
      </c>
      <c r="P25" s="145"/>
      <c r="Q25" s="145"/>
      <c r="R25" s="6" t="s">
        <v>11</v>
      </c>
      <c r="S25" s="6" t="s">
        <v>10</v>
      </c>
      <c r="T25" s="6" t="s">
        <v>9</v>
      </c>
      <c r="U25" s="6" t="s">
        <v>11</v>
      </c>
      <c r="V25" s="6" t="s">
        <v>10</v>
      </c>
      <c r="W25" s="6" t="s">
        <v>9</v>
      </c>
      <c r="X25" s="7" t="s">
        <v>14</v>
      </c>
    </row>
    <row r="26" spans="1:26" x14ac:dyDescent="0.25">
      <c r="A26" s="4">
        <v>11411</v>
      </c>
      <c r="B26" s="71" t="s">
        <v>22</v>
      </c>
      <c r="C26" s="8">
        <v>14</v>
      </c>
      <c r="D26" s="9"/>
      <c r="E26" s="10"/>
      <c r="F26" s="8">
        <v>36</v>
      </c>
      <c r="G26" s="9">
        <v>3</v>
      </c>
      <c r="H26" s="10">
        <v>6</v>
      </c>
      <c r="I26" s="8">
        <v>28</v>
      </c>
      <c r="J26" s="9"/>
      <c r="K26" s="10">
        <v>7</v>
      </c>
      <c r="L26" s="8"/>
      <c r="M26" s="9"/>
      <c r="N26" s="10"/>
      <c r="O26" s="19"/>
      <c r="P26" s="20"/>
      <c r="Q26" s="21"/>
      <c r="R26" s="8">
        <f t="shared" ref="R26:R60" si="10">C26+F26+I26+L26+O26</f>
        <v>78</v>
      </c>
      <c r="S26" s="9">
        <f t="shared" ref="S26:S60" si="11">D26+G26+J26+M26+P26</f>
        <v>3</v>
      </c>
      <c r="T26" s="10">
        <f t="shared" ref="T26:T60" si="12">E26+H26+K26+N26+Q26</f>
        <v>13</v>
      </c>
      <c r="U26" s="12">
        <f t="shared" ref="U26:U60" si="13">R26*8.9</f>
        <v>694.2</v>
      </c>
      <c r="V26" s="13">
        <f t="shared" ref="V26:V60" si="14">S26*8.9</f>
        <v>26.700000000000003</v>
      </c>
      <c r="W26" s="14">
        <f t="shared" ref="W26:W60" si="15">T26*11.12</f>
        <v>144.56</v>
      </c>
      <c r="X26" s="15">
        <f t="shared" ref="X26:X60" si="16">SUM(U26:W26)</f>
        <v>865.46</v>
      </c>
    </row>
    <row r="27" spans="1:26" x14ac:dyDescent="0.25">
      <c r="A27" s="4">
        <v>11414</v>
      </c>
      <c r="B27" s="71" t="s">
        <v>23</v>
      </c>
      <c r="C27" s="8">
        <v>20</v>
      </c>
      <c r="D27" s="9"/>
      <c r="E27" s="10"/>
      <c r="F27" s="8">
        <v>34</v>
      </c>
      <c r="G27" s="9"/>
      <c r="H27" s="10">
        <v>6</v>
      </c>
      <c r="I27" s="8">
        <v>27</v>
      </c>
      <c r="J27" s="9"/>
      <c r="K27" s="10">
        <v>15</v>
      </c>
      <c r="L27" s="8"/>
      <c r="M27" s="9"/>
      <c r="N27" s="10"/>
      <c r="O27" s="19"/>
      <c r="P27" s="20"/>
      <c r="Q27" s="21"/>
      <c r="R27" s="8">
        <f t="shared" si="10"/>
        <v>81</v>
      </c>
      <c r="S27" s="9">
        <f t="shared" si="11"/>
        <v>0</v>
      </c>
      <c r="T27" s="10">
        <f t="shared" si="12"/>
        <v>21</v>
      </c>
      <c r="U27" s="12">
        <f t="shared" si="13"/>
        <v>720.9</v>
      </c>
      <c r="V27" s="13">
        <f t="shared" si="14"/>
        <v>0</v>
      </c>
      <c r="W27" s="14">
        <f>T27*11.12</f>
        <v>233.51999999999998</v>
      </c>
      <c r="X27" s="15">
        <f t="shared" si="16"/>
        <v>954.42</v>
      </c>
    </row>
    <row r="28" spans="1:26" x14ac:dyDescent="0.25">
      <c r="A28" s="4">
        <v>11453</v>
      </c>
      <c r="B28" s="71" t="s">
        <v>24</v>
      </c>
      <c r="C28" s="8">
        <v>20</v>
      </c>
      <c r="D28" s="9"/>
      <c r="E28" s="10"/>
      <c r="F28" s="8">
        <v>40</v>
      </c>
      <c r="G28" s="9"/>
      <c r="H28" s="10"/>
      <c r="I28" s="8">
        <v>20</v>
      </c>
      <c r="J28" s="9"/>
      <c r="K28" s="10">
        <v>15</v>
      </c>
      <c r="L28" s="8"/>
      <c r="M28" s="9"/>
      <c r="N28" s="10"/>
      <c r="O28" s="19"/>
      <c r="P28" s="20"/>
      <c r="Q28" s="21"/>
      <c r="R28" s="8">
        <f t="shared" si="10"/>
        <v>80</v>
      </c>
      <c r="S28" s="9">
        <f t="shared" si="11"/>
        <v>0</v>
      </c>
      <c r="T28" s="10">
        <f t="shared" si="12"/>
        <v>15</v>
      </c>
      <c r="U28" s="12">
        <f t="shared" si="13"/>
        <v>712</v>
      </c>
      <c r="V28" s="13">
        <f t="shared" si="14"/>
        <v>0</v>
      </c>
      <c r="W28" s="14">
        <f t="shared" si="15"/>
        <v>166.79999999999998</v>
      </c>
      <c r="X28" s="15">
        <f t="shared" si="16"/>
        <v>878.8</v>
      </c>
    </row>
    <row r="29" spans="1:26" x14ac:dyDescent="0.25">
      <c r="A29" s="4">
        <v>11451</v>
      </c>
      <c r="B29" s="38" t="s">
        <v>25</v>
      </c>
      <c r="C29" s="8"/>
      <c r="D29" s="9"/>
      <c r="E29" s="10"/>
      <c r="F29" s="41"/>
      <c r="G29" s="41"/>
      <c r="H29" s="41"/>
      <c r="I29" s="41"/>
      <c r="J29" s="41"/>
      <c r="K29" s="41"/>
      <c r="L29" s="41"/>
      <c r="M29" s="41"/>
      <c r="N29" s="41"/>
      <c r="O29" s="43"/>
      <c r="P29" s="42"/>
      <c r="Q29" s="42"/>
      <c r="R29" s="8">
        <f t="shared" si="10"/>
        <v>0</v>
      </c>
      <c r="S29" s="9">
        <f t="shared" si="11"/>
        <v>0</v>
      </c>
      <c r="T29" s="10">
        <f t="shared" si="12"/>
        <v>0</v>
      </c>
      <c r="U29" s="12">
        <f t="shared" si="13"/>
        <v>0</v>
      </c>
      <c r="V29" s="13">
        <f t="shared" si="14"/>
        <v>0</v>
      </c>
      <c r="W29" s="14">
        <f t="shared" si="15"/>
        <v>0</v>
      </c>
      <c r="X29" s="15">
        <f t="shared" si="16"/>
        <v>0</v>
      </c>
    </row>
    <row r="30" spans="1:26" x14ac:dyDescent="0.25">
      <c r="A30" s="4">
        <v>11415</v>
      </c>
      <c r="B30" s="71" t="s">
        <v>26</v>
      </c>
      <c r="C30" s="8">
        <v>20</v>
      </c>
      <c r="D30" s="9"/>
      <c r="E30" s="10"/>
      <c r="F30" s="8">
        <v>34</v>
      </c>
      <c r="G30" s="9"/>
      <c r="H30" s="10">
        <v>6</v>
      </c>
      <c r="I30" s="8">
        <v>27</v>
      </c>
      <c r="J30" s="9"/>
      <c r="K30" s="10">
        <v>15</v>
      </c>
      <c r="L30" s="8"/>
      <c r="M30" s="9"/>
      <c r="N30" s="10"/>
      <c r="O30" s="19"/>
      <c r="P30" s="20"/>
      <c r="Q30" s="21"/>
      <c r="R30" s="8">
        <f t="shared" si="10"/>
        <v>81</v>
      </c>
      <c r="S30" s="9">
        <f t="shared" si="11"/>
        <v>0</v>
      </c>
      <c r="T30" s="10">
        <f t="shared" si="12"/>
        <v>21</v>
      </c>
      <c r="U30" s="12">
        <f t="shared" si="13"/>
        <v>720.9</v>
      </c>
      <c r="V30" s="13">
        <f t="shared" si="14"/>
        <v>0</v>
      </c>
      <c r="W30" s="14">
        <f t="shared" si="15"/>
        <v>233.51999999999998</v>
      </c>
      <c r="X30" s="15">
        <f t="shared" si="16"/>
        <v>954.42</v>
      </c>
    </row>
    <row r="31" spans="1:26" x14ac:dyDescent="0.25">
      <c r="A31" s="4">
        <v>11413</v>
      </c>
      <c r="B31" s="71" t="s">
        <v>27</v>
      </c>
      <c r="C31" s="8">
        <v>20</v>
      </c>
      <c r="D31" s="9"/>
      <c r="E31" s="10"/>
      <c r="F31" s="8">
        <v>34</v>
      </c>
      <c r="G31" s="9"/>
      <c r="H31" s="10">
        <v>6</v>
      </c>
      <c r="I31" s="8">
        <v>27</v>
      </c>
      <c r="J31" s="9"/>
      <c r="K31" s="10">
        <v>11</v>
      </c>
      <c r="L31" s="8"/>
      <c r="M31" s="9"/>
      <c r="N31" s="10"/>
      <c r="O31" s="19"/>
      <c r="P31" s="20"/>
      <c r="Q31" s="21"/>
      <c r="R31" s="8">
        <f t="shared" si="10"/>
        <v>81</v>
      </c>
      <c r="S31" s="9">
        <f t="shared" si="11"/>
        <v>0</v>
      </c>
      <c r="T31" s="10">
        <f t="shared" si="12"/>
        <v>17</v>
      </c>
      <c r="U31" s="12">
        <f t="shared" si="13"/>
        <v>720.9</v>
      </c>
      <c r="V31" s="13">
        <f t="shared" si="14"/>
        <v>0</v>
      </c>
      <c r="W31" s="14">
        <f t="shared" si="15"/>
        <v>189.04</v>
      </c>
      <c r="X31" s="15">
        <f t="shared" si="16"/>
        <v>909.93999999999994</v>
      </c>
    </row>
    <row r="32" spans="1:26" x14ac:dyDescent="0.25">
      <c r="A32" s="4">
        <v>11503</v>
      </c>
      <c r="B32" s="38" t="s">
        <v>17</v>
      </c>
      <c r="C32" s="74"/>
      <c r="D32" s="74"/>
      <c r="E32" s="74"/>
      <c r="F32" s="74"/>
      <c r="G32" s="74"/>
      <c r="H32" s="74"/>
      <c r="I32" s="8">
        <v>27</v>
      </c>
      <c r="J32" s="9"/>
      <c r="K32" s="10">
        <v>6</v>
      </c>
      <c r="L32" s="8"/>
      <c r="M32" s="9"/>
      <c r="N32" s="10"/>
      <c r="O32" s="19"/>
      <c r="P32" s="20"/>
      <c r="Q32" s="21"/>
      <c r="R32" s="8">
        <f>C32+F32+I32+L32+O32</f>
        <v>27</v>
      </c>
      <c r="S32" s="9">
        <f>D32+G32+J32+M32+P32</f>
        <v>0</v>
      </c>
      <c r="T32" s="10">
        <f>E32+H32+K32+N32+Q32</f>
        <v>6</v>
      </c>
      <c r="U32" s="12">
        <f>R32*8.9</f>
        <v>240.3</v>
      </c>
      <c r="V32" s="13">
        <f>S32*8.9</f>
        <v>0</v>
      </c>
      <c r="W32" s="14">
        <f>T32*11.12</f>
        <v>66.72</v>
      </c>
      <c r="X32" s="15">
        <f>SUM(U32:W32)</f>
        <v>307.02</v>
      </c>
    </row>
    <row r="33" spans="1:25" x14ac:dyDescent="0.25">
      <c r="A33" s="28">
        <v>11450</v>
      </c>
      <c r="B33" s="39" t="s">
        <v>28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3"/>
      <c r="P33" s="42"/>
      <c r="Q33" s="42"/>
      <c r="R33" s="8">
        <f t="shared" si="10"/>
        <v>0</v>
      </c>
      <c r="S33" s="9">
        <f t="shared" si="11"/>
        <v>0</v>
      </c>
      <c r="T33" s="10">
        <f t="shared" si="12"/>
        <v>0</v>
      </c>
      <c r="U33" s="12">
        <f>R33*9.56</f>
        <v>0</v>
      </c>
      <c r="V33" s="13">
        <f>S33*9.56</f>
        <v>0</v>
      </c>
      <c r="W33" s="14">
        <f>T33*11.95</f>
        <v>0</v>
      </c>
      <c r="X33" s="15">
        <f t="shared" si="16"/>
        <v>0</v>
      </c>
    </row>
    <row r="34" spans="1:25" x14ac:dyDescent="0.25">
      <c r="A34" s="4">
        <v>11473</v>
      </c>
      <c r="B34" s="71" t="s">
        <v>29</v>
      </c>
      <c r="C34" s="8">
        <v>20</v>
      </c>
      <c r="D34" s="9"/>
      <c r="E34" s="10"/>
      <c r="F34" s="8">
        <v>34</v>
      </c>
      <c r="G34" s="9"/>
      <c r="H34" s="10">
        <v>6</v>
      </c>
      <c r="I34" s="8">
        <v>27</v>
      </c>
      <c r="J34" s="9"/>
      <c r="K34" s="10">
        <v>15</v>
      </c>
      <c r="L34" s="8"/>
      <c r="M34" s="9"/>
      <c r="N34" s="10"/>
      <c r="O34" s="19"/>
      <c r="P34" s="20"/>
      <c r="Q34" s="21"/>
      <c r="R34" s="8">
        <f t="shared" si="10"/>
        <v>81</v>
      </c>
      <c r="S34" s="9">
        <f t="shared" si="11"/>
        <v>0</v>
      </c>
      <c r="T34" s="10">
        <f t="shared" si="12"/>
        <v>21</v>
      </c>
      <c r="U34" s="12">
        <f t="shared" si="13"/>
        <v>720.9</v>
      </c>
      <c r="V34" s="13">
        <f t="shared" si="14"/>
        <v>0</v>
      </c>
      <c r="W34" s="14">
        <f t="shared" si="15"/>
        <v>233.51999999999998</v>
      </c>
      <c r="X34" s="15">
        <f t="shared" si="16"/>
        <v>954.42</v>
      </c>
    </row>
    <row r="35" spans="1:25" x14ac:dyDescent="0.25">
      <c r="A35" s="4">
        <v>11454</v>
      </c>
      <c r="B35" s="71" t="s">
        <v>30</v>
      </c>
      <c r="C35" s="8"/>
      <c r="D35" s="9"/>
      <c r="E35" s="10"/>
      <c r="F35" s="8"/>
      <c r="G35" s="9"/>
      <c r="H35" s="10"/>
      <c r="I35" s="8"/>
      <c r="J35" s="9"/>
      <c r="K35" s="10"/>
      <c r="L35" s="8"/>
      <c r="M35" s="9"/>
      <c r="N35" s="10"/>
      <c r="O35" s="19"/>
      <c r="P35" s="20"/>
      <c r="Q35" s="21"/>
      <c r="R35" s="8">
        <f t="shared" si="10"/>
        <v>0</v>
      </c>
      <c r="S35" s="9">
        <f t="shared" si="11"/>
        <v>0</v>
      </c>
      <c r="T35" s="10">
        <f t="shared" si="12"/>
        <v>0</v>
      </c>
      <c r="U35" s="12">
        <f t="shared" si="13"/>
        <v>0</v>
      </c>
      <c r="V35" s="13">
        <f t="shared" si="14"/>
        <v>0</v>
      </c>
      <c r="W35" s="14">
        <f t="shared" si="15"/>
        <v>0</v>
      </c>
      <c r="X35" s="15">
        <f t="shared" si="16"/>
        <v>0</v>
      </c>
    </row>
    <row r="36" spans="1:25" x14ac:dyDescent="0.25">
      <c r="A36" s="4">
        <v>11479</v>
      </c>
      <c r="B36" s="38" t="s">
        <v>31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2"/>
      <c r="P36" s="42"/>
      <c r="Q36" s="42"/>
      <c r="R36" s="8">
        <f t="shared" si="10"/>
        <v>0</v>
      </c>
      <c r="S36" s="9">
        <f t="shared" si="11"/>
        <v>0</v>
      </c>
      <c r="T36" s="10">
        <f t="shared" si="12"/>
        <v>0</v>
      </c>
      <c r="U36" s="12">
        <f t="shared" si="13"/>
        <v>0</v>
      </c>
      <c r="V36" s="13">
        <f t="shared" si="14"/>
        <v>0</v>
      </c>
      <c r="W36" s="14">
        <f t="shared" si="15"/>
        <v>0</v>
      </c>
      <c r="X36" s="15">
        <f t="shared" si="16"/>
        <v>0</v>
      </c>
    </row>
    <row r="37" spans="1:25" x14ac:dyDescent="0.25">
      <c r="A37" s="4">
        <v>11489</v>
      </c>
      <c r="B37" s="38" t="s">
        <v>32</v>
      </c>
      <c r="C37" s="8"/>
      <c r="D37" s="9"/>
      <c r="E37" s="10"/>
      <c r="F37" s="8"/>
      <c r="G37" s="9"/>
      <c r="H37" s="10"/>
      <c r="I37" s="8"/>
      <c r="J37" s="9"/>
      <c r="K37" s="10"/>
      <c r="L37" s="8"/>
      <c r="M37" s="9"/>
      <c r="N37" s="10"/>
      <c r="O37" s="19"/>
      <c r="P37" s="20"/>
      <c r="Q37" s="21"/>
      <c r="R37" s="8">
        <f t="shared" si="10"/>
        <v>0</v>
      </c>
      <c r="S37" s="9">
        <f t="shared" si="11"/>
        <v>0</v>
      </c>
      <c r="T37" s="10">
        <f t="shared" si="12"/>
        <v>0</v>
      </c>
      <c r="U37" s="12">
        <f t="shared" si="13"/>
        <v>0</v>
      </c>
      <c r="V37" s="13">
        <f t="shared" si="14"/>
        <v>0</v>
      </c>
      <c r="W37" s="14">
        <f t="shared" si="15"/>
        <v>0</v>
      </c>
      <c r="X37" s="15">
        <f t="shared" si="16"/>
        <v>0</v>
      </c>
    </row>
    <row r="38" spans="1:25" x14ac:dyDescent="0.25">
      <c r="A38" s="4">
        <v>11423</v>
      </c>
      <c r="B38" s="71" t="s">
        <v>33</v>
      </c>
      <c r="C38" s="8">
        <v>20</v>
      </c>
      <c r="D38" s="9"/>
      <c r="E38" s="10"/>
      <c r="F38" s="8">
        <v>34</v>
      </c>
      <c r="G38" s="9"/>
      <c r="H38" s="10"/>
      <c r="I38" s="8">
        <v>27</v>
      </c>
      <c r="J38" s="9"/>
      <c r="K38" s="10">
        <v>6</v>
      </c>
      <c r="L38" s="8"/>
      <c r="M38" s="9"/>
      <c r="N38" s="10"/>
      <c r="O38" s="19"/>
      <c r="P38" s="20"/>
      <c r="Q38" s="21"/>
      <c r="R38" s="8">
        <f t="shared" si="10"/>
        <v>81</v>
      </c>
      <c r="S38" s="9">
        <f t="shared" si="11"/>
        <v>0</v>
      </c>
      <c r="T38" s="10">
        <f t="shared" si="12"/>
        <v>6</v>
      </c>
      <c r="U38" s="12">
        <f t="shared" si="13"/>
        <v>720.9</v>
      </c>
      <c r="V38" s="13">
        <f t="shared" si="14"/>
        <v>0</v>
      </c>
      <c r="W38" s="14">
        <f t="shared" si="15"/>
        <v>66.72</v>
      </c>
      <c r="X38" s="15">
        <f t="shared" si="16"/>
        <v>787.62</v>
      </c>
    </row>
    <row r="39" spans="1:25" x14ac:dyDescent="0.25">
      <c r="A39" s="4">
        <v>11464</v>
      </c>
      <c r="B39" s="38" t="s">
        <v>97</v>
      </c>
      <c r="C39" s="8"/>
      <c r="D39" s="9"/>
      <c r="E39" s="10"/>
      <c r="F39" s="41"/>
      <c r="G39" s="41"/>
      <c r="H39" s="41"/>
      <c r="I39" s="41"/>
      <c r="J39" s="41"/>
      <c r="K39" s="41"/>
      <c r="L39" s="41"/>
      <c r="M39" s="41"/>
      <c r="N39" s="41"/>
      <c r="O39" s="43"/>
      <c r="P39" s="42"/>
      <c r="Q39" s="42"/>
      <c r="R39" s="8">
        <f t="shared" si="10"/>
        <v>0</v>
      </c>
      <c r="S39" s="9">
        <f t="shared" si="11"/>
        <v>0</v>
      </c>
      <c r="T39" s="10">
        <f t="shared" si="12"/>
        <v>0</v>
      </c>
      <c r="U39" s="12">
        <f t="shared" si="13"/>
        <v>0</v>
      </c>
      <c r="V39" s="13">
        <f t="shared" si="14"/>
        <v>0</v>
      </c>
      <c r="W39" s="14">
        <f t="shared" si="15"/>
        <v>0</v>
      </c>
      <c r="X39" s="15">
        <f t="shared" si="16"/>
        <v>0</v>
      </c>
    </row>
    <row r="40" spans="1:25" x14ac:dyDescent="0.25">
      <c r="A40" s="4">
        <v>11492</v>
      </c>
      <c r="B40" s="38" t="s">
        <v>95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2"/>
      <c r="P40" s="42"/>
      <c r="Q40" s="42"/>
      <c r="R40" s="8">
        <f>C40+F40+I40+L40+O40</f>
        <v>0</v>
      </c>
      <c r="S40" s="9">
        <f t="shared" ref="S40" si="17">D40+G40+J40+M40+P40</f>
        <v>0</v>
      </c>
      <c r="T40" s="10">
        <f t="shared" ref="T40" si="18">E40+H40+K40+N40+Q40</f>
        <v>0</v>
      </c>
      <c r="U40" s="12">
        <f t="shared" ref="U40" si="19">R40*8.9</f>
        <v>0</v>
      </c>
      <c r="V40" s="13">
        <f t="shared" ref="V40" si="20">S40*8.9</f>
        <v>0</v>
      </c>
      <c r="W40" s="14">
        <f t="shared" ref="W40" si="21">T40*11.12</f>
        <v>0</v>
      </c>
      <c r="X40" s="15">
        <f t="shared" ref="X40" si="22">SUM(U40:W40)</f>
        <v>0</v>
      </c>
    </row>
    <row r="41" spans="1:25" x14ac:dyDescent="0.25">
      <c r="A41" s="4">
        <v>11465</v>
      </c>
      <c r="B41" s="38" t="s">
        <v>34</v>
      </c>
      <c r="C41" s="41">
        <v>16</v>
      </c>
      <c r="D41" s="41">
        <v>6</v>
      </c>
      <c r="E41" s="41">
        <v>7</v>
      </c>
      <c r="F41" s="41">
        <v>32</v>
      </c>
      <c r="G41" s="41">
        <v>5</v>
      </c>
      <c r="H41" s="41"/>
      <c r="I41" s="41"/>
      <c r="J41" s="41"/>
      <c r="K41" s="41"/>
      <c r="L41" s="41"/>
      <c r="M41" s="41"/>
      <c r="N41" s="41"/>
      <c r="O41" s="43"/>
      <c r="P41" s="43"/>
      <c r="Q41" s="43"/>
      <c r="R41" s="8">
        <f t="shared" si="10"/>
        <v>48</v>
      </c>
      <c r="S41" s="9">
        <f t="shared" si="11"/>
        <v>11</v>
      </c>
      <c r="T41" s="10">
        <f t="shared" si="12"/>
        <v>7</v>
      </c>
      <c r="U41" s="12">
        <f t="shared" si="13"/>
        <v>427.20000000000005</v>
      </c>
      <c r="V41" s="13">
        <f t="shared" si="14"/>
        <v>97.9</v>
      </c>
      <c r="W41" s="14">
        <f t="shared" si="15"/>
        <v>77.839999999999989</v>
      </c>
      <c r="X41" s="15">
        <f t="shared" si="16"/>
        <v>602.94000000000005</v>
      </c>
      <c r="Y41" s="52" t="s">
        <v>145</v>
      </c>
    </row>
    <row r="42" spans="1:25" x14ac:dyDescent="0.25">
      <c r="A42" s="28">
        <v>11292</v>
      </c>
      <c r="B42" s="73" t="s">
        <v>4</v>
      </c>
      <c r="C42" s="8">
        <v>16</v>
      </c>
      <c r="D42" s="9">
        <v>8</v>
      </c>
      <c r="E42" s="10">
        <v>7</v>
      </c>
      <c r="F42" s="8">
        <v>40</v>
      </c>
      <c r="G42" s="9">
        <v>22</v>
      </c>
      <c r="H42" s="10">
        <v>7</v>
      </c>
      <c r="I42" s="8">
        <v>32</v>
      </c>
      <c r="J42" s="9"/>
      <c r="K42" s="10">
        <v>17</v>
      </c>
      <c r="L42" s="8"/>
      <c r="M42" s="9"/>
      <c r="N42" s="10"/>
      <c r="O42" s="31"/>
      <c r="P42" s="33"/>
      <c r="Q42" s="21"/>
      <c r="R42" s="8">
        <f>C42+F42+I42+L42+O42</f>
        <v>88</v>
      </c>
      <c r="S42" s="9">
        <f>D42+G42+J42+M42+P42</f>
        <v>30</v>
      </c>
      <c r="T42" s="10">
        <f>E42+H42+K42+N42+Q42</f>
        <v>31</v>
      </c>
      <c r="U42" s="12">
        <f>R42*9.56</f>
        <v>841.28000000000009</v>
      </c>
      <c r="V42" s="13">
        <f>S42*9.56</f>
        <v>286.8</v>
      </c>
      <c r="W42" s="14">
        <f>T42*11.95</f>
        <v>370.45</v>
      </c>
      <c r="X42" s="15">
        <f>SUM(U42:W42)</f>
        <v>1498.5300000000002</v>
      </c>
      <c r="Y42" s="76" t="s">
        <v>129</v>
      </c>
    </row>
    <row r="43" spans="1:25" x14ac:dyDescent="0.25">
      <c r="A43" s="4">
        <v>11474</v>
      </c>
      <c r="B43" s="38" t="s">
        <v>35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2"/>
      <c r="P43" s="42"/>
      <c r="Q43" s="42"/>
      <c r="R43" s="8">
        <f t="shared" si="10"/>
        <v>0</v>
      </c>
      <c r="S43" s="9">
        <f t="shared" si="11"/>
        <v>0</v>
      </c>
      <c r="T43" s="10">
        <f t="shared" si="12"/>
        <v>0</v>
      </c>
      <c r="U43" s="12">
        <f t="shared" si="13"/>
        <v>0</v>
      </c>
      <c r="V43" s="13">
        <f t="shared" si="14"/>
        <v>0</v>
      </c>
      <c r="W43" s="14">
        <f t="shared" si="15"/>
        <v>0</v>
      </c>
      <c r="X43" s="15">
        <f t="shared" si="16"/>
        <v>0</v>
      </c>
    </row>
    <row r="44" spans="1:25" x14ac:dyDescent="0.25">
      <c r="A44" s="4">
        <v>11462</v>
      </c>
      <c r="B44" s="38" t="s">
        <v>36</v>
      </c>
      <c r="C44" s="8"/>
      <c r="D44" s="9"/>
      <c r="E44" s="10"/>
      <c r="F44" s="8"/>
      <c r="G44" s="9"/>
      <c r="H44" s="10"/>
      <c r="I44" s="8"/>
      <c r="J44" s="9"/>
      <c r="K44" s="10"/>
      <c r="L44" s="8"/>
      <c r="M44" s="9"/>
      <c r="N44" s="10"/>
      <c r="O44" s="19"/>
      <c r="P44" s="20"/>
      <c r="Q44" s="21"/>
      <c r="R44" s="8">
        <f t="shared" si="10"/>
        <v>0</v>
      </c>
      <c r="S44" s="9">
        <f t="shared" si="11"/>
        <v>0</v>
      </c>
      <c r="T44" s="10">
        <f t="shared" si="12"/>
        <v>0</v>
      </c>
      <c r="U44" s="12">
        <f t="shared" si="13"/>
        <v>0</v>
      </c>
      <c r="V44" s="13">
        <f t="shared" si="14"/>
        <v>0</v>
      </c>
      <c r="W44" s="14">
        <f t="shared" si="15"/>
        <v>0</v>
      </c>
      <c r="X44" s="15">
        <f t="shared" si="16"/>
        <v>0</v>
      </c>
    </row>
    <row r="45" spans="1:25" x14ac:dyDescent="0.25">
      <c r="A45" s="4">
        <v>11441</v>
      </c>
      <c r="B45" s="38" t="s">
        <v>37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2"/>
      <c r="P45" s="42"/>
      <c r="Q45" s="42"/>
      <c r="R45" s="8">
        <f t="shared" si="10"/>
        <v>0</v>
      </c>
      <c r="S45" s="9">
        <f t="shared" si="11"/>
        <v>0</v>
      </c>
      <c r="T45" s="10">
        <f t="shared" si="12"/>
        <v>0</v>
      </c>
      <c r="U45" s="12">
        <f t="shared" si="13"/>
        <v>0</v>
      </c>
      <c r="V45" s="13">
        <f t="shared" si="14"/>
        <v>0</v>
      </c>
      <c r="W45" s="14">
        <f t="shared" si="15"/>
        <v>0</v>
      </c>
      <c r="X45" s="15">
        <f t="shared" si="16"/>
        <v>0</v>
      </c>
    </row>
    <row r="46" spans="1:25" x14ac:dyDescent="0.25">
      <c r="A46" s="28">
        <v>11376</v>
      </c>
      <c r="B46" s="39" t="s">
        <v>38</v>
      </c>
      <c r="C46" s="8"/>
      <c r="D46" s="9"/>
      <c r="E46" s="10"/>
      <c r="F46" s="8">
        <v>40</v>
      </c>
      <c r="G46" s="9"/>
      <c r="H46" s="10"/>
      <c r="I46" s="8"/>
      <c r="J46" s="9"/>
      <c r="K46" s="10"/>
      <c r="L46" s="8"/>
      <c r="M46" s="9"/>
      <c r="N46" s="10"/>
      <c r="O46" s="31"/>
      <c r="P46" s="33"/>
      <c r="Q46" s="32"/>
      <c r="R46" s="8">
        <f t="shared" si="10"/>
        <v>40</v>
      </c>
      <c r="S46" s="9">
        <f t="shared" si="11"/>
        <v>0</v>
      </c>
      <c r="T46" s="10">
        <f t="shared" si="12"/>
        <v>0</v>
      </c>
      <c r="U46" s="12">
        <f>R46*9.56</f>
        <v>382.40000000000003</v>
      </c>
      <c r="V46" s="13">
        <f>S46*9.56</f>
        <v>0</v>
      </c>
      <c r="W46" s="14">
        <f>T46*11.95</f>
        <v>0</v>
      </c>
      <c r="X46" s="15">
        <f t="shared" si="16"/>
        <v>382.40000000000003</v>
      </c>
    </row>
    <row r="47" spans="1:25" x14ac:dyDescent="0.25">
      <c r="A47" s="4">
        <v>11420</v>
      </c>
      <c r="B47" s="71" t="s">
        <v>39</v>
      </c>
      <c r="C47" s="8">
        <v>20</v>
      </c>
      <c r="D47" s="9"/>
      <c r="E47" s="10"/>
      <c r="F47" s="8">
        <v>32.5</v>
      </c>
      <c r="G47" s="9"/>
      <c r="H47" s="10">
        <v>6</v>
      </c>
      <c r="I47" s="8">
        <v>27</v>
      </c>
      <c r="J47" s="9"/>
      <c r="K47" s="10">
        <v>11</v>
      </c>
      <c r="L47" s="8"/>
      <c r="M47" s="9"/>
      <c r="N47" s="10"/>
      <c r="O47" s="19"/>
      <c r="P47" s="20"/>
      <c r="Q47" s="21"/>
      <c r="R47" s="8">
        <f t="shared" si="10"/>
        <v>79.5</v>
      </c>
      <c r="S47" s="9">
        <f t="shared" si="11"/>
        <v>0</v>
      </c>
      <c r="T47" s="10">
        <f t="shared" si="12"/>
        <v>17</v>
      </c>
      <c r="U47" s="12">
        <f t="shared" si="13"/>
        <v>707.55000000000007</v>
      </c>
      <c r="V47" s="13">
        <f t="shared" si="14"/>
        <v>0</v>
      </c>
      <c r="W47" s="14">
        <f t="shared" si="15"/>
        <v>189.04</v>
      </c>
      <c r="X47" s="15">
        <f t="shared" si="16"/>
        <v>896.59</v>
      </c>
    </row>
    <row r="48" spans="1:25" x14ac:dyDescent="0.25">
      <c r="A48" s="4">
        <v>11442</v>
      </c>
      <c r="B48" s="38" t="s">
        <v>40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2"/>
      <c r="P48" s="42"/>
      <c r="Q48" s="42"/>
      <c r="R48" s="8">
        <f t="shared" si="10"/>
        <v>0</v>
      </c>
      <c r="S48" s="9">
        <f t="shared" si="11"/>
        <v>0</v>
      </c>
      <c r="T48" s="10">
        <f t="shared" si="12"/>
        <v>0</v>
      </c>
      <c r="U48" s="12">
        <f t="shared" si="13"/>
        <v>0</v>
      </c>
      <c r="V48" s="13">
        <f t="shared" si="14"/>
        <v>0</v>
      </c>
      <c r="W48" s="14">
        <f t="shared" si="15"/>
        <v>0</v>
      </c>
      <c r="X48" s="15">
        <f t="shared" si="16"/>
        <v>0</v>
      </c>
    </row>
    <row r="49" spans="1:26" x14ac:dyDescent="0.25">
      <c r="A49" s="29">
        <v>11439</v>
      </c>
      <c r="B49" s="40" t="s">
        <v>41</v>
      </c>
      <c r="C49" s="8"/>
      <c r="D49" s="9"/>
      <c r="E49" s="10"/>
      <c r="F49" s="8"/>
      <c r="G49" s="9"/>
      <c r="H49" s="10"/>
      <c r="I49" s="8"/>
      <c r="J49" s="9"/>
      <c r="K49" s="10"/>
      <c r="L49" s="8"/>
      <c r="M49" s="9"/>
      <c r="N49" s="10"/>
      <c r="O49" s="19"/>
      <c r="P49" s="20"/>
      <c r="Q49" s="21"/>
      <c r="R49" s="8">
        <f t="shared" si="10"/>
        <v>0</v>
      </c>
      <c r="S49" s="9">
        <f t="shared" si="11"/>
        <v>0</v>
      </c>
      <c r="T49" s="10">
        <f t="shared" si="12"/>
        <v>0</v>
      </c>
      <c r="U49" s="12">
        <f t="shared" si="13"/>
        <v>0</v>
      </c>
      <c r="V49" s="13">
        <f t="shared" si="14"/>
        <v>0</v>
      </c>
      <c r="W49" s="14">
        <f t="shared" si="15"/>
        <v>0</v>
      </c>
      <c r="X49" s="15">
        <f t="shared" si="16"/>
        <v>0</v>
      </c>
    </row>
    <row r="50" spans="1:26" x14ac:dyDescent="0.25">
      <c r="A50" s="4">
        <v>11471</v>
      </c>
      <c r="B50" s="38" t="s">
        <v>42</v>
      </c>
      <c r="C50" s="8"/>
      <c r="D50" s="9"/>
      <c r="E50" s="10"/>
      <c r="F50" s="41"/>
      <c r="G50" s="41"/>
      <c r="H50" s="41"/>
      <c r="I50" s="41"/>
      <c r="J50" s="41"/>
      <c r="K50" s="41"/>
      <c r="L50" s="41"/>
      <c r="M50" s="41"/>
      <c r="N50" s="41"/>
      <c r="O50" s="44"/>
      <c r="P50" s="42"/>
      <c r="Q50" s="43"/>
      <c r="R50" s="8">
        <f t="shared" si="10"/>
        <v>0</v>
      </c>
      <c r="S50" s="9">
        <f t="shared" si="11"/>
        <v>0</v>
      </c>
      <c r="T50" s="10">
        <f t="shared" si="12"/>
        <v>0</v>
      </c>
      <c r="U50" s="12">
        <f t="shared" si="13"/>
        <v>0</v>
      </c>
      <c r="V50" s="13">
        <f t="shared" si="14"/>
        <v>0</v>
      </c>
      <c r="W50" s="14">
        <f t="shared" si="15"/>
        <v>0</v>
      </c>
      <c r="X50" s="15">
        <f t="shared" si="16"/>
        <v>0</v>
      </c>
    </row>
    <row r="51" spans="1:26" x14ac:dyDescent="0.25">
      <c r="A51" s="4">
        <v>11472</v>
      </c>
      <c r="B51" s="38" t="s">
        <v>43</v>
      </c>
      <c r="C51" s="8"/>
      <c r="D51" s="9"/>
      <c r="E51" s="10"/>
      <c r="F51" s="41"/>
      <c r="G51" s="41"/>
      <c r="H51" s="41"/>
      <c r="I51" s="41"/>
      <c r="J51" s="41"/>
      <c r="K51" s="41"/>
      <c r="L51" s="41"/>
      <c r="M51" s="41"/>
      <c r="N51" s="41"/>
      <c r="O51" s="43"/>
      <c r="P51" s="43"/>
      <c r="Q51" s="43"/>
      <c r="R51" s="8">
        <f t="shared" si="10"/>
        <v>0</v>
      </c>
      <c r="S51" s="9">
        <f t="shared" si="11"/>
        <v>0</v>
      </c>
      <c r="T51" s="10">
        <f t="shared" si="12"/>
        <v>0</v>
      </c>
      <c r="U51" s="12">
        <f t="shared" si="13"/>
        <v>0</v>
      </c>
      <c r="V51" s="13">
        <f t="shared" si="14"/>
        <v>0</v>
      </c>
      <c r="W51" s="14">
        <f t="shared" si="15"/>
        <v>0</v>
      </c>
      <c r="X51" s="15">
        <f t="shared" si="16"/>
        <v>0</v>
      </c>
    </row>
    <row r="52" spans="1:26" x14ac:dyDescent="0.25">
      <c r="A52" s="4">
        <v>11460</v>
      </c>
      <c r="B52" s="38" t="s">
        <v>44</v>
      </c>
      <c r="C52" s="8"/>
      <c r="D52" s="9"/>
      <c r="E52" s="10"/>
      <c r="F52" s="41"/>
      <c r="G52" s="41"/>
      <c r="H52" s="41"/>
      <c r="I52" s="41"/>
      <c r="J52" s="41"/>
      <c r="K52" s="41"/>
      <c r="L52" s="41"/>
      <c r="M52" s="41"/>
      <c r="N52" s="41"/>
      <c r="O52" s="42"/>
      <c r="P52" s="42"/>
      <c r="Q52" s="42"/>
      <c r="R52" s="8">
        <f t="shared" si="10"/>
        <v>0</v>
      </c>
      <c r="S52" s="9">
        <f t="shared" si="11"/>
        <v>0</v>
      </c>
      <c r="T52" s="10">
        <f t="shared" si="12"/>
        <v>0</v>
      </c>
      <c r="U52" s="12">
        <f t="shared" si="13"/>
        <v>0</v>
      </c>
      <c r="V52" s="13">
        <f t="shared" si="14"/>
        <v>0</v>
      </c>
      <c r="W52" s="14">
        <f t="shared" si="15"/>
        <v>0</v>
      </c>
      <c r="X52" s="15">
        <f t="shared" si="16"/>
        <v>0</v>
      </c>
    </row>
    <row r="53" spans="1:26" x14ac:dyDescent="0.25">
      <c r="A53" s="4">
        <v>11419</v>
      </c>
      <c r="B53" s="71" t="s">
        <v>45</v>
      </c>
      <c r="C53" s="8">
        <v>13</v>
      </c>
      <c r="D53" s="9"/>
      <c r="E53" s="10"/>
      <c r="F53" s="8">
        <v>34</v>
      </c>
      <c r="G53" s="9"/>
      <c r="H53" s="10">
        <v>6</v>
      </c>
      <c r="I53" s="8">
        <v>17</v>
      </c>
      <c r="J53" s="9"/>
      <c r="K53" s="10">
        <v>15</v>
      </c>
      <c r="L53" s="8"/>
      <c r="M53" s="9"/>
      <c r="N53" s="10"/>
      <c r="O53" s="19"/>
      <c r="P53" s="20"/>
      <c r="Q53" s="21"/>
      <c r="R53" s="8">
        <f t="shared" si="10"/>
        <v>64</v>
      </c>
      <c r="S53" s="9">
        <f t="shared" si="11"/>
        <v>0</v>
      </c>
      <c r="T53" s="10">
        <f t="shared" si="12"/>
        <v>21</v>
      </c>
      <c r="U53" s="12">
        <f t="shared" si="13"/>
        <v>569.6</v>
      </c>
      <c r="V53" s="13">
        <f t="shared" si="14"/>
        <v>0</v>
      </c>
      <c r="W53" s="14">
        <f t="shared" si="15"/>
        <v>233.51999999999998</v>
      </c>
      <c r="X53" s="15">
        <f t="shared" si="16"/>
        <v>803.12</v>
      </c>
    </row>
    <row r="54" spans="1:26" x14ac:dyDescent="0.25">
      <c r="A54" s="4">
        <v>11416</v>
      </c>
      <c r="B54" s="71" t="s">
        <v>46</v>
      </c>
      <c r="C54" s="8">
        <v>20</v>
      </c>
      <c r="D54" s="9"/>
      <c r="E54" s="10"/>
      <c r="F54" s="8">
        <v>34</v>
      </c>
      <c r="G54" s="9"/>
      <c r="H54" s="10">
        <v>6</v>
      </c>
      <c r="I54" s="8">
        <v>27</v>
      </c>
      <c r="J54" s="9"/>
      <c r="K54" s="10">
        <v>11</v>
      </c>
      <c r="L54" s="8"/>
      <c r="M54" s="9"/>
      <c r="N54" s="10"/>
      <c r="O54" s="19"/>
      <c r="P54" s="20"/>
      <c r="Q54" s="21"/>
      <c r="R54" s="8">
        <f t="shared" si="10"/>
        <v>81</v>
      </c>
      <c r="S54" s="9">
        <f t="shared" si="11"/>
        <v>0</v>
      </c>
      <c r="T54" s="10">
        <f t="shared" si="12"/>
        <v>17</v>
      </c>
      <c r="U54" s="12">
        <f t="shared" si="13"/>
        <v>720.9</v>
      </c>
      <c r="V54" s="13">
        <f t="shared" si="14"/>
        <v>0</v>
      </c>
      <c r="W54" s="14">
        <f t="shared" si="15"/>
        <v>189.04</v>
      </c>
      <c r="X54" s="15">
        <f t="shared" si="16"/>
        <v>909.93999999999994</v>
      </c>
    </row>
    <row r="55" spans="1:26" x14ac:dyDescent="0.25">
      <c r="A55" s="4">
        <v>11452</v>
      </c>
      <c r="B55" s="38" t="s">
        <v>47</v>
      </c>
      <c r="C55" s="8"/>
      <c r="D55" s="9"/>
      <c r="E55" s="10"/>
      <c r="F55" s="41"/>
      <c r="G55" s="41"/>
      <c r="H55" s="41"/>
      <c r="I55" s="41"/>
      <c r="J55" s="41"/>
      <c r="K55" s="41"/>
      <c r="L55" s="41"/>
      <c r="M55" s="41"/>
      <c r="N55" s="41"/>
      <c r="O55" s="43"/>
      <c r="P55" s="42"/>
      <c r="Q55" s="42"/>
      <c r="R55" s="8">
        <f t="shared" si="10"/>
        <v>0</v>
      </c>
      <c r="S55" s="9">
        <f t="shared" si="11"/>
        <v>0</v>
      </c>
      <c r="T55" s="10">
        <f t="shared" si="12"/>
        <v>0</v>
      </c>
      <c r="U55" s="12">
        <f t="shared" si="13"/>
        <v>0</v>
      </c>
      <c r="V55" s="13">
        <f t="shared" si="14"/>
        <v>0</v>
      </c>
      <c r="W55" s="14">
        <f t="shared" si="15"/>
        <v>0</v>
      </c>
      <c r="X55" s="15">
        <f t="shared" si="16"/>
        <v>0</v>
      </c>
    </row>
    <row r="56" spans="1:26" x14ac:dyDescent="0.25">
      <c r="A56" s="4">
        <v>11459</v>
      </c>
      <c r="B56" s="38" t="s">
        <v>48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3"/>
      <c r="P56" s="43"/>
      <c r="Q56" s="42"/>
      <c r="R56" s="8">
        <f t="shared" si="10"/>
        <v>0</v>
      </c>
      <c r="S56" s="9">
        <f t="shared" si="11"/>
        <v>0</v>
      </c>
      <c r="T56" s="10">
        <f t="shared" si="12"/>
        <v>0</v>
      </c>
      <c r="U56" s="12">
        <f t="shared" si="13"/>
        <v>0</v>
      </c>
      <c r="V56" s="13">
        <f t="shared" si="14"/>
        <v>0</v>
      </c>
      <c r="W56" s="14">
        <f t="shared" si="15"/>
        <v>0</v>
      </c>
      <c r="X56" s="15">
        <f t="shared" si="16"/>
        <v>0</v>
      </c>
      <c r="Y56" s="52" t="s">
        <v>150</v>
      </c>
    </row>
    <row r="57" spans="1:26" x14ac:dyDescent="0.25">
      <c r="A57" s="4">
        <v>11470</v>
      </c>
      <c r="B57" s="38" t="s">
        <v>49</v>
      </c>
      <c r="C57" s="8"/>
      <c r="D57" s="9"/>
      <c r="E57" s="10"/>
      <c r="F57" s="41"/>
      <c r="G57" s="41"/>
      <c r="H57" s="41"/>
      <c r="I57" s="41"/>
      <c r="J57" s="41"/>
      <c r="K57" s="41"/>
      <c r="L57" s="41"/>
      <c r="M57" s="41"/>
      <c r="N57" s="41"/>
      <c r="O57" s="43"/>
      <c r="P57" s="42"/>
      <c r="Q57" s="42"/>
      <c r="R57" s="8">
        <f t="shared" si="10"/>
        <v>0</v>
      </c>
      <c r="S57" s="9">
        <f t="shared" si="11"/>
        <v>0</v>
      </c>
      <c r="T57" s="10">
        <f t="shared" si="12"/>
        <v>0</v>
      </c>
      <c r="U57" s="12">
        <f t="shared" si="13"/>
        <v>0</v>
      </c>
      <c r="V57" s="13">
        <f t="shared" si="14"/>
        <v>0</v>
      </c>
      <c r="W57" s="14">
        <f t="shared" si="15"/>
        <v>0</v>
      </c>
      <c r="X57" s="15">
        <f t="shared" si="16"/>
        <v>0</v>
      </c>
    </row>
    <row r="58" spans="1:26" x14ac:dyDescent="0.25">
      <c r="A58" s="4">
        <v>11491</v>
      </c>
      <c r="B58" s="38" t="s">
        <v>96</v>
      </c>
      <c r="C58" s="8"/>
      <c r="D58" s="9"/>
      <c r="E58" s="10"/>
      <c r="F58" s="41"/>
      <c r="G58" s="41"/>
      <c r="H58" s="41"/>
      <c r="I58" s="41"/>
      <c r="J58" s="41"/>
      <c r="K58" s="41"/>
      <c r="L58" s="41"/>
      <c r="M58" s="41"/>
      <c r="N58" s="41"/>
      <c r="O58" s="43"/>
      <c r="P58" s="43"/>
      <c r="Q58" s="43"/>
      <c r="R58" s="8">
        <f>C58+F58+I58+L58+O58</f>
        <v>0</v>
      </c>
      <c r="S58" s="9">
        <f>D58+G58+J58+M58+P58</f>
        <v>0</v>
      </c>
      <c r="T58" s="10">
        <f>E58+H58+K58+N58+Q58</f>
        <v>0</v>
      </c>
      <c r="U58" s="12">
        <f>R58*8.9</f>
        <v>0</v>
      </c>
      <c r="V58" s="13">
        <f>S58*8.9</f>
        <v>0</v>
      </c>
      <c r="W58" s="14">
        <f>T58*11.12</f>
        <v>0</v>
      </c>
      <c r="X58" s="15">
        <f>SUM(U58:W58)</f>
        <v>0</v>
      </c>
      <c r="Z58" s="1">
        <f>5+4+6+4+5+4+5+6.5+1+9+7+2+6+1+2+9</f>
        <v>76.5</v>
      </c>
    </row>
    <row r="59" spans="1:26" x14ac:dyDescent="0.25">
      <c r="A59" s="4">
        <v>11412</v>
      </c>
      <c r="B59" s="38" t="s">
        <v>51</v>
      </c>
      <c r="C59" s="8"/>
      <c r="D59" s="9"/>
      <c r="E59" s="10"/>
      <c r="F59" s="8"/>
      <c r="G59" s="9"/>
      <c r="H59" s="10"/>
      <c r="I59" s="8"/>
      <c r="J59" s="9"/>
      <c r="K59" s="10"/>
      <c r="L59" s="8"/>
      <c r="M59" s="9"/>
      <c r="N59" s="10"/>
      <c r="O59" s="19"/>
      <c r="P59" s="20"/>
      <c r="Q59" s="21"/>
      <c r="R59" s="8">
        <f t="shared" si="10"/>
        <v>0</v>
      </c>
      <c r="S59" s="9">
        <f t="shared" si="11"/>
        <v>0</v>
      </c>
      <c r="T59" s="10">
        <f t="shared" si="12"/>
        <v>0</v>
      </c>
      <c r="U59" s="12">
        <f t="shared" si="13"/>
        <v>0</v>
      </c>
      <c r="V59" s="13">
        <f t="shared" si="14"/>
        <v>0</v>
      </c>
      <c r="W59" s="14">
        <f t="shared" si="15"/>
        <v>0</v>
      </c>
      <c r="X59" s="15">
        <f t="shared" si="16"/>
        <v>0</v>
      </c>
    </row>
    <row r="60" spans="1:26" x14ac:dyDescent="0.25">
      <c r="A60" s="4">
        <v>11418</v>
      </c>
      <c r="B60" s="38" t="s">
        <v>52</v>
      </c>
      <c r="C60" s="8"/>
      <c r="D60" s="9"/>
      <c r="E60" s="10"/>
      <c r="F60" s="8"/>
      <c r="G60" s="9"/>
      <c r="H60" s="10"/>
      <c r="I60" s="8"/>
      <c r="J60" s="9"/>
      <c r="K60" s="10"/>
      <c r="L60" s="8"/>
      <c r="M60" s="9"/>
      <c r="N60" s="10"/>
      <c r="O60" s="19"/>
      <c r="P60" s="20"/>
      <c r="Q60" s="21"/>
      <c r="R60" s="8">
        <f t="shared" si="10"/>
        <v>0</v>
      </c>
      <c r="S60" s="9">
        <f t="shared" si="11"/>
        <v>0</v>
      </c>
      <c r="T60" s="10">
        <f t="shared" si="12"/>
        <v>0</v>
      </c>
      <c r="U60" s="12">
        <f t="shared" si="13"/>
        <v>0</v>
      </c>
      <c r="V60" s="13">
        <f t="shared" si="14"/>
        <v>0</v>
      </c>
      <c r="W60" s="14">
        <f t="shared" si="15"/>
        <v>0</v>
      </c>
      <c r="X60" s="15">
        <f t="shared" si="16"/>
        <v>0</v>
      </c>
    </row>
    <row r="61" spans="1:26" x14ac:dyDescent="0.25">
      <c r="C61" s="7">
        <f t="shared" ref="C61:X61" si="23">SUM(C26:C60)</f>
        <v>219</v>
      </c>
      <c r="D61" s="7">
        <f t="shared" si="23"/>
        <v>14</v>
      </c>
      <c r="E61" s="7">
        <f t="shared" si="23"/>
        <v>14</v>
      </c>
      <c r="F61" s="7">
        <f t="shared" si="23"/>
        <v>458.5</v>
      </c>
      <c r="G61" s="7">
        <f t="shared" si="23"/>
        <v>30</v>
      </c>
      <c r="H61" s="7">
        <f t="shared" si="23"/>
        <v>55</v>
      </c>
      <c r="I61" s="7">
        <f t="shared" si="23"/>
        <v>313</v>
      </c>
      <c r="J61" s="7">
        <f t="shared" si="23"/>
        <v>0</v>
      </c>
      <c r="K61" s="7">
        <f t="shared" si="23"/>
        <v>144</v>
      </c>
      <c r="L61" s="7">
        <f t="shared" si="23"/>
        <v>0</v>
      </c>
      <c r="M61" s="7">
        <f t="shared" si="23"/>
        <v>0</v>
      </c>
      <c r="N61" s="7">
        <f t="shared" si="23"/>
        <v>0</v>
      </c>
      <c r="O61" s="22">
        <f t="shared" si="23"/>
        <v>0</v>
      </c>
      <c r="P61" s="22">
        <f t="shared" si="23"/>
        <v>0</v>
      </c>
      <c r="Q61" s="22">
        <f t="shared" si="23"/>
        <v>0</v>
      </c>
      <c r="R61" s="7">
        <f t="shared" si="23"/>
        <v>990.5</v>
      </c>
      <c r="S61" s="7">
        <f t="shared" si="23"/>
        <v>44</v>
      </c>
      <c r="T61" s="7">
        <f t="shared" si="23"/>
        <v>213</v>
      </c>
      <c r="U61" s="16">
        <f t="shared" si="23"/>
        <v>8899.93</v>
      </c>
      <c r="V61" s="16">
        <f t="shared" si="23"/>
        <v>411.40000000000003</v>
      </c>
      <c r="W61" s="16">
        <f t="shared" si="23"/>
        <v>2394.29</v>
      </c>
      <c r="X61" s="15">
        <f t="shared" si="23"/>
        <v>11705.62</v>
      </c>
    </row>
    <row r="62" spans="1:26" x14ac:dyDescent="0.25">
      <c r="L62" s="5">
        <f>94+83.5+88+88+88-L21-L61-M21-M61</f>
        <v>441.5</v>
      </c>
      <c r="N62" s="5">
        <f>76.5-N21-N61</f>
        <v>76.5</v>
      </c>
      <c r="R62" s="5">
        <f>+R61-R27-R28-R30-R31-R35-R42-R47-R49-R59</f>
        <v>500</v>
      </c>
    </row>
    <row r="64" spans="1:26" ht="18.75" x14ac:dyDescent="0.25">
      <c r="A64" s="146" t="s">
        <v>82</v>
      </c>
      <c r="B64" s="147"/>
      <c r="C64" s="143" t="s">
        <v>8</v>
      </c>
      <c r="D64" s="143"/>
      <c r="E64" s="143"/>
      <c r="F64" s="143" t="s">
        <v>8</v>
      </c>
      <c r="G64" s="143"/>
      <c r="H64" s="143"/>
      <c r="I64" s="143" t="s">
        <v>8</v>
      </c>
      <c r="J64" s="143"/>
      <c r="K64" s="143"/>
      <c r="L64" s="143" t="s">
        <v>8</v>
      </c>
      <c r="M64" s="143"/>
      <c r="N64" s="143"/>
      <c r="O64" s="145" t="s">
        <v>8</v>
      </c>
      <c r="P64" s="145"/>
      <c r="Q64" s="145"/>
      <c r="R64" s="143" t="s">
        <v>13</v>
      </c>
      <c r="S64" s="143"/>
      <c r="T64" s="143"/>
      <c r="U64" s="143" t="s">
        <v>12</v>
      </c>
      <c r="V64" s="143"/>
      <c r="W64" s="143"/>
      <c r="X64" s="143"/>
    </row>
    <row r="65" spans="1:25" ht="15" customHeight="1" x14ac:dyDescent="0.25">
      <c r="A65" s="2" t="s">
        <v>0</v>
      </c>
      <c r="B65" s="7" t="s">
        <v>1</v>
      </c>
      <c r="C65" s="144" t="s">
        <v>139</v>
      </c>
      <c r="D65" s="144"/>
      <c r="E65" s="144"/>
      <c r="F65" s="144" t="s">
        <v>140</v>
      </c>
      <c r="G65" s="144"/>
      <c r="H65" s="144"/>
      <c r="I65" s="143" t="s">
        <v>141</v>
      </c>
      <c r="J65" s="143"/>
      <c r="K65" s="143"/>
      <c r="L65" s="145" t="s">
        <v>142</v>
      </c>
      <c r="M65" s="145"/>
      <c r="N65" s="145"/>
      <c r="O65" s="145" t="s">
        <v>143</v>
      </c>
      <c r="P65" s="145"/>
      <c r="Q65" s="145"/>
      <c r="R65" s="6" t="s">
        <v>11</v>
      </c>
      <c r="S65" s="6" t="s">
        <v>10</v>
      </c>
      <c r="T65" s="6" t="s">
        <v>9</v>
      </c>
      <c r="U65" s="6" t="s">
        <v>11</v>
      </c>
      <c r="V65" s="6" t="s">
        <v>10</v>
      </c>
      <c r="W65" s="6" t="s">
        <v>9</v>
      </c>
      <c r="X65" s="7" t="s">
        <v>14</v>
      </c>
    </row>
    <row r="66" spans="1:25" x14ac:dyDescent="0.25">
      <c r="A66" s="2">
        <v>11494</v>
      </c>
      <c r="B66" s="77" t="s">
        <v>85</v>
      </c>
      <c r="C66" s="8">
        <v>7</v>
      </c>
      <c r="D66" s="9"/>
      <c r="E66" s="10"/>
      <c r="F66" s="8">
        <v>35</v>
      </c>
      <c r="G66" s="9"/>
      <c r="H66" s="10"/>
      <c r="I66" s="8"/>
      <c r="J66" s="9"/>
      <c r="K66" s="10"/>
      <c r="L66" s="8"/>
      <c r="M66" s="9"/>
      <c r="N66" s="10"/>
      <c r="O66" s="31"/>
      <c r="P66" s="33"/>
      <c r="Q66" s="32"/>
      <c r="R66" s="8">
        <f t="shared" ref="R66:R96" si="24">C66+F66+I66+L66+O66</f>
        <v>42</v>
      </c>
      <c r="S66" s="9">
        <f t="shared" ref="S66:S96" si="25">D66+G66+J66+M66+P66</f>
        <v>0</v>
      </c>
      <c r="T66" s="10">
        <f t="shared" ref="T66:T96" si="26">E66+H66+K66+N66+Q66</f>
        <v>0</v>
      </c>
      <c r="U66" s="12">
        <f>R66*8.9</f>
        <v>373.8</v>
      </c>
      <c r="V66" s="13">
        <f>S66*8.9</f>
        <v>0</v>
      </c>
      <c r="W66" s="14">
        <f>T66*11.12</f>
        <v>0</v>
      </c>
      <c r="X66" s="15">
        <f t="shared" ref="X66:X96" si="27">SUM(U66:W66)</f>
        <v>373.8</v>
      </c>
    </row>
    <row r="67" spans="1:25" x14ac:dyDescent="0.25">
      <c r="A67" s="2">
        <v>11449</v>
      </c>
      <c r="B67" s="36" t="s">
        <v>59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2"/>
      <c r="Q67" s="42"/>
      <c r="R67" s="8">
        <f t="shared" si="24"/>
        <v>0</v>
      </c>
      <c r="S67" s="9">
        <f t="shared" si="25"/>
        <v>0</v>
      </c>
      <c r="T67" s="10">
        <f t="shared" si="26"/>
        <v>0</v>
      </c>
      <c r="U67" s="12">
        <f>R67*8.9</f>
        <v>0</v>
      </c>
      <c r="V67" s="13">
        <f>S67*8.9</f>
        <v>0</v>
      </c>
      <c r="W67" s="14">
        <f>T67*11.12</f>
        <v>0</v>
      </c>
      <c r="X67" s="15">
        <f t="shared" si="27"/>
        <v>0</v>
      </c>
    </row>
    <row r="68" spans="1:25" x14ac:dyDescent="0.25">
      <c r="A68" s="27">
        <v>11290</v>
      </c>
      <c r="B68" s="37" t="s">
        <v>3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2"/>
      <c r="Q68" s="42"/>
      <c r="R68" s="8">
        <f t="shared" si="24"/>
        <v>0</v>
      </c>
      <c r="S68" s="9">
        <f t="shared" si="25"/>
        <v>0</v>
      </c>
      <c r="T68" s="10">
        <f t="shared" si="26"/>
        <v>0</v>
      </c>
      <c r="U68" s="12">
        <f>R68*9.56</f>
        <v>0</v>
      </c>
      <c r="V68" s="13">
        <f>S68*9.56</f>
        <v>0</v>
      </c>
      <c r="W68" s="14">
        <f>T68*11.95</f>
        <v>0</v>
      </c>
      <c r="X68" s="15">
        <f t="shared" si="27"/>
        <v>0</v>
      </c>
    </row>
    <row r="69" spans="1:25" x14ac:dyDescent="0.25">
      <c r="A69" s="2">
        <v>11401</v>
      </c>
      <c r="B69" s="77" t="s">
        <v>109</v>
      </c>
      <c r="C69" s="8">
        <v>14</v>
      </c>
      <c r="D69" s="9"/>
      <c r="E69" s="10"/>
      <c r="F69" s="8">
        <v>35</v>
      </c>
      <c r="G69" s="9"/>
      <c r="H69" s="10">
        <v>5</v>
      </c>
      <c r="I69" s="8"/>
      <c r="J69" s="9"/>
      <c r="K69" s="10"/>
      <c r="L69" s="8"/>
      <c r="M69" s="9"/>
      <c r="N69" s="10"/>
      <c r="O69" s="31"/>
      <c r="P69" s="33"/>
      <c r="Q69" s="32"/>
      <c r="R69" s="31">
        <f t="shared" si="24"/>
        <v>49</v>
      </c>
      <c r="S69" s="9">
        <f t="shared" si="25"/>
        <v>0</v>
      </c>
      <c r="T69" s="10">
        <f t="shared" si="26"/>
        <v>5</v>
      </c>
      <c r="U69" s="12">
        <f>R69*8.9</f>
        <v>436.1</v>
      </c>
      <c r="V69" s="13">
        <f>S69*8.9</f>
        <v>0</v>
      </c>
      <c r="W69" s="14">
        <f>T69*11.12</f>
        <v>55.599999999999994</v>
      </c>
      <c r="X69" s="15">
        <f t="shared" si="27"/>
        <v>491.70000000000005</v>
      </c>
    </row>
    <row r="70" spans="1:25" x14ac:dyDescent="0.25">
      <c r="A70" s="2">
        <v>11499</v>
      </c>
      <c r="B70" s="77" t="s">
        <v>90</v>
      </c>
      <c r="C70" s="8">
        <v>14</v>
      </c>
      <c r="D70" s="9"/>
      <c r="E70" s="10"/>
      <c r="F70" s="8">
        <v>35</v>
      </c>
      <c r="G70" s="9"/>
      <c r="H70" s="10">
        <v>5</v>
      </c>
      <c r="I70" s="8"/>
      <c r="J70" s="9"/>
      <c r="K70" s="10"/>
      <c r="L70" s="8"/>
      <c r="M70" s="9"/>
      <c r="N70" s="10"/>
      <c r="O70" s="31"/>
      <c r="P70" s="33"/>
      <c r="Q70" s="32"/>
      <c r="R70" s="8">
        <f t="shared" si="24"/>
        <v>49</v>
      </c>
      <c r="S70" s="9">
        <f t="shared" si="25"/>
        <v>0</v>
      </c>
      <c r="T70" s="10">
        <f t="shared" si="26"/>
        <v>5</v>
      </c>
      <c r="U70" s="12">
        <f>R70*8.9</f>
        <v>436.1</v>
      </c>
      <c r="V70" s="13">
        <f>S70*8.9</f>
        <v>0</v>
      </c>
      <c r="W70" s="14">
        <f>T70*11.12</f>
        <v>55.599999999999994</v>
      </c>
      <c r="X70" s="15">
        <f t="shared" si="27"/>
        <v>491.70000000000005</v>
      </c>
    </row>
    <row r="71" spans="1:25" x14ac:dyDescent="0.25">
      <c r="A71" s="27">
        <v>11363</v>
      </c>
      <c r="B71" s="37" t="s">
        <v>5</v>
      </c>
      <c r="C71" s="8">
        <v>16</v>
      </c>
      <c r="D71" s="9">
        <v>2</v>
      </c>
      <c r="E71" s="10"/>
      <c r="F71" s="8">
        <v>40</v>
      </c>
      <c r="G71" s="9">
        <v>10</v>
      </c>
      <c r="H71" s="10">
        <v>5</v>
      </c>
      <c r="I71" s="8"/>
      <c r="J71" s="9"/>
      <c r="K71" s="10"/>
      <c r="L71" s="8"/>
      <c r="M71" s="9"/>
      <c r="N71" s="10"/>
      <c r="O71" s="8"/>
      <c r="P71" s="20"/>
      <c r="Q71" s="21"/>
      <c r="R71" s="8">
        <f t="shared" si="24"/>
        <v>56</v>
      </c>
      <c r="S71" s="9">
        <f t="shared" si="25"/>
        <v>12</v>
      </c>
      <c r="T71" s="10">
        <f t="shared" si="26"/>
        <v>5</v>
      </c>
      <c r="U71" s="12">
        <f>R71*9.56</f>
        <v>535.36</v>
      </c>
      <c r="V71" s="13">
        <f>S71*9.56</f>
        <v>114.72</v>
      </c>
      <c r="W71" s="14">
        <f>T71*11.95</f>
        <v>59.75</v>
      </c>
      <c r="X71" s="15">
        <f t="shared" si="27"/>
        <v>709.83</v>
      </c>
    </row>
    <row r="72" spans="1:25" x14ac:dyDescent="0.25">
      <c r="A72" s="27">
        <v>11291</v>
      </c>
      <c r="B72" s="37" t="s">
        <v>6</v>
      </c>
      <c r="C72" s="8">
        <v>16</v>
      </c>
      <c r="D72" s="9"/>
      <c r="E72" s="10"/>
      <c r="F72" s="8">
        <v>40</v>
      </c>
      <c r="G72" s="9"/>
      <c r="H72" s="10"/>
      <c r="I72" s="8"/>
      <c r="J72" s="9"/>
      <c r="K72" s="10"/>
      <c r="L72" s="8"/>
      <c r="M72" s="9"/>
      <c r="N72" s="10"/>
      <c r="O72" s="8"/>
      <c r="P72" s="20"/>
      <c r="Q72" s="21"/>
      <c r="R72" s="8">
        <f t="shared" si="24"/>
        <v>56</v>
      </c>
      <c r="S72" s="9">
        <f t="shared" si="25"/>
        <v>0</v>
      </c>
      <c r="T72" s="10">
        <f t="shared" si="26"/>
        <v>0</v>
      </c>
      <c r="U72" s="12">
        <f>R72*9.56</f>
        <v>535.36</v>
      </c>
      <c r="V72" s="13">
        <f>S72*9.56</f>
        <v>0</v>
      </c>
      <c r="W72" s="14">
        <f>T72*11.95</f>
        <v>0</v>
      </c>
      <c r="X72" s="15">
        <f t="shared" si="27"/>
        <v>535.36</v>
      </c>
      <c r="Y72" s="52" t="s">
        <v>128</v>
      </c>
    </row>
    <row r="73" spans="1:25" x14ac:dyDescent="0.25">
      <c r="A73" s="2">
        <v>11502</v>
      </c>
      <c r="B73" s="77" t="s">
        <v>92</v>
      </c>
      <c r="C73" s="8">
        <v>12</v>
      </c>
      <c r="D73" s="9"/>
      <c r="E73" s="10"/>
      <c r="F73" s="8">
        <v>35</v>
      </c>
      <c r="G73" s="9"/>
      <c r="H73" s="10">
        <v>5</v>
      </c>
      <c r="I73" s="8"/>
      <c r="J73" s="9"/>
      <c r="K73" s="10"/>
      <c r="L73" s="8"/>
      <c r="M73" s="9"/>
      <c r="N73" s="10"/>
      <c r="O73" s="31"/>
      <c r="P73" s="33"/>
      <c r="Q73" s="32"/>
      <c r="R73" s="8">
        <f t="shared" si="24"/>
        <v>47</v>
      </c>
      <c r="S73" s="9">
        <f t="shared" si="25"/>
        <v>0</v>
      </c>
      <c r="T73" s="10">
        <f t="shared" si="26"/>
        <v>5</v>
      </c>
      <c r="U73" s="12">
        <f t="shared" ref="U73:U87" si="28">R73*8.9</f>
        <v>418.3</v>
      </c>
      <c r="V73" s="13">
        <f t="shared" ref="V73:V87" si="29">S73*8.9</f>
        <v>0</v>
      </c>
      <c r="W73" s="14">
        <f t="shared" ref="W73:W87" si="30">T73*11.12</f>
        <v>55.599999999999994</v>
      </c>
      <c r="X73" s="15">
        <f t="shared" si="27"/>
        <v>473.9</v>
      </c>
    </row>
    <row r="74" spans="1:25" x14ac:dyDescent="0.25">
      <c r="A74" s="2">
        <v>11408</v>
      </c>
      <c r="B74" s="77" t="s">
        <v>65</v>
      </c>
      <c r="C74" s="8">
        <v>14</v>
      </c>
      <c r="D74" s="9"/>
      <c r="E74" s="10"/>
      <c r="F74" s="8">
        <v>35</v>
      </c>
      <c r="G74" s="9"/>
      <c r="H74" s="10">
        <v>5</v>
      </c>
      <c r="I74" s="8"/>
      <c r="J74" s="9"/>
      <c r="K74" s="10"/>
      <c r="L74" s="8"/>
      <c r="M74" s="9"/>
      <c r="N74" s="10"/>
      <c r="O74" s="31"/>
      <c r="P74" s="20"/>
      <c r="Q74" s="21"/>
      <c r="R74" s="8">
        <f t="shared" si="24"/>
        <v>49</v>
      </c>
      <c r="S74" s="9">
        <f t="shared" si="25"/>
        <v>0</v>
      </c>
      <c r="T74" s="10">
        <f t="shared" si="26"/>
        <v>5</v>
      </c>
      <c r="U74" s="12">
        <f t="shared" si="28"/>
        <v>436.1</v>
      </c>
      <c r="V74" s="13">
        <f t="shared" si="29"/>
        <v>0</v>
      </c>
      <c r="W74" s="14">
        <f t="shared" si="30"/>
        <v>55.599999999999994</v>
      </c>
      <c r="X74" s="15">
        <f t="shared" si="27"/>
        <v>491.70000000000005</v>
      </c>
    </row>
    <row r="75" spans="1:25" x14ac:dyDescent="0.25">
      <c r="A75" s="2">
        <v>11428</v>
      </c>
      <c r="B75" s="77" t="s">
        <v>66</v>
      </c>
      <c r="C75" s="8">
        <v>14</v>
      </c>
      <c r="D75" s="9"/>
      <c r="E75" s="10"/>
      <c r="F75" s="8">
        <v>35</v>
      </c>
      <c r="G75" s="9"/>
      <c r="H75" s="10">
        <v>5</v>
      </c>
      <c r="I75" s="8"/>
      <c r="J75" s="9"/>
      <c r="K75" s="10"/>
      <c r="L75" s="8"/>
      <c r="M75" s="9"/>
      <c r="N75" s="10"/>
      <c r="O75" s="31"/>
      <c r="P75" s="20"/>
      <c r="Q75" s="21"/>
      <c r="R75" s="8">
        <f t="shared" si="24"/>
        <v>49</v>
      </c>
      <c r="S75" s="9">
        <f t="shared" si="25"/>
        <v>0</v>
      </c>
      <c r="T75" s="10">
        <f t="shared" si="26"/>
        <v>5</v>
      </c>
      <c r="U75" s="12">
        <f t="shared" si="28"/>
        <v>436.1</v>
      </c>
      <c r="V75" s="13">
        <f t="shared" si="29"/>
        <v>0</v>
      </c>
      <c r="W75" s="14">
        <f t="shared" si="30"/>
        <v>55.599999999999994</v>
      </c>
      <c r="X75" s="15">
        <f t="shared" si="27"/>
        <v>491.70000000000005</v>
      </c>
    </row>
    <row r="76" spans="1:25" x14ac:dyDescent="0.25">
      <c r="A76" s="2">
        <v>11529</v>
      </c>
      <c r="B76" s="51" t="s">
        <v>133</v>
      </c>
      <c r="C76" s="8"/>
      <c r="D76" s="9"/>
      <c r="E76" s="10"/>
      <c r="F76" s="8"/>
      <c r="G76" s="9"/>
      <c r="H76" s="10"/>
      <c r="I76" s="8"/>
      <c r="J76" s="9"/>
      <c r="K76" s="10"/>
      <c r="L76" s="8"/>
      <c r="M76" s="9"/>
      <c r="N76" s="10"/>
      <c r="O76" s="31"/>
      <c r="P76" s="33"/>
      <c r="Q76" s="32"/>
      <c r="R76" s="31">
        <f t="shared" si="24"/>
        <v>0</v>
      </c>
      <c r="S76" s="9">
        <f t="shared" si="25"/>
        <v>0</v>
      </c>
      <c r="T76" s="10">
        <f t="shared" si="26"/>
        <v>0</v>
      </c>
      <c r="U76" s="12">
        <f t="shared" si="28"/>
        <v>0</v>
      </c>
      <c r="V76" s="13">
        <f t="shared" si="29"/>
        <v>0</v>
      </c>
      <c r="W76" s="14">
        <f t="shared" si="30"/>
        <v>0</v>
      </c>
      <c r="X76" s="15">
        <f t="shared" si="27"/>
        <v>0</v>
      </c>
    </row>
    <row r="77" spans="1:25" x14ac:dyDescent="0.25">
      <c r="A77" s="2">
        <v>11480</v>
      </c>
      <c r="B77" s="36" t="s">
        <v>67</v>
      </c>
      <c r="C77" s="8"/>
      <c r="D77" s="9"/>
      <c r="E77" s="10"/>
      <c r="F77" s="8"/>
      <c r="G77" s="9"/>
      <c r="H77" s="10"/>
      <c r="I77" s="8"/>
      <c r="J77" s="9"/>
      <c r="K77" s="10"/>
      <c r="L77" s="8"/>
      <c r="M77" s="9"/>
      <c r="N77" s="10"/>
      <c r="O77" s="19"/>
      <c r="P77" s="20"/>
      <c r="Q77" s="21"/>
      <c r="R77" s="8">
        <f t="shared" si="24"/>
        <v>0</v>
      </c>
      <c r="S77" s="9">
        <f t="shared" si="25"/>
        <v>0</v>
      </c>
      <c r="T77" s="10">
        <f t="shared" si="26"/>
        <v>0</v>
      </c>
      <c r="U77" s="12">
        <f t="shared" si="28"/>
        <v>0</v>
      </c>
      <c r="V77" s="13">
        <f t="shared" si="29"/>
        <v>0</v>
      </c>
      <c r="W77" s="14">
        <f t="shared" si="30"/>
        <v>0</v>
      </c>
      <c r="X77" s="15">
        <f t="shared" si="27"/>
        <v>0</v>
      </c>
    </row>
    <row r="78" spans="1:25" x14ac:dyDescent="0.25">
      <c r="A78" s="2">
        <v>11517</v>
      </c>
      <c r="B78" s="77" t="s">
        <v>106</v>
      </c>
      <c r="C78" s="8">
        <v>14</v>
      </c>
      <c r="D78" s="9"/>
      <c r="E78" s="10"/>
      <c r="F78" s="8">
        <v>28</v>
      </c>
      <c r="G78" s="9"/>
      <c r="H78" s="10">
        <v>5</v>
      </c>
      <c r="I78" s="8"/>
      <c r="J78" s="9"/>
      <c r="K78" s="10"/>
      <c r="L78" s="8"/>
      <c r="M78" s="9"/>
      <c r="N78" s="10"/>
      <c r="O78" s="31"/>
      <c r="P78" s="33"/>
      <c r="Q78" s="32"/>
      <c r="R78" s="31">
        <f t="shared" si="24"/>
        <v>42</v>
      </c>
      <c r="S78" s="9">
        <f t="shared" si="25"/>
        <v>0</v>
      </c>
      <c r="T78" s="10">
        <f t="shared" si="26"/>
        <v>5</v>
      </c>
      <c r="U78" s="12">
        <f t="shared" si="28"/>
        <v>373.8</v>
      </c>
      <c r="V78" s="13">
        <f t="shared" si="29"/>
        <v>0</v>
      </c>
      <c r="W78" s="14">
        <f t="shared" si="30"/>
        <v>55.599999999999994</v>
      </c>
      <c r="X78" s="15">
        <f t="shared" si="27"/>
        <v>429.4</v>
      </c>
    </row>
    <row r="79" spans="1:25" x14ac:dyDescent="0.25">
      <c r="A79" s="2">
        <v>11514</v>
      </c>
      <c r="B79" s="77" t="s">
        <v>108</v>
      </c>
      <c r="C79" s="74"/>
      <c r="D79" s="74"/>
      <c r="E79" s="74"/>
      <c r="F79" s="8">
        <v>28</v>
      </c>
      <c r="G79" s="9"/>
      <c r="H79" s="10">
        <v>5</v>
      </c>
      <c r="I79" s="8"/>
      <c r="J79" s="9"/>
      <c r="K79" s="10"/>
      <c r="L79" s="8"/>
      <c r="M79" s="9"/>
      <c r="N79" s="10"/>
      <c r="O79" s="31"/>
      <c r="P79" s="33"/>
      <c r="Q79" s="32"/>
      <c r="R79" s="31">
        <f t="shared" si="24"/>
        <v>28</v>
      </c>
      <c r="S79" s="9">
        <f t="shared" si="25"/>
        <v>0</v>
      </c>
      <c r="T79" s="10">
        <f t="shared" si="26"/>
        <v>5</v>
      </c>
      <c r="U79" s="12">
        <f t="shared" si="28"/>
        <v>249.20000000000002</v>
      </c>
      <c r="V79" s="13">
        <f t="shared" si="29"/>
        <v>0</v>
      </c>
      <c r="W79" s="14">
        <f t="shared" si="30"/>
        <v>55.599999999999994</v>
      </c>
      <c r="X79" s="15">
        <f t="shared" si="27"/>
        <v>304.8</v>
      </c>
    </row>
    <row r="80" spans="1:25" x14ac:dyDescent="0.25">
      <c r="A80" s="2">
        <v>11500</v>
      </c>
      <c r="B80" s="77" t="s">
        <v>91</v>
      </c>
      <c r="C80" s="8">
        <v>14</v>
      </c>
      <c r="D80" s="9"/>
      <c r="E80" s="10"/>
      <c r="F80" s="8">
        <v>35</v>
      </c>
      <c r="G80" s="9"/>
      <c r="H80" s="10">
        <v>5</v>
      </c>
      <c r="I80" s="8"/>
      <c r="J80" s="9"/>
      <c r="K80" s="10"/>
      <c r="L80" s="8"/>
      <c r="M80" s="9"/>
      <c r="N80" s="10"/>
      <c r="O80" s="31"/>
      <c r="P80" s="20"/>
      <c r="Q80" s="21"/>
      <c r="R80" s="8">
        <f t="shared" si="24"/>
        <v>49</v>
      </c>
      <c r="S80" s="9">
        <f t="shared" si="25"/>
        <v>0</v>
      </c>
      <c r="T80" s="10">
        <f t="shared" si="26"/>
        <v>5</v>
      </c>
      <c r="U80" s="12">
        <f t="shared" si="28"/>
        <v>436.1</v>
      </c>
      <c r="V80" s="13">
        <f t="shared" si="29"/>
        <v>0</v>
      </c>
      <c r="W80" s="14">
        <f t="shared" si="30"/>
        <v>55.599999999999994</v>
      </c>
      <c r="X80" s="15">
        <f t="shared" si="27"/>
        <v>491.70000000000005</v>
      </c>
    </row>
    <row r="81" spans="1:25" x14ac:dyDescent="0.25">
      <c r="A81" s="2">
        <v>11501</v>
      </c>
      <c r="B81" s="77" t="s">
        <v>86</v>
      </c>
      <c r="C81" s="8">
        <v>14</v>
      </c>
      <c r="D81" s="9"/>
      <c r="E81" s="10"/>
      <c r="F81" s="8">
        <v>35</v>
      </c>
      <c r="G81" s="9"/>
      <c r="H81" s="10"/>
      <c r="I81" s="8"/>
      <c r="J81" s="9"/>
      <c r="K81" s="10"/>
      <c r="L81" s="8"/>
      <c r="M81" s="9"/>
      <c r="N81" s="10"/>
      <c r="O81" s="31"/>
      <c r="P81" s="33"/>
      <c r="Q81" s="32"/>
      <c r="R81" s="8">
        <f t="shared" si="24"/>
        <v>49</v>
      </c>
      <c r="S81" s="9">
        <f t="shared" si="25"/>
        <v>0</v>
      </c>
      <c r="T81" s="10">
        <f t="shared" si="26"/>
        <v>0</v>
      </c>
      <c r="U81" s="12">
        <f t="shared" si="28"/>
        <v>436.1</v>
      </c>
      <c r="V81" s="13">
        <f t="shared" si="29"/>
        <v>0</v>
      </c>
      <c r="W81" s="14">
        <f t="shared" si="30"/>
        <v>0</v>
      </c>
      <c r="X81" s="15">
        <f t="shared" si="27"/>
        <v>436.1</v>
      </c>
    </row>
    <row r="82" spans="1:25" x14ac:dyDescent="0.25">
      <c r="A82" s="2">
        <v>11495</v>
      </c>
      <c r="B82" s="77" t="s">
        <v>93</v>
      </c>
      <c r="C82" s="8">
        <v>14</v>
      </c>
      <c r="D82" s="9"/>
      <c r="E82" s="10"/>
      <c r="F82" s="8">
        <v>33</v>
      </c>
      <c r="G82" s="9"/>
      <c r="H82" s="10"/>
      <c r="I82" s="8"/>
      <c r="J82" s="9"/>
      <c r="K82" s="10"/>
      <c r="L82" s="8"/>
      <c r="M82" s="9"/>
      <c r="N82" s="10"/>
      <c r="O82" s="31"/>
      <c r="P82" s="33"/>
      <c r="Q82" s="32"/>
      <c r="R82" s="8">
        <f t="shared" si="24"/>
        <v>47</v>
      </c>
      <c r="S82" s="9">
        <f t="shared" si="25"/>
        <v>0</v>
      </c>
      <c r="T82" s="10">
        <f t="shared" si="26"/>
        <v>0</v>
      </c>
      <c r="U82" s="12">
        <f t="shared" si="28"/>
        <v>418.3</v>
      </c>
      <c r="V82" s="13">
        <f t="shared" si="29"/>
        <v>0</v>
      </c>
      <c r="W82" s="14">
        <f t="shared" si="30"/>
        <v>0</v>
      </c>
      <c r="X82" s="15">
        <f t="shared" si="27"/>
        <v>418.3</v>
      </c>
    </row>
    <row r="83" spans="1:25" x14ac:dyDescent="0.25">
      <c r="A83" s="2">
        <v>11496</v>
      </c>
      <c r="B83" s="77" t="s">
        <v>87</v>
      </c>
      <c r="C83" s="8">
        <v>14</v>
      </c>
      <c r="D83" s="9"/>
      <c r="E83" s="10"/>
      <c r="F83" s="8">
        <v>28</v>
      </c>
      <c r="G83" s="9"/>
      <c r="H83" s="10"/>
      <c r="I83" s="8"/>
      <c r="J83" s="9"/>
      <c r="K83" s="10"/>
      <c r="L83" s="8"/>
      <c r="M83" s="9"/>
      <c r="N83" s="10"/>
      <c r="O83" s="31"/>
      <c r="P83" s="33"/>
      <c r="Q83" s="32"/>
      <c r="R83" s="8">
        <f t="shared" si="24"/>
        <v>42</v>
      </c>
      <c r="S83" s="9">
        <f t="shared" si="25"/>
        <v>0</v>
      </c>
      <c r="T83" s="10">
        <f t="shared" si="26"/>
        <v>0</v>
      </c>
      <c r="U83" s="12">
        <f t="shared" si="28"/>
        <v>373.8</v>
      </c>
      <c r="V83" s="13">
        <f t="shared" si="29"/>
        <v>0</v>
      </c>
      <c r="W83" s="14">
        <f t="shared" si="30"/>
        <v>0</v>
      </c>
      <c r="X83" s="15">
        <f t="shared" si="27"/>
        <v>373.8</v>
      </c>
    </row>
    <row r="84" spans="1:25" x14ac:dyDescent="0.25">
      <c r="A84" s="2">
        <v>11530</v>
      </c>
      <c r="B84" s="51" t="s">
        <v>134</v>
      </c>
      <c r="C84" s="8"/>
      <c r="D84" s="9"/>
      <c r="E84" s="10"/>
      <c r="F84" s="8"/>
      <c r="G84" s="9"/>
      <c r="H84" s="10"/>
      <c r="I84" s="8"/>
      <c r="J84" s="9"/>
      <c r="K84" s="10"/>
      <c r="L84" s="8"/>
      <c r="M84" s="9"/>
      <c r="N84" s="10"/>
      <c r="O84" s="31"/>
      <c r="P84" s="33"/>
      <c r="Q84" s="32"/>
      <c r="R84" s="31">
        <f t="shared" si="24"/>
        <v>0</v>
      </c>
      <c r="S84" s="9">
        <f t="shared" si="25"/>
        <v>0</v>
      </c>
      <c r="T84" s="10">
        <f t="shared" si="26"/>
        <v>0</v>
      </c>
      <c r="U84" s="12">
        <f t="shared" si="28"/>
        <v>0</v>
      </c>
      <c r="V84" s="13">
        <f t="shared" si="29"/>
        <v>0</v>
      </c>
      <c r="W84" s="14">
        <f t="shared" si="30"/>
        <v>0</v>
      </c>
      <c r="X84" s="15">
        <f t="shared" si="27"/>
        <v>0</v>
      </c>
    </row>
    <row r="85" spans="1:25" x14ac:dyDescent="0.25">
      <c r="A85" s="2">
        <v>11493</v>
      </c>
      <c r="B85" s="77" t="s">
        <v>84</v>
      </c>
      <c r="C85" s="8">
        <v>14</v>
      </c>
      <c r="D85" s="9"/>
      <c r="E85" s="10"/>
      <c r="F85" s="8">
        <v>21</v>
      </c>
      <c r="G85" s="9"/>
      <c r="H85" s="10"/>
      <c r="I85" s="74"/>
      <c r="J85" s="74"/>
      <c r="K85" s="74"/>
      <c r="L85" s="74"/>
      <c r="M85" s="9"/>
      <c r="N85" s="10"/>
      <c r="O85" s="31"/>
      <c r="P85" s="20"/>
      <c r="Q85" s="21"/>
      <c r="R85" s="8">
        <f t="shared" si="24"/>
        <v>35</v>
      </c>
      <c r="S85" s="9">
        <f t="shared" si="25"/>
        <v>0</v>
      </c>
      <c r="T85" s="10">
        <f t="shared" si="26"/>
        <v>0</v>
      </c>
      <c r="U85" s="12">
        <f t="shared" si="28"/>
        <v>311.5</v>
      </c>
      <c r="V85" s="13">
        <f t="shared" si="29"/>
        <v>0</v>
      </c>
      <c r="W85" s="14">
        <f t="shared" si="30"/>
        <v>0</v>
      </c>
      <c r="X85" s="15">
        <f t="shared" si="27"/>
        <v>311.5</v>
      </c>
      <c r="Y85" s="52" t="s">
        <v>151</v>
      </c>
    </row>
    <row r="86" spans="1:25" x14ac:dyDescent="0.25">
      <c r="A86" s="2">
        <v>11406</v>
      </c>
      <c r="B86" s="77" t="s">
        <v>74</v>
      </c>
      <c r="C86" s="8">
        <v>14</v>
      </c>
      <c r="D86" s="9"/>
      <c r="E86" s="10"/>
      <c r="F86" s="8">
        <v>35</v>
      </c>
      <c r="G86" s="9"/>
      <c r="H86" s="10">
        <v>5</v>
      </c>
      <c r="I86" s="8"/>
      <c r="J86" s="9"/>
      <c r="K86" s="10"/>
      <c r="L86" s="8"/>
      <c r="M86" s="9"/>
      <c r="N86" s="10"/>
      <c r="O86" s="31"/>
      <c r="P86" s="20"/>
      <c r="Q86" s="21"/>
      <c r="R86" s="8">
        <f t="shared" si="24"/>
        <v>49</v>
      </c>
      <c r="S86" s="9">
        <f t="shared" si="25"/>
        <v>0</v>
      </c>
      <c r="T86" s="10">
        <f t="shared" si="26"/>
        <v>5</v>
      </c>
      <c r="U86" s="12">
        <f t="shared" si="28"/>
        <v>436.1</v>
      </c>
      <c r="V86" s="13">
        <f t="shared" si="29"/>
        <v>0</v>
      </c>
      <c r="W86" s="14">
        <f t="shared" si="30"/>
        <v>55.599999999999994</v>
      </c>
      <c r="X86" s="15">
        <f t="shared" si="27"/>
        <v>491.70000000000005</v>
      </c>
    </row>
    <row r="87" spans="1:25" x14ac:dyDescent="0.25">
      <c r="A87" s="2">
        <v>11497</v>
      </c>
      <c r="B87" s="77" t="s">
        <v>88</v>
      </c>
      <c r="C87" s="8">
        <v>14</v>
      </c>
      <c r="D87" s="9"/>
      <c r="E87" s="10"/>
      <c r="F87" s="8">
        <v>28</v>
      </c>
      <c r="G87" s="9"/>
      <c r="H87" s="10">
        <v>5</v>
      </c>
      <c r="I87" s="8"/>
      <c r="J87" s="9"/>
      <c r="K87" s="10"/>
      <c r="L87" s="8"/>
      <c r="M87" s="9"/>
      <c r="N87" s="10"/>
      <c r="O87" s="31"/>
      <c r="P87" s="33"/>
      <c r="Q87" s="32"/>
      <c r="R87" s="8">
        <f t="shared" si="24"/>
        <v>42</v>
      </c>
      <c r="S87" s="9">
        <f t="shared" si="25"/>
        <v>0</v>
      </c>
      <c r="T87" s="10">
        <f t="shared" si="26"/>
        <v>5</v>
      </c>
      <c r="U87" s="12">
        <f t="shared" si="28"/>
        <v>373.8</v>
      </c>
      <c r="V87" s="13">
        <f t="shared" si="29"/>
        <v>0</v>
      </c>
      <c r="W87" s="14">
        <f t="shared" si="30"/>
        <v>55.599999999999994</v>
      </c>
      <c r="X87" s="15">
        <f t="shared" si="27"/>
        <v>429.4</v>
      </c>
    </row>
    <row r="88" spans="1:25" x14ac:dyDescent="0.25">
      <c r="A88" s="27">
        <v>11469</v>
      </c>
      <c r="B88" s="78" t="s">
        <v>75</v>
      </c>
      <c r="C88" s="8">
        <v>16</v>
      </c>
      <c r="D88" s="9">
        <v>3</v>
      </c>
      <c r="E88" s="10">
        <v>20</v>
      </c>
      <c r="F88" s="8">
        <v>40</v>
      </c>
      <c r="G88" s="9">
        <v>10</v>
      </c>
      <c r="H88" s="10">
        <v>20</v>
      </c>
      <c r="I88" s="8"/>
      <c r="J88" s="9"/>
      <c r="K88" s="10"/>
      <c r="L88" s="8"/>
      <c r="M88" s="9"/>
      <c r="N88" s="10"/>
      <c r="O88" s="31"/>
      <c r="P88" s="33"/>
      <c r="Q88" s="32"/>
      <c r="R88" s="8">
        <f t="shared" si="24"/>
        <v>56</v>
      </c>
      <c r="S88" s="9">
        <f t="shared" si="25"/>
        <v>13</v>
      </c>
      <c r="T88" s="10">
        <f t="shared" si="26"/>
        <v>40</v>
      </c>
      <c r="U88" s="12">
        <f>R88*9.56</f>
        <v>535.36</v>
      </c>
      <c r="V88" s="13">
        <f>S88*9.56</f>
        <v>124.28</v>
      </c>
      <c r="W88" s="14">
        <f>T88*11.95</f>
        <v>478</v>
      </c>
      <c r="X88" s="15">
        <f t="shared" si="27"/>
        <v>1137.6399999999999</v>
      </c>
    </row>
    <row r="89" spans="1:25" x14ac:dyDescent="0.25">
      <c r="A89" s="2">
        <v>11498</v>
      </c>
      <c r="B89" s="77" t="s">
        <v>89</v>
      </c>
      <c r="C89" s="8">
        <v>15</v>
      </c>
      <c r="D89" s="9"/>
      <c r="E89" s="10"/>
      <c r="F89" s="8">
        <v>37</v>
      </c>
      <c r="G89" s="9"/>
      <c r="H89" s="10">
        <v>5</v>
      </c>
      <c r="I89" s="8"/>
      <c r="J89" s="9"/>
      <c r="K89" s="10"/>
      <c r="L89" s="8"/>
      <c r="M89" s="9"/>
      <c r="N89" s="10"/>
      <c r="O89" s="31"/>
      <c r="P89" s="33"/>
      <c r="Q89" s="32"/>
      <c r="R89" s="8">
        <f t="shared" si="24"/>
        <v>52</v>
      </c>
      <c r="S89" s="9">
        <f t="shared" si="25"/>
        <v>0</v>
      </c>
      <c r="T89" s="10">
        <f t="shared" si="26"/>
        <v>5</v>
      </c>
      <c r="U89" s="12">
        <f>R89*8.9</f>
        <v>462.8</v>
      </c>
      <c r="V89" s="13">
        <f>S89*8.9</f>
        <v>0</v>
      </c>
      <c r="W89" s="14">
        <f>T89*11.12</f>
        <v>55.599999999999994</v>
      </c>
      <c r="X89" s="15">
        <f t="shared" si="27"/>
        <v>518.4</v>
      </c>
    </row>
    <row r="90" spans="1:25" x14ac:dyDescent="0.25">
      <c r="A90" s="27">
        <v>11504</v>
      </c>
      <c r="B90" s="78" t="s">
        <v>79</v>
      </c>
      <c r="C90" s="8">
        <v>16</v>
      </c>
      <c r="D90" s="9">
        <v>2</v>
      </c>
      <c r="E90" s="10">
        <v>5</v>
      </c>
      <c r="F90" s="8">
        <v>40</v>
      </c>
      <c r="G90" s="9">
        <v>5</v>
      </c>
      <c r="H90" s="10">
        <v>6</v>
      </c>
      <c r="I90" s="8"/>
      <c r="J90" s="9"/>
      <c r="K90" s="10"/>
      <c r="L90" s="8"/>
      <c r="M90" s="9"/>
      <c r="N90" s="10"/>
      <c r="O90" s="31"/>
      <c r="P90" s="33"/>
      <c r="Q90" s="32"/>
      <c r="R90" s="8">
        <f t="shared" si="24"/>
        <v>56</v>
      </c>
      <c r="S90" s="9">
        <f t="shared" si="25"/>
        <v>7</v>
      </c>
      <c r="T90" s="10">
        <f t="shared" si="26"/>
        <v>11</v>
      </c>
      <c r="U90" s="12">
        <f>R90*9.56</f>
        <v>535.36</v>
      </c>
      <c r="V90" s="13">
        <f>S90*9.56</f>
        <v>66.92</v>
      </c>
      <c r="W90" s="14">
        <f>T90*11.95</f>
        <v>131.44999999999999</v>
      </c>
      <c r="X90" s="15">
        <f t="shared" si="27"/>
        <v>733.73</v>
      </c>
    </row>
    <row r="91" spans="1:25" x14ac:dyDescent="0.25">
      <c r="A91" s="2">
        <v>11528</v>
      </c>
      <c r="B91" s="77" t="s">
        <v>135</v>
      </c>
      <c r="C91" s="8">
        <v>14</v>
      </c>
      <c r="D91" s="9"/>
      <c r="E91" s="10"/>
      <c r="F91" s="8">
        <v>35</v>
      </c>
      <c r="G91" s="9"/>
      <c r="H91" s="10">
        <v>5</v>
      </c>
      <c r="I91" s="8"/>
      <c r="J91" s="9"/>
      <c r="K91" s="10"/>
      <c r="L91" s="8"/>
      <c r="M91" s="9"/>
      <c r="N91" s="10"/>
      <c r="O91" s="31"/>
      <c r="P91" s="33"/>
      <c r="Q91" s="32"/>
      <c r="R91" s="31">
        <f t="shared" si="24"/>
        <v>49</v>
      </c>
      <c r="S91" s="9">
        <f t="shared" si="25"/>
        <v>0</v>
      </c>
      <c r="T91" s="10">
        <f t="shared" si="26"/>
        <v>5</v>
      </c>
      <c r="U91" s="12">
        <f t="shared" ref="U91:V96" si="31">R91*8.9</f>
        <v>436.1</v>
      </c>
      <c r="V91" s="13">
        <f t="shared" si="31"/>
        <v>0</v>
      </c>
      <c r="W91" s="14">
        <f t="shared" ref="W91:W96" si="32">T91*11.12</f>
        <v>55.599999999999994</v>
      </c>
      <c r="X91" s="15">
        <f t="shared" si="27"/>
        <v>491.70000000000005</v>
      </c>
    </row>
    <row r="92" spans="1:25" x14ac:dyDescent="0.25">
      <c r="A92" s="2">
        <v>11531</v>
      </c>
      <c r="B92" s="77" t="s">
        <v>138</v>
      </c>
      <c r="C92" s="8">
        <v>14</v>
      </c>
      <c r="D92" s="9"/>
      <c r="E92" s="10"/>
      <c r="F92" s="8">
        <v>35</v>
      </c>
      <c r="G92" s="9"/>
      <c r="H92" s="10">
        <v>5</v>
      </c>
      <c r="I92" s="8"/>
      <c r="J92" s="9"/>
      <c r="K92" s="10"/>
      <c r="L92" s="8"/>
      <c r="M92" s="9"/>
      <c r="N92" s="10"/>
      <c r="O92" s="31"/>
      <c r="P92" s="33"/>
      <c r="Q92" s="32"/>
      <c r="R92" s="31">
        <f t="shared" ref="R92" si="33">C92+F92+I92+L92+O92</f>
        <v>49</v>
      </c>
      <c r="S92" s="9">
        <f t="shared" ref="S92" si="34">D92+G92+J92+M92+P92</f>
        <v>0</v>
      </c>
      <c r="T92" s="10">
        <f t="shared" ref="T92" si="35">E92+H92+K92+N92+Q92</f>
        <v>5</v>
      </c>
      <c r="U92" s="12">
        <f t="shared" ref="U92" si="36">R92*8.9</f>
        <v>436.1</v>
      </c>
      <c r="V92" s="13">
        <f t="shared" ref="V92" si="37">S92*8.9</f>
        <v>0</v>
      </c>
      <c r="W92" s="14">
        <f t="shared" si="32"/>
        <v>55.599999999999994</v>
      </c>
      <c r="X92" s="15">
        <f t="shared" ref="X92" si="38">SUM(U92:W92)</f>
        <v>491.70000000000005</v>
      </c>
      <c r="Y92" s="1" t="s">
        <v>137</v>
      </c>
    </row>
    <row r="93" spans="1:25" x14ac:dyDescent="0.25">
      <c r="A93" s="2">
        <v>11526</v>
      </c>
      <c r="B93" s="77" t="s">
        <v>123</v>
      </c>
      <c r="C93" s="8">
        <v>14</v>
      </c>
      <c r="D93" s="9"/>
      <c r="E93" s="10"/>
      <c r="F93" s="8">
        <v>35</v>
      </c>
      <c r="G93" s="9"/>
      <c r="H93" s="10">
        <v>5</v>
      </c>
      <c r="I93" s="8"/>
      <c r="J93" s="9"/>
      <c r="K93" s="10"/>
      <c r="L93" s="8"/>
      <c r="M93" s="9"/>
      <c r="N93" s="10"/>
      <c r="O93" s="31"/>
      <c r="P93" s="33"/>
      <c r="Q93" s="32"/>
      <c r="R93" s="31">
        <f t="shared" si="24"/>
        <v>49</v>
      </c>
      <c r="S93" s="9">
        <f t="shared" si="25"/>
        <v>0</v>
      </c>
      <c r="T93" s="10">
        <f t="shared" si="26"/>
        <v>5</v>
      </c>
      <c r="U93" s="12">
        <f t="shared" si="31"/>
        <v>436.1</v>
      </c>
      <c r="V93" s="13">
        <f t="shared" si="31"/>
        <v>0</v>
      </c>
      <c r="W93" s="14">
        <f t="shared" si="32"/>
        <v>55.599999999999994</v>
      </c>
      <c r="X93" s="15">
        <f t="shared" si="27"/>
        <v>491.70000000000005</v>
      </c>
      <c r="Y93" s="1" t="s">
        <v>136</v>
      </c>
    </row>
    <row r="94" spans="1:25" x14ac:dyDescent="0.25">
      <c r="A94" s="2">
        <v>11527</v>
      </c>
      <c r="B94" s="77" t="s">
        <v>124</v>
      </c>
      <c r="C94" s="74">
        <v>14</v>
      </c>
      <c r="D94" s="74"/>
      <c r="E94" s="74"/>
      <c r="F94" s="74">
        <v>35</v>
      </c>
      <c r="G94" s="74"/>
      <c r="H94" s="74"/>
      <c r="I94" s="74"/>
      <c r="J94" s="74"/>
      <c r="K94" s="74"/>
      <c r="L94" s="74"/>
      <c r="M94" s="74"/>
      <c r="N94" s="74"/>
      <c r="O94" s="75"/>
      <c r="P94" s="75"/>
      <c r="Q94" s="75"/>
      <c r="R94" s="31">
        <f t="shared" si="24"/>
        <v>49</v>
      </c>
      <c r="S94" s="9">
        <f t="shared" si="25"/>
        <v>0</v>
      </c>
      <c r="T94" s="10">
        <f t="shared" si="26"/>
        <v>0</v>
      </c>
      <c r="U94" s="12">
        <f t="shared" si="31"/>
        <v>436.1</v>
      </c>
      <c r="V94" s="13">
        <f t="shared" si="31"/>
        <v>0</v>
      </c>
      <c r="W94" s="14">
        <f t="shared" si="32"/>
        <v>0</v>
      </c>
      <c r="X94" s="15">
        <f t="shared" si="27"/>
        <v>436.1</v>
      </c>
      <c r="Y94" s="52" t="s">
        <v>147</v>
      </c>
    </row>
    <row r="95" spans="1:25" s="52" customFormat="1" x14ac:dyDescent="0.25">
      <c r="A95" s="27">
        <v>11521</v>
      </c>
      <c r="B95" s="37" t="s">
        <v>122</v>
      </c>
      <c r="C95" s="58"/>
      <c r="D95" s="60"/>
      <c r="E95" s="61"/>
      <c r="F95" s="58"/>
      <c r="G95" s="60"/>
      <c r="H95" s="61"/>
      <c r="I95" s="58"/>
      <c r="J95" s="60"/>
      <c r="K95" s="61"/>
      <c r="L95" s="59"/>
      <c r="M95" s="59"/>
      <c r="N95" s="59"/>
      <c r="O95" s="59"/>
      <c r="P95" s="59"/>
      <c r="Q95" s="59"/>
      <c r="R95" s="69">
        <f t="shared" si="24"/>
        <v>0</v>
      </c>
      <c r="S95" s="60">
        <f t="shared" si="25"/>
        <v>0</v>
      </c>
      <c r="T95" s="61">
        <f t="shared" si="26"/>
        <v>0</v>
      </c>
      <c r="U95" s="62">
        <f t="shared" si="31"/>
        <v>0</v>
      </c>
      <c r="V95" s="63">
        <f t="shared" si="31"/>
        <v>0</v>
      </c>
      <c r="W95" s="64">
        <f t="shared" si="32"/>
        <v>0</v>
      </c>
      <c r="X95" s="65">
        <f t="shared" si="27"/>
        <v>0</v>
      </c>
      <c r="Y95" s="52" t="s">
        <v>132</v>
      </c>
    </row>
    <row r="96" spans="1:25" x14ac:dyDescent="0.25">
      <c r="A96" s="2">
        <v>11407</v>
      </c>
      <c r="B96" s="77" t="s">
        <v>81</v>
      </c>
      <c r="C96" s="8">
        <v>14</v>
      </c>
      <c r="D96" s="9"/>
      <c r="E96" s="10"/>
      <c r="F96" s="8">
        <v>28</v>
      </c>
      <c r="G96" s="9"/>
      <c r="H96" s="10">
        <v>5</v>
      </c>
      <c r="I96" s="8"/>
      <c r="J96" s="9"/>
      <c r="K96" s="10"/>
      <c r="L96" s="8"/>
      <c r="M96" s="9"/>
      <c r="N96" s="10"/>
      <c r="O96" s="31"/>
      <c r="P96" s="20"/>
      <c r="Q96" s="21"/>
      <c r="R96" s="8">
        <f t="shared" si="24"/>
        <v>42</v>
      </c>
      <c r="S96" s="9">
        <f t="shared" si="25"/>
        <v>0</v>
      </c>
      <c r="T96" s="10">
        <f t="shared" si="26"/>
        <v>5</v>
      </c>
      <c r="U96" s="12">
        <f t="shared" si="31"/>
        <v>373.8</v>
      </c>
      <c r="V96" s="13">
        <f t="shared" si="31"/>
        <v>0</v>
      </c>
      <c r="W96" s="14">
        <f t="shared" si="32"/>
        <v>55.599999999999994</v>
      </c>
      <c r="X96" s="15">
        <f t="shared" si="27"/>
        <v>429.4</v>
      </c>
    </row>
    <row r="97" spans="1:25" x14ac:dyDescent="0.25">
      <c r="C97" s="7">
        <f t="shared" ref="C97:E97" si="39">SUM(C66:C96)</f>
        <v>336</v>
      </c>
      <c r="D97" s="7">
        <f t="shared" si="39"/>
        <v>7</v>
      </c>
      <c r="E97" s="7">
        <f t="shared" si="39"/>
        <v>25</v>
      </c>
      <c r="F97" s="7">
        <f>SUM(F66:F96)</f>
        <v>846</v>
      </c>
      <c r="G97" s="7">
        <f>SUM(G66:G96)</f>
        <v>25</v>
      </c>
      <c r="H97" s="7">
        <f>SUM(H66:H96)</f>
        <v>106</v>
      </c>
      <c r="I97" s="7">
        <f t="shared" ref="I97:Q97" si="40">SUM(I66:I96)</f>
        <v>0</v>
      </c>
      <c r="J97" s="7">
        <f t="shared" si="40"/>
        <v>0</v>
      </c>
      <c r="K97" s="7">
        <f t="shared" si="40"/>
        <v>0</v>
      </c>
      <c r="L97" s="7">
        <f t="shared" si="40"/>
        <v>0</v>
      </c>
      <c r="M97" s="7">
        <f t="shared" si="40"/>
        <v>0</v>
      </c>
      <c r="N97" s="7">
        <f t="shared" si="40"/>
        <v>0</v>
      </c>
      <c r="O97" s="7">
        <f t="shared" si="40"/>
        <v>0</v>
      </c>
      <c r="P97" s="7">
        <f t="shared" si="40"/>
        <v>0</v>
      </c>
      <c r="Q97" s="7">
        <f t="shared" si="40"/>
        <v>0</v>
      </c>
      <c r="R97" s="7">
        <f t="shared" ref="R97:X97" si="41">SUM(R66:R96)</f>
        <v>1182</v>
      </c>
      <c r="S97" s="7">
        <f t="shared" si="41"/>
        <v>32</v>
      </c>
      <c r="T97" s="7">
        <f t="shared" si="41"/>
        <v>131</v>
      </c>
      <c r="U97" s="15">
        <f t="shared" si="41"/>
        <v>10667.640000000003</v>
      </c>
      <c r="V97" s="15">
        <f t="shared" si="41"/>
        <v>305.92</v>
      </c>
      <c r="W97" s="15">
        <f t="shared" si="41"/>
        <v>1503.1999999999996</v>
      </c>
      <c r="X97" s="15">
        <f t="shared" si="41"/>
        <v>12476.760000000002</v>
      </c>
    </row>
    <row r="100" spans="1:25" ht="18.75" x14ac:dyDescent="0.25">
      <c r="A100" s="146" t="s">
        <v>83</v>
      </c>
      <c r="B100" s="147"/>
      <c r="C100" s="143" t="s">
        <v>8</v>
      </c>
      <c r="D100" s="143"/>
      <c r="E100" s="143"/>
      <c r="F100" s="143" t="s">
        <v>8</v>
      </c>
      <c r="G100" s="143"/>
      <c r="H100" s="143"/>
      <c r="I100" s="143" t="s">
        <v>8</v>
      </c>
      <c r="J100" s="143"/>
      <c r="K100" s="143"/>
      <c r="L100" s="143" t="s">
        <v>8</v>
      </c>
      <c r="M100" s="143"/>
      <c r="N100" s="143"/>
      <c r="O100" s="145" t="s">
        <v>8</v>
      </c>
      <c r="P100" s="145"/>
      <c r="Q100" s="145"/>
      <c r="R100" s="143" t="s">
        <v>13</v>
      </c>
      <c r="S100" s="143"/>
      <c r="T100" s="143"/>
      <c r="U100" s="143" t="s">
        <v>12</v>
      </c>
      <c r="V100" s="143"/>
      <c r="W100" s="143"/>
      <c r="X100" s="143"/>
    </row>
    <row r="101" spans="1:25" ht="15" customHeight="1" x14ac:dyDescent="0.25">
      <c r="A101" s="2" t="s">
        <v>0</v>
      </c>
      <c r="B101" s="7" t="s">
        <v>1</v>
      </c>
      <c r="C101" s="144" t="s">
        <v>139</v>
      </c>
      <c r="D101" s="144"/>
      <c r="E101" s="144"/>
      <c r="F101" s="144" t="s">
        <v>140</v>
      </c>
      <c r="G101" s="144"/>
      <c r="H101" s="144"/>
      <c r="I101" s="143" t="s">
        <v>141</v>
      </c>
      <c r="J101" s="143"/>
      <c r="K101" s="143"/>
      <c r="L101" s="145" t="s">
        <v>142</v>
      </c>
      <c r="M101" s="145"/>
      <c r="N101" s="145"/>
      <c r="O101" s="145" t="s">
        <v>143</v>
      </c>
      <c r="P101" s="145"/>
      <c r="Q101" s="145"/>
      <c r="R101" s="6" t="s">
        <v>11</v>
      </c>
      <c r="S101" s="6" t="s">
        <v>10</v>
      </c>
      <c r="T101" s="6" t="s">
        <v>9</v>
      </c>
      <c r="U101" s="6" t="s">
        <v>11</v>
      </c>
      <c r="V101" s="6" t="s">
        <v>10</v>
      </c>
      <c r="W101" s="6" t="s">
        <v>9</v>
      </c>
      <c r="X101" s="7" t="s">
        <v>14</v>
      </c>
    </row>
    <row r="102" spans="1:25" x14ac:dyDescent="0.25">
      <c r="A102" s="2">
        <v>11515</v>
      </c>
      <c r="B102" s="77" t="s">
        <v>110</v>
      </c>
      <c r="C102" s="8">
        <v>14</v>
      </c>
      <c r="D102" s="9"/>
      <c r="E102" s="10"/>
      <c r="F102" s="8">
        <v>35</v>
      </c>
      <c r="G102" s="9"/>
      <c r="H102" s="10">
        <v>5</v>
      </c>
      <c r="I102" s="8"/>
      <c r="J102" s="9"/>
      <c r="K102" s="10"/>
      <c r="L102" s="8"/>
      <c r="M102" s="9"/>
      <c r="N102" s="10"/>
      <c r="O102" s="31"/>
      <c r="P102" s="33"/>
      <c r="Q102" s="32"/>
      <c r="R102" s="8">
        <f t="shared" ref="R102:R132" si="42">C102+F102+I102+L102+O102</f>
        <v>49</v>
      </c>
      <c r="S102" s="9">
        <f t="shared" ref="S102:S132" si="43">D102+G102+J102+M102+P102</f>
        <v>0</v>
      </c>
      <c r="T102" s="10">
        <f t="shared" ref="T102:T132" si="44">E102+H102+K102+N102+Q102</f>
        <v>5</v>
      </c>
      <c r="U102" s="12">
        <f t="shared" ref="U102:U132" si="45">R102*8.9</f>
        <v>436.1</v>
      </c>
      <c r="V102" s="13">
        <f t="shared" ref="V102:V132" si="46">S102*8.9</f>
        <v>0</v>
      </c>
      <c r="W102" s="14">
        <f t="shared" ref="W102:W132" si="47">T102*11.12</f>
        <v>55.599999999999994</v>
      </c>
      <c r="X102" s="15">
        <f t="shared" ref="X102:X132" si="48">SUM(U102:W102)</f>
        <v>491.70000000000005</v>
      </c>
    </row>
    <row r="103" spans="1:25" x14ac:dyDescent="0.25">
      <c r="A103" s="2">
        <v>11430</v>
      </c>
      <c r="B103" s="36" t="s">
        <v>54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2"/>
      <c r="Q103" s="42"/>
      <c r="R103" s="8">
        <f t="shared" si="42"/>
        <v>0</v>
      </c>
      <c r="S103" s="9">
        <f t="shared" si="43"/>
        <v>0</v>
      </c>
      <c r="T103" s="10">
        <f t="shared" si="44"/>
        <v>0</v>
      </c>
      <c r="U103" s="12">
        <f t="shared" si="45"/>
        <v>0</v>
      </c>
      <c r="V103" s="13">
        <f t="shared" si="46"/>
        <v>0</v>
      </c>
      <c r="W103" s="14">
        <f t="shared" si="47"/>
        <v>0</v>
      </c>
      <c r="X103" s="15">
        <f t="shared" si="48"/>
        <v>0</v>
      </c>
    </row>
    <row r="104" spans="1:25" x14ac:dyDescent="0.25">
      <c r="A104" s="2">
        <v>11431</v>
      </c>
      <c r="B104" s="36" t="s">
        <v>55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2"/>
      <c r="Q104" s="42"/>
      <c r="R104" s="8">
        <f t="shared" si="42"/>
        <v>0</v>
      </c>
      <c r="S104" s="9">
        <f t="shared" si="43"/>
        <v>0</v>
      </c>
      <c r="T104" s="10">
        <f t="shared" si="44"/>
        <v>0</v>
      </c>
      <c r="U104" s="12">
        <f t="shared" si="45"/>
        <v>0</v>
      </c>
      <c r="V104" s="13">
        <f t="shared" si="46"/>
        <v>0</v>
      </c>
      <c r="W104" s="14">
        <f t="shared" si="47"/>
        <v>0</v>
      </c>
      <c r="X104" s="15">
        <f t="shared" si="48"/>
        <v>0</v>
      </c>
    </row>
    <row r="105" spans="1:25" x14ac:dyDescent="0.25">
      <c r="A105" s="2">
        <v>11448</v>
      </c>
      <c r="B105" s="36" t="s">
        <v>56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2"/>
      <c r="Q105" s="42"/>
      <c r="R105" s="8">
        <f t="shared" si="42"/>
        <v>0</v>
      </c>
      <c r="S105" s="9">
        <f t="shared" si="43"/>
        <v>0</v>
      </c>
      <c r="T105" s="10">
        <f t="shared" si="44"/>
        <v>0</v>
      </c>
      <c r="U105" s="12">
        <f t="shared" si="45"/>
        <v>0</v>
      </c>
      <c r="V105" s="13">
        <f t="shared" si="46"/>
        <v>0</v>
      </c>
      <c r="W105" s="14">
        <f t="shared" si="47"/>
        <v>0</v>
      </c>
      <c r="X105" s="15">
        <f t="shared" si="48"/>
        <v>0</v>
      </c>
    </row>
    <row r="106" spans="1:25" s="52" customFormat="1" x14ac:dyDescent="0.25">
      <c r="A106" s="27">
        <v>11516</v>
      </c>
      <c r="B106" s="37" t="s">
        <v>105</v>
      </c>
      <c r="C106" s="58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8">
        <f t="shared" si="42"/>
        <v>0</v>
      </c>
      <c r="S106" s="60">
        <f t="shared" si="43"/>
        <v>0</v>
      </c>
      <c r="T106" s="61">
        <f t="shared" si="44"/>
        <v>0</v>
      </c>
      <c r="U106" s="62">
        <f t="shared" si="45"/>
        <v>0</v>
      </c>
      <c r="V106" s="63">
        <f t="shared" si="46"/>
        <v>0</v>
      </c>
      <c r="W106" s="64">
        <f t="shared" si="47"/>
        <v>0</v>
      </c>
      <c r="X106" s="65">
        <f t="shared" si="48"/>
        <v>0</v>
      </c>
    </row>
    <row r="107" spans="1:25" x14ac:dyDescent="0.25">
      <c r="A107" s="2">
        <v>11475</v>
      </c>
      <c r="B107" s="36" t="s">
        <v>57</v>
      </c>
      <c r="C107" s="74">
        <v>14</v>
      </c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5"/>
      <c r="P107" s="75"/>
      <c r="Q107" s="75"/>
      <c r="R107" s="8">
        <f t="shared" si="42"/>
        <v>14</v>
      </c>
      <c r="S107" s="9">
        <f t="shared" si="43"/>
        <v>0</v>
      </c>
      <c r="T107" s="10">
        <f t="shared" si="44"/>
        <v>0</v>
      </c>
      <c r="U107" s="12">
        <f t="shared" si="45"/>
        <v>124.60000000000001</v>
      </c>
      <c r="V107" s="13">
        <f t="shared" si="46"/>
        <v>0</v>
      </c>
      <c r="W107" s="14">
        <f t="shared" si="47"/>
        <v>0</v>
      </c>
      <c r="X107" s="15">
        <f t="shared" si="48"/>
        <v>124.60000000000001</v>
      </c>
      <c r="Y107" s="52" t="s">
        <v>148</v>
      </c>
    </row>
    <row r="108" spans="1:25" x14ac:dyDescent="0.25">
      <c r="A108" s="2">
        <v>11433</v>
      </c>
      <c r="B108" s="36" t="s">
        <v>58</v>
      </c>
      <c r="C108" s="8"/>
      <c r="D108" s="9"/>
      <c r="E108" s="10"/>
      <c r="F108" s="8"/>
      <c r="G108" s="9"/>
      <c r="H108" s="10"/>
      <c r="I108" s="8"/>
      <c r="J108" s="9"/>
      <c r="K108" s="10"/>
      <c r="L108" s="8"/>
      <c r="M108" s="9"/>
      <c r="N108" s="10"/>
      <c r="O108" s="31"/>
      <c r="P108" s="33"/>
      <c r="Q108" s="32"/>
      <c r="R108" s="8">
        <f t="shared" si="42"/>
        <v>0</v>
      </c>
      <c r="S108" s="9">
        <f t="shared" si="43"/>
        <v>0</v>
      </c>
      <c r="T108" s="10">
        <f t="shared" si="44"/>
        <v>0</v>
      </c>
      <c r="U108" s="12">
        <f t="shared" si="45"/>
        <v>0</v>
      </c>
      <c r="V108" s="13">
        <f t="shared" si="46"/>
        <v>0</v>
      </c>
      <c r="W108" s="14">
        <f t="shared" si="47"/>
        <v>0</v>
      </c>
      <c r="X108" s="15">
        <f t="shared" si="48"/>
        <v>0</v>
      </c>
    </row>
    <row r="109" spans="1:25" x14ac:dyDescent="0.25">
      <c r="A109" s="2">
        <v>11511</v>
      </c>
      <c r="B109" s="77" t="s">
        <v>104</v>
      </c>
      <c r="C109" s="8">
        <v>14</v>
      </c>
      <c r="D109" s="9"/>
      <c r="E109" s="10"/>
      <c r="F109" s="8">
        <v>28</v>
      </c>
      <c r="G109" s="9"/>
      <c r="H109" s="10">
        <v>5</v>
      </c>
      <c r="I109" s="8"/>
      <c r="J109" s="9"/>
      <c r="K109" s="10"/>
      <c r="L109" s="8"/>
      <c r="M109" s="9"/>
      <c r="N109" s="10"/>
      <c r="O109" s="31"/>
      <c r="P109" s="33"/>
      <c r="Q109" s="32"/>
      <c r="R109" s="8">
        <f t="shared" si="42"/>
        <v>42</v>
      </c>
      <c r="S109" s="9">
        <f t="shared" si="43"/>
        <v>0</v>
      </c>
      <c r="T109" s="10">
        <f t="shared" si="44"/>
        <v>5</v>
      </c>
      <c r="U109" s="12">
        <f t="shared" si="45"/>
        <v>373.8</v>
      </c>
      <c r="V109" s="13">
        <f t="shared" si="46"/>
        <v>0</v>
      </c>
      <c r="W109" s="14">
        <f t="shared" si="47"/>
        <v>55.599999999999994</v>
      </c>
      <c r="X109" s="15">
        <f t="shared" si="48"/>
        <v>429.4</v>
      </c>
    </row>
    <row r="110" spans="1:25" x14ac:dyDescent="0.25">
      <c r="A110" s="2">
        <v>11485</v>
      </c>
      <c r="B110" s="77" t="s">
        <v>60</v>
      </c>
      <c r="C110" s="8">
        <v>14</v>
      </c>
      <c r="D110" s="9"/>
      <c r="E110" s="10"/>
      <c r="F110" s="8">
        <v>35</v>
      </c>
      <c r="G110" s="9"/>
      <c r="H110" s="10">
        <v>5</v>
      </c>
      <c r="I110" s="8"/>
      <c r="J110" s="9"/>
      <c r="K110" s="10"/>
      <c r="L110" s="8"/>
      <c r="M110" s="9"/>
      <c r="N110" s="10"/>
      <c r="O110" s="31"/>
      <c r="P110" s="33"/>
      <c r="Q110" s="32"/>
      <c r="R110" s="8">
        <f t="shared" si="42"/>
        <v>49</v>
      </c>
      <c r="S110" s="9">
        <f t="shared" si="43"/>
        <v>0</v>
      </c>
      <c r="T110" s="10">
        <f t="shared" si="44"/>
        <v>5</v>
      </c>
      <c r="U110" s="12">
        <f t="shared" si="45"/>
        <v>436.1</v>
      </c>
      <c r="V110" s="13">
        <f t="shared" si="46"/>
        <v>0</v>
      </c>
      <c r="W110" s="14">
        <f t="shared" si="47"/>
        <v>55.599999999999994</v>
      </c>
      <c r="X110" s="15">
        <f t="shared" si="48"/>
        <v>491.70000000000005</v>
      </c>
    </row>
    <row r="111" spans="1:25" x14ac:dyDescent="0.25">
      <c r="A111" s="2">
        <v>11458</v>
      </c>
      <c r="B111" s="37" t="s">
        <v>61</v>
      </c>
      <c r="C111" s="59">
        <v>14</v>
      </c>
      <c r="D111" s="59"/>
      <c r="E111" s="59"/>
      <c r="F111" s="59">
        <v>7</v>
      </c>
      <c r="G111" s="41"/>
      <c r="H111" s="41"/>
      <c r="I111" s="41"/>
      <c r="J111" s="41"/>
      <c r="K111" s="41"/>
      <c r="L111" s="41"/>
      <c r="M111" s="41"/>
      <c r="N111" s="41"/>
      <c r="O111" s="43"/>
      <c r="P111" s="43"/>
      <c r="Q111" s="43"/>
      <c r="R111" s="8">
        <f t="shared" si="42"/>
        <v>21</v>
      </c>
      <c r="S111" s="9">
        <f t="shared" si="43"/>
        <v>0</v>
      </c>
      <c r="T111" s="10">
        <f t="shared" si="44"/>
        <v>0</v>
      </c>
      <c r="U111" s="12">
        <f t="shared" si="45"/>
        <v>186.9</v>
      </c>
      <c r="V111" s="13">
        <f t="shared" si="46"/>
        <v>0</v>
      </c>
      <c r="W111" s="14">
        <f t="shared" si="47"/>
        <v>0</v>
      </c>
      <c r="X111" s="15">
        <f t="shared" si="48"/>
        <v>186.9</v>
      </c>
      <c r="Y111" s="52" t="s">
        <v>149</v>
      </c>
    </row>
    <row r="112" spans="1:25" x14ac:dyDescent="0.25">
      <c r="A112" s="2">
        <v>11457</v>
      </c>
      <c r="B112" s="37" t="s">
        <v>62</v>
      </c>
      <c r="C112" s="59">
        <v>14</v>
      </c>
      <c r="D112" s="59"/>
      <c r="E112" s="59"/>
      <c r="F112" s="59">
        <v>7</v>
      </c>
      <c r="G112" s="41"/>
      <c r="H112" s="41"/>
      <c r="I112" s="41"/>
      <c r="J112" s="41"/>
      <c r="K112" s="41"/>
      <c r="L112" s="41"/>
      <c r="M112" s="41"/>
      <c r="N112" s="41"/>
      <c r="O112" s="43"/>
      <c r="P112" s="43"/>
      <c r="Q112" s="43"/>
      <c r="R112" s="8">
        <f t="shared" si="42"/>
        <v>21</v>
      </c>
      <c r="S112" s="9">
        <f t="shared" si="43"/>
        <v>0</v>
      </c>
      <c r="T112" s="10">
        <f t="shared" si="44"/>
        <v>0</v>
      </c>
      <c r="U112" s="12">
        <f t="shared" si="45"/>
        <v>186.9</v>
      </c>
      <c r="V112" s="13">
        <f t="shared" si="46"/>
        <v>0</v>
      </c>
      <c r="W112" s="14">
        <f t="shared" si="47"/>
        <v>0</v>
      </c>
      <c r="X112" s="15">
        <f t="shared" si="48"/>
        <v>186.9</v>
      </c>
      <c r="Y112" s="52" t="s">
        <v>149</v>
      </c>
    </row>
    <row r="113" spans="1:24" x14ac:dyDescent="0.25">
      <c r="A113" s="2">
        <v>11509</v>
      </c>
      <c r="B113" s="77" t="s">
        <v>103</v>
      </c>
      <c r="C113" s="8">
        <v>14</v>
      </c>
      <c r="D113" s="9"/>
      <c r="E113" s="10"/>
      <c r="F113" s="8">
        <v>36</v>
      </c>
      <c r="G113" s="9"/>
      <c r="H113" s="10"/>
      <c r="I113" s="8"/>
      <c r="J113" s="9"/>
      <c r="K113" s="10"/>
      <c r="L113" s="8"/>
      <c r="M113" s="9"/>
      <c r="N113" s="10"/>
      <c r="O113" s="31"/>
      <c r="P113" s="33"/>
      <c r="Q113" s="32"/>
      <c r="R113" s="8">
        <f t="shared" si="42"/>
        <v>50</v>
      </c>
      <c r="S113" s="9">
        <f t="shared" si="43"/>
        <v>0</v>
      </c>
      <c r="T113" s="10">
        <f t="shared" si="44"/>
        <v>0</v>
      </c>
      <c r="U113" s="12">
        <f t="shared" si="45"/>
        <v>445</v>
      </c>
      <c r="V113" s="13">
        <f t="shared" si="46"/>
        <v>0</v>
      </c>
      <c r="W113" s="14">
        <f t="shared" si="47"/>
        <v>0</v>
      </c>
      <c r="X113" s="15">
        <f t="shared" si="48"/>
        <v>445</v>
      </c>
    </row>
    <row r="114" spans="1:24" x14ac:dyDescent="0.25">
      <c r="A114" s="2">
        <v>11518</v>
      </c>
      <c r="B114" s="77" t="s">
        <v>107</v>
      </c>
      <c r="C114" s="8">
        <v>14</v>
      </c>
      <c r="D114" s="9"/>
      <c r="E114" s="10"/>
      <c r="F114" s="8">
        <v>35</v>
      </c>
      <c r="G114" s="9"/>
      <c r="H114" s="10">
        <v>5.5</v>
      </c>
      <c r="I114" s="8"/>
      <c r="J114" s="9"/>
      <c r="K114" s="10"/>
      <c r="L114" s="8"/>
      <c r="M114" s="9"/>
      <c r="N114" s="10"/>
      <c r="O114" s="31"/>
      <c r="P114" s="33"/>
      <c r="Q114" s="32"/>
      <c r="R114" s="8">
        <f t="shared" si="42"/>
        <v>49</v>
      </c>
      <c r="S114" s="9">
        <f t="shared" si="43"/>
        <v>0</v>
      </c>
      <c r="T114" s="10">
        <f t="shared" si="44"/>
        <v>5.5</v>
      </c>
      <c r="U114" s="12">
        <f t="shared" si="45"/>
        <v>436.1</v>
      </c>
      <c r="V114" s="13">
        <f t="shared" si="46"/>
        <v>0</v>
      </c>
      <c r="W114" s="14">
        <f t="shared" si="47"/>
        <v>61.16</v>
      </c>
      <c r="X114" s="15">
        <f t="shared" si="48"/>
        <v>497.26</v>
      </c>
    </row>
    <row r="115" spans="1:24" x14ac:dyDescent="0.25">
      <c r="A115" s="2">
        <v>11421</v>
      </c>
      <c r="B115" s="36" t="s">
        <v>63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2"/>
      <c r="Q115" s="42"/>
      <c r="R115" s="8">
        <f t="shared" si="42"/>
        <v>0</v>
      </c>
      <c r="S115" s="9">
        <f t="shared" si="43"/>
        <v>0</v>
      </c>
      <c r="T115" s="10">
        <f t="shared" si="44"/>
        <v>0</v>
      </c>
      <c r="U115" s="12">
        <f t="shared" si="45"/>
        <v>0</v>
      </c>
      <c r="V115" s="13">
        <f t="shared" si="46"/>
        <v>0</v>
      </c>
      <c r="W115" s="14">
        <f t="shared" si="47"/>
        <v>0</v>
      </c>
      <c r="X115" s="15">
        <f t="shared" si="48"/>
        <v>0</v>
      </c>
    </row>
    <row r="116" spans="1:24" x14ac:dyDescent="0.25">
      <c r="A116" s="2">
        <v>11484</v>
      </c>
      <c r="B116" s="77" t="s">
        <v>64</v>
      </c>
      <c r="C116" s="8">
        <v>14</v>
      </c>
      <c r="D116" s="9"/>
      <c r="E116" s="10"/>
      <c r="F116" s="8">
        <v>35</v>
      </c>
      <c r="G116" s="9"/>
      <c r="H116" s="10"/>
      <c r="I116" s="8"/>
      <c r="J116" s="9"/>
      <c r="K116" s="10"/>
      <c r="L116" s="8"/>
      <c r="M116" s="9"/>
      <c r="N116" s="10"/>
      <c r="O116" s="31"/>
      <c r="P116" s="33"/>
      <c r="Q116" s="32"/>
      <c r="R116" s="8">
        <f t="shared" si="42"/>
        <v>49</v>
      </c>
      <c r="S116" s="9">
        <f t="shared" si="43"/>
        <v>0</v>
      </c>
      <c r="T116" s="10">
        <f t="shared" si="44"/>
        <v>0</v>
      </c>
      <c r="U116" s="12">
        <f t="shared" si="45"/>
        <v>436.1</v>
      </c>
      <c r="V116" s="13">
        <f t="shared" si="46"/>
        <v>0</v>
      </c>
      <c r="W116" s="14">
        <f t="shared" si="47"/>
        <v>0</v>
      </c>
      <c r="X116" s="15">
        <f t="shared" si="48"/>
        <v>436.1</v>
      </c>
    </row>
    <row r="117" spans="1:24" x14ac:dyDescent="0.25">
      <c r="A117" s="2">
        <v>11510</v>
      </c>
      <c r="B117" s="77" t="s">
        <v>102</v>
      </c>
      <c r="C117" s="8">
        <v>14</v>
      </c>
      <c r="D117" s="9"/>
      <c r="E117" s="10"/>
      <c r="F117" s="8">
        <v>35</v>
      </c>
      <c r="G117" s="9"/>
      <c r="H117" s="10">
        <v>5</v>
      </c>
      <c r="I117" s="8"/>
      <c r="J117" s="9"/>
      <c r="K117" s="10"/>
      <c r="L117" s="8"/>
      <c r="M117" s="9"/>
      <c r="N117" s="10"/>
      <c r="O117" s="31"/>
      <c r="P117" s="33"/>
      <c r="Q117" s="32"/>
      <c r="R117" s="8">
        <f t="shared" si="42"/>
        <v>49</v>
      </c>
      <c r="S117" s="9">
        <f t="shared" si="43"/>
        <v>0</v>
      </c>
      <c r="T117" s="10">
        <f t="shared" si="44"/>
        <v>5</v>
      </c>
      <c r="U117" s="12">
        <f t="shared" si="45"/>
        <v>436.1</v>
      </c>
      <c r="V117" s="13">
        <f t="shared" si="46"/>
        <v>0</v>
      </c>
      <c r="W117" s="14">
        <f t="shared" si="47"/>
        <v>55.599999999999994</v>
      </c>
      <c r="X117" s="15">
        <f t="shared" si="48"/>
        <v>491.70000000000005</v>
      </c>
    </row>
    <row r="118" spans="1:24" x14ac:dyDescent="0.25">
      <c r="A118" s="2">
        <v>11507</v>
      </c>
      <c r="B118" s="77" t="s">
        <v>98</v>
      </c>
      <c r="C118" s="8">
        <v>14</v>
      </c>
      <c r="D118" s="9"/>
      <c r="E118" s="10"/>
      <c r="F118" s="8">
        <v>35</v>
      </c>
      <c r="G118" s="9"/>
      <c r="H118" s="10">
        <v>5</v>
      </c>
      <c r="I118" s="8"/>
      <c r="J118" s="9"/>
      <c r="K118" s="10"/>
      <c r="L118" s="8"/>
      <c r="M118" s="9"/>
      <c r="N118" s="10"/>
      <c r="O118" s="31"/>
      <c r="P118" s="33"/>
      <c r="Q118" s="32"/>
      <c r="R118" s="8">
        <f t="shared" si="42"/>
        <v>49</v>
      </c>
      <c r="S118" s="9">
        <f t="shared" si="43"/>
        <v>0</v>
      </c>
      <c r="T118" s="10">
        <f t="shared" si="44"/>
        <v>5</v>
      </c>
      <c r="U118" s="12">
        <f t="shared" si="45"/>
        <v>436.1</v>
      </c>
      <c r="V118" s="13">
        <f t="shared" si="46"/>
        <v>0</v>
      </c>
      <c r="W118" s="14">
        <f t="shared" si="47"/>
        <v>55.599999999999994</v>
      </c>
      <c r="X118" s="15">
        <f t="shared" si="48"/>
        <v>491.70000000000005</v>
      </c>
    </row>
    <row r="119" spans="1:24" x14ac:dyDescent="0.25">
      <c r="A119" s="2">
        <v>11445</v>
      </c>
      <c r="B119" s="36" t="s">
        <v>68</v>
      </c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2"/>
      <c r="Q119" s="42"/>
      <c r="R119" s="8">
        <f t="shared" si="42"/>
        <v>0</v>
      </c>
      <c r="S119" s="9">
        <f t="shared" si="43"/>
        <v>0</v>
      </c>
      <c r="T119" s="10">
        <f t="shared" si="44"/>
        <v>0</v>
      </c>
      <c r="U119" s="12">
        <f t="shared" si="45"/>
        <v>0</v>
      </c>
      <c r="V119" s="13">
        <f t="shared" si="46"/>
        <v>0</v>
      </c>
      <c r="W119" s="14">
        <f t="shared" si="47"/>
        <v>0</v>
      </c>
      <c r="X119" s="15">
        <f t="shared" si="48"/>
        <v>0</v>
      </c>
    </row>
    <row r="120" spans="1:24" x14ac:dyDescent="0.25">
      <c r="A120" s="2">
        <v>11432</v>
      </c>
      <c r="B120" s="36" t="s">
        <v>69</v>
      </c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2"/>
      <c r="Q120" s="42"/>
      <c r="R120" s="8">
        <f t="shared" si="42"/>
        <v>0</v>
      </c>
      <c r="S120" s="9">
        <f t="shared" si="43"/>
        <v>0</v>
      </c>
      <c r="T120" s="10">
        <f t="shared" si="44"/>
        <v>0</v>
      </c>
      <c r="U120" s="12">
        <f t="shared" si="45"/>
        <v>0</v>
      </c>
      <c r="V120" s="13">
        <f t="shared" si="46"/>
        <v>0</v>
      </c>
      <c r="W120" s="14">
        <f t="shared" si="47"/>
        <v>0</v>
      </c>
      <c r="X120" s="15">
        <f t="shared" si="48"/>
        <v>0</v>
      </c>
    </row>
    <row r="121" spans="1:24" x14ac:dyDescent="0.25">
      <c r="A121" s="2">
        <v>11422</v>
      </c>
      <c r="B121" s="36" t="s">
        <v>70</v>
      </c>
      <c r="C121" s="8"/>
      <c r="D121" s="9"/>
      <c r="E121" s="10"/>
      <c r="F121" s="8"/>
      <c r="G121" s="9"/>
      <c r="H121" s="10"/>
      <c r="I121" s="8"/>
      <c r="J121" s="9"/>
      <c r="K121" s="10"/>
      <c r="L121" s="8"/>
      <c r="M121" s="9"/>
      <c r="N121" s="10"/>
      <c r="O121" s="8"/>
      <c r="P121" s="20"/>
      <c r="Q121" s="21"/>
      <c r="R121" s="8">
        <f t="shared" si="42"/>
        <v>0</v>
      </c>
      <c r="S121" s="9">
        <f t="shared" si="43"/>
        <v>0</v>
      </c>
      <c r="T121" s="10">
        <f t="shared" si="44"/>
        <v>0</v>
      </c>
      <c r="U121" s="12">
        <f t="shared" si="45"/>
        <v>0</v>
      </c>
      <c r="V121" s="13">
        <f t="shared" si="46"/>
        <v>0</v>
      </c>
      <c r="W121" s="14">
        <f t="shared" si="47"/>
        <v>0</v>
      </c>
      <c r="X121" s="15">
        <f t="shared" si="48"/>
        <v>0</v>
      </c>
    </row>
    <row r="122" spans="1:24" s="52" customFormat="1" x14ac:dyDescent="0.25">
      <c r="A122" s="66">
        <v>11522</v>
      </c>
      <c r="B122" s="68" t="s">
        <v>121</v>
      </c>
      <c r="C122" s="58"/>
      <c r="D122" s="60"/>
      <c r="E122" s="61"/>
      <c r="F122" s="58"/>
      <c r="G122" s="60"/>
      <c r="H122" s="61"/>
      <c r="I122" s="58"/>
      <c r="J122" s="60"/>
      <c r="K122" s="61"/>
      <c r="L122" s="59"/>
      <c r="M122" s="59"/>
      <c r="N122" s="59"/>
      <c r="O122" s="59"/>
      <c r="P122" s="59"/>
      <c r="Q122" s="59"/>
      <c r="R122" s="58">
        <f t="shared" si="42"/>
        <v>0</v>
      </c>
      <c r="S122" s="60">
        <f t="shared" si="43"/>
        <v>0</v>
      </c>
      <c r="T122" s="61">
        <f t="shared" si="44"/>
        <v>0</v>
      </c>
      <c r="U122" s="62">
        <f t="shared" si="45"/>
        <v>0</v>
      </c>
      <c r="V122" s="63">
        <f t="shared" si="46"/>
        <v>0</v>
      </c>
      <c r="W122" s="64">
        <f t="shared" si="47"/>
        <v>0</v>
      </c>
      <c r="X122" s="65">
        <f t="shared" si="48"/>
        <v>0</v>
      </c>
    </row>
    <row r="123" spans="1:24" x14ac:dyDescent="0.25">
      <c r="A123" s="2">
        <v>11506</v>
      </c>
      <c r="B123" s="77" t="s">
        <v>101</v>
      </c>
      <c r="C123" s="8">
        <v>14</v>
      </c>
      <c r="D123" s="9"/>
      <c r="E123" s="10"/>
      <c r="F123" s="8">
        <v>35</v>
      </c>
      <c r="G123" s="9"/>
      <c r="H123" s="10">
        <v>5</v>
      </c>
      <c r="I123" s="8"/>
      <c r="J123" s="9"/>
      <c r="K123" s="10"/>
      <c r="L123" s="8"/>
      <c r="M123" s="9"/>
      <c r="N123" s="10"/>
      <c r="O123" s="31"/>
      <c r="P123" s="33"/>
      <c r="Q123" s="32"/>
      <c r="R123" s="8">
        <f t="shared" si="42"/>
        <v>49</v>
      </c>
      <c r="S123" s="9">
        <f t="shared" si="43"/>
        <v>0</v>
      </c>
      <c r="T123" s="10">
        <f t="shared" si="44"/>
        <v>5</v>
      </c>
      <c r="U123" s="12">
        <f t="shared" si="45"/>
        <v>436.1</v>
      </c>
      <c r="V123" s="13">
        <f t="shared" si="46"/>
        <v>0</v>
      </c>
      <c r="W123" s="14">
        <f t="shared" si="47"/>
        <v>55.599999999999994</v>
      </c>
      <c r="X123" s="15">
        <f t="shared" si="48"/>
        <v>491.70000000000005</v>
      </c>
    </row>
    <row r="124" spans="1:24" x14ac:dyDescent="0.25">
      <c r="A124" s="2">
        <v>11478</v>
      </c>
      <c r="B124" s="36" t="s">
        <v>71</v>
      </c>
      <c r="C124" s="8"/>
      <c r="D124" s="9"/>
      <c r="E124" s="10"/>
      <c r="F124" s="8"/>
      <c r="G124" s="9"/>
      <c r="H124" s="10"/>
      <c r="I124" s="8"/>
      <c r="J124" s="9"/>
      <c r="K124" s="10"/>
      <c r="L124" s="8"/>
      <c r="M124" s="9"/>
      <c r="N124" s="10"/>
      <c r="O124" s="31"/>
      <c r="P124" s="33"/>
      <c r="Q124" s="32"/>
      <c r="R124" s="8">
        <f t="shared" si="42"/>
        <v>0</v>
      </c>
      <c r="S124" s="9">
        <f t="shared" si="43"/>
        <v>0</v>
      </c>
      <c r="T124" s="10">
        <f t="shared" si="44"/>
        <v>0</v>
      </c>
      <c r="U124" s="12">
        <f t="shared" si="45"/>
        <v>0</v>
      </c>
      <c r="V124" s="13">
        <f t="shared" si="46"/>
        <v>0</v>
      </c>
      <c r="W124" s="14">
        <f t="shared" si="47"/>
        <v>0</v>
      </c>
      <c r="X124" s="15">
        <f t="shared" si="48"/>
        <v>0</v>
      </c>
    </row>
    <row r="125" spans="1:24" x14ac:dyDescent="0.25">
      <c r="A125" s="2">
        <v>11477</v>
      </c>
      <c r="B125" s="77" t="s">
        <v>72</v>
      </c>
      <c r="C125" s="8">
        <v>14</v>
      </c>
      <c r="D125" s="9"/>
      <c r="E125" s="10"/>
      <c r="F125" s="8">
        <v>35</v>
      </c>
      <c r="G125" s="9"/>
      <c r="H125" s="10">
        <v>5</v>
      </c>
      <c r="I125" s="8"/>
      <c r="J125" s="9"/>
      <c r="K125" s="10"/>
      <c r="L125" s="8"/>
      <c r="M125" s="9"/>
      <c r="N125" s="10"/>
      <c r="O125" s="31"/>
      <c r="P125" s="33"/>
      <c r="Q125" s="32"/>
      <c r="R125" s="8">
        <f t="shared" si="42"/>
        <v>49</v>
      </c>
      <c r="S125" s="9">
        <f t="shared" si="43"/>
        <v>0</v>
      </c>
      <c r="T125" s="10">
        <f t="shared" si="44"/>
        <v>5</v>
      </c>
      <c r="U125" s="12">
        <f t="shared" si="45"/>
        <v>436.1</v>
      </c>
      <c r="V125" s="13">
        <f t="shared" si="46"/>
        <v>0</v>
      </c>
      <c r="W125" s="14">
        <f t="shared" si="47"/>
        <v>55.599999999999994</v>
      </c>
      <c r="X125" s="15">
        <f t="shared" si="48"/>
        <v>491.70000000000005</v>
      </c>
    </row>
    <row r="126" spans="1:24" x14ac:dyDescent="0.25">
      <c r="A126" s="2">
        <v>11520</v>
      </c>
      <c r="B126" s="77" t="s">
        <v>120</v>
      </c>
      <c r="C126" s="8">
        <v>14</v>
      </c>
      <c r="D126" s="9"/>
      <c r="E126" s="10"/>
      <c r="F126" s="8">
        <v>28</v>
      </c>
      <c r="G126" s="9"/>
      <c r="H126" s="10">
        <v>7</v>
      </c>
      <c r="I126" s="8"/>
      <c r="J126" s="9"/>
      <c r="K126" s="10"/>
      <c r="L126" s="8"/>
      <c r="M126" s="9"/>
      <c r="N126" s="10"/>
      <c r="O126" s="31"/>
      <c r="P126" s="33"/>
      <c r="Q126" s="32"/>
      <c r="R126" s="8">
        <f t="shared" si="42"/>
        <v>42</v>
      </c>
      <c r="S126" s="9">
        <f t="shared" si="43"/>
        <v>0</v>
      </c>
      <c r="T126" s="10">
        <f t="shared" si="44"/>
        <v>7</v>
      </c>
      <c r="U126" s="12">
        <f t="shared" si="45"/>
        <v>373.8</v>
      </c>
      <c r="V126" s="13">
        <f t="shared" si="46"/>
        <v>0</v>
      </c>
      <c r="W126" s="14">
        <f t="shared" si="47"/>
        <v>77.839999999999989</v>
      </c>
      <c r="X126" s="15">
        <f t="shared" si="48"/>
        <v>451.64</v>
      </c>
    </row>
    <row r="127" spans="1:24" s="52" customFormat="1" x14ac:dyDescent="0.25">
      <c r="A127" s="66"/>
      <c r="B127" s="67" t="s">
        <v>119</v>
      </c>
      <c r="C127" s="58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8">
        <f t="shared" si="42"/>
        <v>0</v>
      </c>
      <c r="S127" s="60">
        <f t="shared" si="43"/>
        <v>0</v>
      </c>
      <c r="T127" s="61">
        <f t="shared" si="44"/>
        <v>0</v>
      </c>
      <c r="U127" s="62">
        <f t="shared" si="45"/>
        <v>0</v>
      </c>
      <c r="V127" s="63">
        <f t="shared" si="46"/>
        <v>0</v>
      </c>
      <c r="W127" s="64">
        <f t="shared" si="47"/>
        <v>0</v>
      </c>
      <c r="X127" s="65">
        <f t="shared" si="48"/>
        <v>0</v>
      </c>
    </row>
    <row r="128" spans="1:24" x14ac:dyDescent="0.25">
      <c r="A128" s="2">
        <v>11456</v>
      </c>
      <c r="B128" s="36" t="s">
        <v>73</v>
      </c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2"/>
      <c r="Q128" s="42"/>
      <c r="R128" s="8">
        <f t="shared" si="42"/>
        <v>0</v>
      </c>
      <c r="S128" s="9">
        <f t="shared" si="43"/>
        <v>0</v>
      </c>
      <c r="T128" s="10">
        <f t="shared" si="44"/>
        <v>0</v>
      </c>
      <c r="U128" s="12">
        <f t="shared" si="45"/>
        <v>0</v>
      </c>
      <c r="V128" s="13">
        <f t="shared" si="46"/>
        <v>0</v>
      </c>
      <c r="W128" s="14">
        <f t="shared" si="47"/>
        <v>0</v>
      </c>
      <c r="X128" s="15">
        <f t="shared" si="48"/>
        <v>0</v>
      </c>
    </row>
    <row r="129" spans="1:24" x14ac:dyDescent="0.25">
      <c r="A129" s="2">
        <v>11444</v>
      </c>
      <c r="B129" s="36" t="s">
        <v>76</v>
      </c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2"/>
      <c r="Q129" s="42"/>
      <c r="R129" s="8">
        <f t="shared" si="42"/>
        <v>0</v>
      </c>
      <c r="S129" s="9">
        <f t="shared" si="43"/>
        <v>0</v>
      </c>
      <c r="T129" s="10">
        <f t="shared" si="44"/>
        <v>0</v>
      </c>
      <c r="U129" s="12">
        <f t="shared" si="45"/>
        <v>0</v>
      </c>
      <c r="V129" s="13">
        <f t="shared" si="46"/>
        <v>0</v>
      </c>
      <c r="W129" s="14">
        <f t="shared" si="47"/>
        <v>0</v>
      </c>
      <c r="X129" s="15">
        <f t="shared" si="48"/>
        <v>0</v>
      </c>
    </row>
    <row r="130" spans="1:24" x14ac:dyDescent="0.25">
      <c r="A130" s="2">
        <v>11434</v>
      </c>
      <c r="B130" s="36" t="s">
        <v>77</v>
      </c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2"/>
      <c r="Q130" s="42"/>
      <c r="R130" s="8">
        <f t="shared" si="42"/>
        <v>0</v>
      </c>
      <c r="S130" s="9">
        <f t="shared" si="43"/>
        <v>0</v>
      </c>
      <c r="T130" s="10">
        <f t="shared" si="44"/>
        <v>0</v>
      </c>
      <c r="U130" s="12">
        <f t="shared" si="45"/>
        <v>0</v>
      </c>
      <c r="V130" s="13">
        <f t="shared" si="46"/>
        <v>0</v>
      </c>
      <c r="W130" s="14">
        <f t="shared" si="47"/>
        <v>0</v>
      </c>
      <c r="X130" s="15">
        <f t="shared" si="48"/>
        <v>0</v>
      </c>
    </row>
    <row r="131" spans="1:24" x14ac:dyDescent="0.25">
      <c r="A131" s="2">
        <v>11455</v>
      </c>
      <c r="B131" s="36" t="s">
        <v>78</v>
      </c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2"/>
      <c r="Q131" s="42"/>
      <c r="R131" s="8">
        <f t="shared" si="42"/>
        <v>0</v>
      </c>
      <c r="S131" s="9">
        <f t="shared" si="43"/>
        <v>0</v>
      </c>
      <c r="T131" s="10">
        <f t="shared" si="44"/>
        <v>0</v>
      </c>
      <c r="U131" s="12">
        <f t="shared" si="45"/>
        <v>0</v>
      </c>
      <c r="V131" s="13">
        <f t="shared" si="46"/>
        <v>0</v>
      </c>
      <c r="W131" s="14">
        <f t="shared" si="47"/>
        <v>0</v>
      </c>
      <c r="X131" s="15">
        <f t="shared" si="48"/>
        <v>0</v>
      </c>
    </row>
    <row r="132" spans="1:24" x14ac:dyDescent="0.25">
      <c r="A132" s="2">
        <v>11463</v>
      </c>
      <c r="B132" s="36" t="s">
        <v>80</v>
      </c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2"/>
      <c r="Q132" s="42"/>
      <c r="R132" s="8">
        <f t="shared" si="42"/>
        <v>0</v>
      </c>
      <c r="S132" s="9">
        <f t="shared" si="43"/>
        <v>0</v>
      </c>
      <c r="T132" s="10">
        <f t="shared" si="44"/>
        <v>0</v>
      </c>
      <c r="U132" s="12">
        <f t="shared" si="45"/>
        <v>0</v>
      </c>
      <c r="V132" s="13">
        <f t="shared" si="46"/>
        <v>0</v>
      </c>
      <c r="W132" s="14">
        <f t="shared" si="47"/>
        <v>0</v>
      </c>
      <c r="X132" s="15">
        <f t="shared" si="48"/>
        <v>0</v>
      </c>
    </row>
    <row r="133" spans="1:24" x14ac:dyDescent="0.25">
      <c r="A133" s="2"/>
      <c r="B133" s="7"/>
      <c r="C133" s="7">
        <f t="shared" ref="C133:X133" si="49">SUM(C102:C132)</f>
        <v>196</v>
      </c>
      <c r="D133" s="7">
        <f t="shared" si="49"/>
        <v>0</v>
      </c>
      <c r="E133" s="7">
        <f t="shared" si="49"/>
        <v>0</v>
      </c>
      <c r="F133" s="7">
        <f t="shared" si="49"/>
        <v>386</v>
      </c>
      <c r="G133" s="7">
        <f t="shared" si="49"/>
        <v>0</v>
      </c>
      <c r="H133" s="7">
        <f t="shared" si="49"/>
        <v>47.5</v>
      </c>
      <c r="I133" s="7">
        <f t="shared" si="49"/>
        <v>0</v>
      </c>
      <c r="J133" s="7">
        <f t="shared" si="49"/>
        <v>0</v>
      </c>
      <c r="K133" s="7">
        <f t="shared" si="49"/>
        <v>0</v>
      </c>
      <c r="L133" s="7">
        <f t="shared" si="49"/>
        <v>0</v>
      </c>
      <c r="M133" s="7">
        <f t="shared" si="49"/>
        <v>0</v>
      </c>
      <c r="N133" s="7">
        <f t="shared" si="49"/>
        <v>0</v>
      </c>
      <c r="O133" s="7">
        <f t="shared" si="49"/>
        <v>0</v>
      </c>
      <c r="P133" s="7">
        <f t="shared" si="49"/>
        <v>0</v>
      </c>
      <c r="Q133" s="7">
        <f t="shared" si="49"/>
        <v>0</v>
      </c>
      <c r="R133" s="7">
        <f t="shared" si="49"/>
        <v>582</v>
      </c>
      <c r="S133" s="7">
        <f t="shared" si="49"/>
        <v>0</v>
      </c>
      <c r="T133" s="7">
        <f t="shared" si="49"/>
        <v>47.5</v>
      </c>
      <c r="U133" s="7">
        <f t="shared" si="49"/>
        <v>5179.8</v>
      </c>
      <c r="V133" s="7">
        <f t="shared" si="49"/>
        <v>0</v>
      </c>
      <c r="W133" s="7">
        <f t="shared" si="49"/>
        <v>528.20000000000005</v>
      </c>
      <c r="X133" s="7">
        <f t="shared" si="49"/>
        <v>5708</v>
      </c>
    </row>
    <row r="135" spans="1:24" x14ac:dyDescent="0.25">
      <c r="R135" s="24">
        <f t="shared" ref="R135:X135" si="50">+R21+R61+R97+R133</f>
        <v>3587.5</v>
      </c>
      <c r="S135" s="24">
        <f t="shared" si="50"/>
        <v>149</v>
      </c>
      <c r="T135" s="24">
        <f t="shared" si="50"/>
        <v>434</v>
      </c>
      <c r="U135" s="25">
        <f t="shared" si="50"/>
        <v>32256.110000000004</v>
      </c>
      <c r="V135" s="25">
        <f t="shared" si="50"/>
        <v>1390.78</v>
      </c>
      <c r="W135" s="25">
        <f t="shared" si="50"/>
        <v>4928.5849999999991</v>
      </c>
      <c r="X135" s="25">
        <f t="shared" si="50"/>
        <v>38575.475000000006</v>
      </c>
    </row>
    <row r="136" spans="1:24" x14ac:dyDescent="0.25">
      <c r="R136" s="26"/>
      <c r="S136" s="26"/>
      <c r="T136" s="26"/>
      <c r="U136" s="26"/>
      <c r="V136" s="26"/>
      <c r="W136" s="26"/>
      <c r="X136" s="26"/>
    </row>
    <row r="137" spans="1:24" x14ac:dyDescent="0.25">
      <c r="A137" s="1">
        <f>COUNT(A66:A87,A102:A123)</f>
        <v>44</v>
      </c>
      <c r="R137" s="55">
        <f>+R135/SUM($R$135:$T$135)</f>
        <v>0.86020860808056587</v>
      </c>
      <c r="S137" s="55">
        <f t="shared" ref="S137:T137" si="51">+S135/SUM($R$135:$T$135)</f>
        <v>3.5727131039443714E-2</v>
      </c>
      <c r="T137" s="55">
        <f t="shared" si="51"/>
        <v>0.10406426087999041</v>
      </c>
    </row>
    <row r="138" spans="1:24" x14ac:dyDescent="0.25">
      <c r="R138" s="23"/>
      <c r="V138" s="23"/>
      <c r="W138" s="23"/>
    </row>
    <row r="139" spans="1:24" x14ac:dyDescent="0.25">
      <c r="R139" s="5">
        <f>+R97+R133</f>
        <v>1764</v>
      </c>
      <c r="S139" s="5">
        <f t="shared" ref="S139:T139" si="52">+S97+S133</f>
        <v>32</v>
      </c>
      <c r="T139" s="5">
        <f t="shared" si="52"/>
        <v>178.5</v>
      </c>
      <c r="V139" s="5">
        <f t="shared" ref="V139:W139" si="53">+V97+V133</f>
        <v>305.92</v>
      </c>
      <c r="W139" s="5">
        <f t="shared" si="53"/>
        <v>2031.3999999999996</v>
      </c>
    </row>
    <row r="141" spans="1:24" x14ac:dyDescent="0.25">
      <c r="R141" s="24">
        <f>+R139-R68-R71-R72-R90-R127-R95-R106-R122</f>
        <v>1596</v>
      </c>
      <c r="S141" s="24"/>
      <c r="T141" s="24"/>
      <c r="U141" s="25"/>
      <c r="V141" s="24">
        <f t="shared" ref="V141:W141" si="54">+V139-V68-V71-V72-V90-V127-V95-V106-V122</f>
        <v>124.28000000000002</v>
      </c>
      <c r="W141" s="56">
        <f t="shared" si="54"/>
        <v>1840.1999999999996</v>
      </c>
      <c r="X141" s="24"/>
    </row>
    <row r="144" spans="1:24" x14ac:dyDescent="0.25">
      <c r="C144" t="s">
        <v>146</v>
      </c>
      <c r="F144" s="24">
        <f>SUM(R21:T21,R61:T61,R97:T97,R133:T133)</f>
        <v>4170.5</v>
      </c>
    </row>
  </sheetData>
  <sortState xmlns:xlrd2="http://schemas.microsoft.com/office/spreadsheetml/2017/richdata2" ref="A7:Z20">
    <sortCondition ref="B7:B20"/>
  </sortState>
  <mergeCells count="52">
    <mergeCell ref="U5:X5"/>
    <mergeCell ref="C6:E6"/>
    <mergeCell ref="F6:H6"/>
    <mergeCell ref="I6:K6"/>
    <mergeCell ref="L6:N6"/>
    <mergeCell ref="O6:Q6"/>
    <mergeCell ref="C5:E5"/>
    <mergeCell ref="F5:H5"/>
    <mergeCell ref="I5:K5"/>
    <mergeCell ref="L5:N5"/>
    <mergeCell ref="O5:Q5"/>
    <mergeCell ref="R5:T5"/>
    <mergeCell ref="A5:B5"/>
    <mergeCell ref="A24:B24"/>
    <mergeCell ref="C24:E24"/>
    <mergeCell ref="F24:H24"/>
    <mergeCell ref="I24:K24"/>
    <mergeCell ref="L24:N24"/>
    <mergeCell ref="O24:Q24"/>
    <mergeCell ref="R24:T24"/>
    <mergeCell ref="U24:X24"/>
    <mergeCell ref="C25:E25"/>
    <mergeCell ref="F25:H25"/>
    <mergeCell ref="I25:K25"/>
    <mergeCell ref="L25:N25"/>
    <mergeCell ref="O25:Q25"/>
    <mergeCell ref="A100:B100"/>
    <mergeCell ref="C100:E100"/>
    <mergeCell ref="F100:H100"/>
    <mergeCell ref="I100:K100"/>
    <mergeCell ref="L100:N100"/>
    <mergeCell ref="R100:T100"/>
    <mergeCell ref="U100:X100"/>
    <mergeCell ref="C101:E101"/>
    <mergeCell ref="F101:H101"/>
    <mergeCell ref="I101:K101"/>
    <mergeCell ref="L101:N101"/>
    <mergeCell ref="O101:Q101"/>
    <mergeCell ref="O100:Q100"/>
    <mergeCell ref="A64:B64"/>
    <mergeCell ref="C64:E64"/>
    <mergeCell ref="F64:H64"/>
    <mergeCell ref="I64:K64"/>
    <mergeCell ref="L64:N64"/>
    <mergeCell ref="R64:T64"/>
    <mergeCell ref="U64:X64"/>
    <mergeCell ref="C65:E65"/>
    <mergeCell ref="F65:H65"/>
    <mergeCell ref="I65:K65"/>
    <mergeCell ref="L65:N65"/>
    <mergeCell ref="O65:Q65"/>
    <mergeCell ref="O64:Q64"/>
  </mergeCells>
  <phoneticPr fontId="13" type="noConversion"/>
  <pageMargins left="0.7" right="0.7" top="0.75" bottom="0.75" header="0.3" footer="0.3"/>
  <pageSetup paperSize="9" orientation="portrait" horizontalDpi="0" verticalDpi="0" r:id="rId1"/>
  <ignoredErrors>
    <ignoredError sqref="U3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DA8E-43AC-48C5-B0C5-09161D1DB8A8}">
  <sheetPr codeName="Hoja2"/>
  <dimension ref="A1:AF11"/>
  <sheetViews>
    <sheetView zoomScale="70" zoomScaleNormal="70" workbookViewId="0">
      <selection activeCell="A3" sqref="A3:XFD5"/>
    </sheetView>
  </sheetViews>
  <sheetFormatPr defaultColWidth="11.42578125" defaultRowHeight="15" x14ac:dyDescent="0.25"/>
  <cols>
    <col min="1" max="1" width="35" bestFit="1" customWidth="1"/>
  </cols>
  <sheetData>
    <row r="1" spans="1:32" x14ac:dyDescent="0.25">
      <c r="A1" s="45"/>
      <c r="B1" s="46" t="s">
        <v>111</v>
      </c>
      <c r="C1" s="46" t="s">
        <v>112</v>
      </c>
      <c r="D1" s="46" t="s">
        <v>113</v>
      </c>
      <c r="E1" s="46" t="s">
        <v>114</v>
      </c>
      <c r="F1" s="46" t="s">
        <v>115</v>
      </c>
      <c r="G1" s="47" t="s">
        <v>116</v>
      </c>
      <c r="H1" s="47" t="s">
        <v>117</v>
      </c>
      <c r="I1" s="46" t="s">
        <v>111</v>
      </c>
      <c r="J1" s="46" t="s">
        <v>112</v>
      </c>
      <c r="K1" s="46" t="s">
        <v>113</v>
      </c>
      <c r="L1" s="46" t="s">
        <v>114</v>
      </c>
      <c r="M1" s="46" t="s">
        <v>115</v>
      </c>
      <c r="N1" s="47" t="s">
        <v>116</v>
      </c>
      <c r="O1" s="47" t="s">
        <v>117</v>
      </c>
      <c r="P1" s="46" t="s">
        <v>111</v>
      </c>
      <c r="Q1" s="46" t="s">
        <v>112</v>
      </c>
      <c r="R1" s="46" t="s">
        <v>113</v>
      </c>
      <c r="S1" s="46" t="s">
        <v>114</v>
      </c>
      <c r="T1" s="46" t="s">
        <v>115</v>
      </c>
      <c r="U1" s="47" t="s">
        <v>116</v>
      </c>
      <c r="V1" s="47" t="s">
        <v>117</v>
      </c>
      <c r="W1" s="46" t="s">
        <v>111</v>
      </c>
      <c r="X1" s="46" t="s">
        <v>112</v>
      </c>
      <c r="Y1" s="46" t="s">
        <v>113</v>
      </c>
      <c r="Z1" s="46" t="s">
        <v>114</v>
      </c>
      <c r="AA1" s="46" t="s">
        <v>115</v>
      </c>
      <c r="AB1" s="47" t="s">
        <v>116</v>
      </c>
      <c r="AC1" s="47" t="s">
        <v>117</v>
      </c>
      <c r="AD1" s="46" t="s">
        <v>111</v>
      </c>
      <c r="AE1" s="46" t="s">
        <v>112</v>
      </c>
      <c r="AF1" s="46" t="s">
        <v>113</v>
      </c>
    </row>
    <row r="2" spans="1:32" x14ac:dyDescent="0.25">
      <c r="A2" s="45"/>
      <c r="B2" s="46">
        <v>1</v>
      </c>
      <c r="C2" s="46">
        <v>2</v>
      </c>
      <c r="D2" s="46">
        <v>3</v>
      </c>
      <c r="E2" s="46">
        <v>4</v>
      </c>
      <c r="F2" s="46">
        <v>5</v>
      </c>
      <c r="G2" s="47">
        <v>6</v>
      </c>
      <c r="H2" s="47">
        <v>7</v>
      </c>
      <c r="I2" s="46">
        <v>8</v>
      </c>
      <c r="J2" s="46">
        <v>9</v>
      </c>
      <c r="K2" s="46">
        <v>10</v>
      </c>
      <c r="L2" s="46">
        <v>11</v>
      </c>
      <c r="M2" s="46">
        <v>12</v>
      </c>
      <c r="N2" s="47">
        <v>13</v>
      </c>
      <c r="O2" s="47">
        <v>14</v>
      </c>
      <c r="P2" s="46">
        <v>15</v>
      </c>
      <c r="Q2" s="46">
        <v>16</v>
      </c>
      <c r="R2" s="46">
        <v>17</v>
      </c>
      <c r="S2" s="46">
        <v>18</v>
      </c>
      <c r="T2" s="46">
        <v>19</v>
      </c>
      <c r="U2" s="47">
        <v>20</v>
      </c>
      <c r="V2" s="47">
        <v>21</v>
      </c>
      <c r="W2" s="46">
        <v>22</v>
      </c>
      <c r="X2" s="46">
        <v>23</v>
      </c>
      <c r="Y2" s="46">
        <v>24</v>
      </c>
      <c r="Z2" s="46">
        <v>25</v>
      </c>
      <c r="AA2" s="46">
        <v>26</v>
      </c>
      <c r="AB2" s="47">
        <v>27</v>
      </c>
      <c r="AC2" s="47">
        <v>28</v>
      </c>
      <c r="AD2" s="46">
        <v>29</v>
      </c>
      <c r="AE2" s="46">
        <v>30</v>
      </c>
      <c r="AF2" s="46">
        <v>31</v>
      </c>
    </row>
    <row r="3" spans="1:32" x14ac:dyDescent="0.25">
      <c r="A3" s="45" t="s">
        <v>105</v>
      </c>
      <c r="B3" s="48" t="s">
        <v>118</v>
      </c>
      <c r="C3" s="48" t="s">
        <v>118</v>
      </c>
      <c r="D3" s="48" t="s">
        <v>118</v>
      </c>
      <c r="E3" s="48" t="s">
        <v>118</v>
      </c>
      <c r="F3" s="48" t="s">
        <v>118</v>
      </c>
      <c r="G3" s="49"/>
      <c r="H3" s="49"/>
      <c r="I3" s="48"/>
      <c r="J3" s="48"/>
      <c r="K3" s="48"/>
      <c r="L3" s="48"/>
      <c r="M3" s="48"/>
      <c r="N3" s="49"/>
      <c r="O3" s="49"/>
      <c r="P3" s="48"/>
      <c r="Q3" s="48"/>
      <c r="R3" s="48"/>
      <c r="S3" s="48"/>
      <c r="T3" s="48"/>
      <c r="U3" s="49"/>
      <c r="V3" s="49"/>
      <c r="W3" s="48"/>
      <c r="X3" s="48"/>
      <c r="Y3" s="48"/>
      <c r="Z3" s="48"/>
      <c r="AA3" s="48"/>
      <c r="AB3" s="49"/>
      <c r="AC3" s="49"/>
      <c r="AD3" s="48"/>
      <c r="AE3" s="48"/>
      <c r="AF3" s="48"/>
    </row>
    <row r="4" spans="1:32" x14ac:dyDescent="0.25">
      <c r="A4" s="45" t="s">
        <v>121</v>
      </c>
      <c r="B4" s="48"/>
      <c r="C4" s="48"/>
      <c r="D4" s="48"/>
      <c r="E4" s="48"/>
      <c r="F4" s="48" t="s">
        <v>118</v>
      </c>
      <c r="G4" s="49"/>
      <c r="H4" s="49"/>
      <c r="I4" s="48" t="s">
        <v>118</v>
      </c>
      <c r="J4" s="48" t="s">
        <v>118</v>
      </c>
      <c r="K4" s="48" t="s">
        <v>118</v>
      </c>
      <c r="L4" s="48" t="s">
        <v>118</v>
      </c>
      <c r="M4" s="48" t="s">
        <v>118</v>
      </c>
      <c r="N4" s="49"/>
      <c r="O4" s="49"/>
      <c r="P4" s="48" t="s">
        <v>118</v>
      </c>
      <c r="Q4" s="48" t="s">
        <v>118</v>
      </c>
      <c r="R4" s="48" t="s">
        <v>118</v>
      </c>
      <c r="S4" s="48" t="s">
        <v>118</v>
      </c>
      <c r="T4" s="48" t="s">
        <v>118</v>
      </c>
      <c r="U4" s="49"/>
      <c r="V4" s="49"/>
      <c r="W4" s="48"/>
      <c r="X4" s="48"/>
      <c r="Y4" s="48"/>
      <c r="Z4" s="48"/>
      <c r="AA4" s="48"/>
      <c r="AB4" s="49"/>
      <c r="AC4" s="49"/>
      <c r="AD4" s="48"/>
      <c r="AE4" s="48"/>
      <c r="AF4" s="48"/>
    </row>
    <row r="5" spans="1:32" ht="15.75" x14ac:dyDescent="0.25">
      <c r="A5" s="36" t="s">
        <v>122</v>
      </c>
      <c r="B5" s="48"/>
      <c r="C5" s="48"/>
      <c r="D5" s="48"/>
      <c r="E5" s="48"/>
      <c r="F5" s="48"/>
      <c r="G5" s="49"/>
      <c r="H5" s="49"/>
      <c r="I5" s="48"/>
      <c r="J5" s="48" t="s">
        <v>118</v>
      </c>
      <c r="K5" s="48" t="s">
        <v>118</v>
      </c>
      <c r="L5" s="48" t="s">
        <v>118</v>
      </c>
      <c r="M5" s="48" t="s">
        <v>118</v>
      </c>
      <c r="N5" s="49"/>
      <c r="O5" s="49"/>
      <c r="P5" s="48" t="s">
        <v>118</v>
      </c>
      <c r="Q5" s="48"/>
      <c r="R5" s="48" t="s">
        <v>118</v>
      </c>
      <c r="S5" s="48" t="s">
        <v>118</v>
      </c>
      <c r="T5" s="48" t="s">
        <v>118</v>
      </c>
      <c r="U5" s="49"/>
      <c r="V5" s="49"/>
      <c r="W5" s="48"/>
      <c r="X5" s="48"/>
      <c r="Y5" s="48"/>
      <c r="Z5" s="48"/>
      <c r="AA5" s="48"/>
      <c r="AB5" s="49"/>
      <c r="AC5" s="49"/>
      <c r="AD5" s="48"/>
      <c r="AE5" s="48"/>
      <c r="AF5" s="48"/>
    </row>
    <row r="6" spans="1:32" x14ac:dyDescent="0.25">
      <c r="A6" s="45"/>
      <c r="B6" s="48"/>
      <c r="C6" s="48"/>
      <c r="D6" s="48"/>
      <c r="E6" s="48"/>
      <c r="F6" s="48"/>
      <c r="G6" s="49"/>
      <c r="H6" s="49"/>
      <c r="I6" s="48"/>
      <c r="J6" s="48"/>
      <c r="K6" s="48"/>
      <c r="L6" s="48"/>
      <c r="M6" s="48"/>
      <c r="N6" s="49"/>
      <c r="O6" s="49"/>
      <c r="P6" s="48"/>
      <c r="Q6" s="48"/>
      <c r="R6" s="48"/>
      <c r="S6" s="48"/>
      <c r="T6" s="48"/>
      <c r="U6" s="49"/>
      <c r="V6" s="49"/>
      <c r="W6" s="48"/>
      <c r="X6" s="48"/>
      <c r="Y6" s="48"/>
      <c r="Z6" s="48"/>
      <c r="AA6" s="48"/>
      <c r="AB6" s="49"/>
      <c r="AC6" s="49"/>
      <c r="AD6" s="48"/>
      <c r="AE6" s="48"/>
      <c r="AF6" s="48"/>
    </row>
    <row r="7" spans="1:32" x14ac:dyDescent="0.25">
      <c r="A7" s="45"/>
      <c r="B7" s="45"/>
      <c r="C7" s="45"/>
      <c r="D7" s="45"/>
      <c r="E7" s="45"/>
      <c r="F7" s="45"/>
      <c r="G7" s="50"/>
      <c r="H7" s="50"/>
      <c r="I7" s="45"/>
      <c r="J7" s="45"/>
      <c r="K7" s="45"/>
      <c r="L7" s="45"/>
      <c r="M7" s="45"/>
      <c r="N7" s="50"/>
      <c r="O7" s="50"/>
      <c r="P7" s="45"/>
      <c r="Q7" s="45"/>
      <c r="R7" s="45"/>
      <c r="S7" s="45"/>
      <c r="T7" s="45"/>
      <c r="U7" s="50"/>
      <c r="V7" s="50"/>
      <c r="W7" s="45"/>
      <c r="X7" s="45"/>
      <c r="Y7" s="45"/>
      <c r="Z7" s="45"/>
      <c r="AA7" s="45"/>
      <c r="AB7" s="50"/>
      <c r="AC7" s="50"/>
      <c r="AD7" s="45"/>
      <c r="AE7" s="45"/>
      <c r="AF7" s="45"/>
    </row>
    <row r="8" spans="1:32" x14ac:dyDescent="0.25">
      <c r="A8" s="45"/>
      <c r="B8" s="45"/>
      <c r="C8" s="45"/>
      <c r="D8" s="45"/>
      <c r="E8" s="45"/>
      <c r="F8" s="45"/>
      <c r="G8" s="50"/>
      <c r="H8" s="50"/>
      <c r="I8" s="45"/>
      <c r="J8" s="45"/>
      <c r="K8" s="45"/>
      <c r="L8" s="45"/>
      <c r="M8" s="45"/>
      <c r="N8" s="50"/>
      <c r="O8" s="50"/>
      <c r="P8" s="45"/>
      <c r="Q8" s="45"/>
      <c r="R8" s="45"/>
      <c r="S8" s="45"/>
      <c r="T8" s="45"/>
      <c r="U8" s="50"/>
      <c r="V8" s="50"/>
      <c r="W8" s="45"/>
      <c r="X8" s="45"/>
      <c r="Y8" s="45"/>
      <c r="Z8" s="45"/>
      <c r="AA8" s="45"/>
      <c r="AB8" s="50"/>
      <c r="AC8" s="50"/>
      <c r="AD8" s="45"/>
      <c r="AE8" s="45"/>
      <c r="AF8" s="45"/>
    </row>
    <row r="9" spans="1:32" x14ac:dyDescent="0.25">
      <c r="A9" s="45"/>
      <c r="B9" s="45"/>
      <c r="C9" s="45"/>
      <c r="D9" s="45"/>
      <c r="E9" s="45"/>
      <c r="F9" s="45"/>
      <c r="G9" s="50"/>
      <c r="H9" s="50"/>
      <c r="I9" s="45"/>
      <c r="J9" s="45"/>
      <c r="K9" s="45"/>
      <c r="L9" s="45"/>
      <c r="M9" s="45"/>
      <c r="N9" s="50"/>
      <c r="O9" s="50"/>
      <c r="P9" s="45"/>
      <c r="Q9" s="45"/>
      <c r="R9" s="45"/>
      <c r="S9" s="45"/>
      <c r="T9" s="45"/>
      <c r="U9" s="50"/>
      <c r="V9" s="50"/>
      <c r="W9" s="45"/>
      <c r="X9" s="45"/>
      <c r="Y9" s="45"/>
      <c r="Z9" s="45"/>
      <c r="AA9" s="45"/>
      <c r="AB9" s="50"/>
      <c r="AC9" s="50"/>
      <c r="AD9" s="45"/>
      <c r="AE9" s="45"/>
      <c r="AF9" s="45"/>
    </row>
    <row r="10" spans="1:32" x14ac:dyDescent="0.25">
      <c r="A10" s="45"/>
      <c r="B10" s="45"/>
      <c r="C10" s="45"/>
      <c r="D10" s="45"/>
      <c r="E10" s="45"/>
      <c r="F10" s="45"/>
      <c r="G10" s="50"/>
      <c r="H10" s="50"/>
      <c r="I10" s="45"/>
      <c r="J10" s="45"/>
      <c r="K10" s="45"/>
      <c r="L10" s="45"/>
      <c r="M10" s="45"/>
      <c r="N10" s="50"/>
      <c r="O10" s="50"/>
      <c r="P10" s="45"/>
      <c r="Q10" s="45"/>
      <c r="R10" s="45"/>
      <c r="S10" s="45"/>
      <c r="T10" s="45"/>
      <c r="U10" s="50"/>
      <c r="V10" s="50"/>
      <c r="W10" s="45"/>
      <c r="X10" s="45"/>
      <c r="Y10" s="45"/>
      <c r="Z10" s="45"/>
      <c r="AA10" s="45"/>
      <c r="AB10" s="50"/>
      <c r="AC10" s="50"/>
      <c r="AD10" s="45"/>
      <c r="AE10" s="45"/>
      <c r="AF10" s="45"/>
    </row>
    <row r="11" spans="1:32" x14ac:dyDescent="0.25">
      <c r="A11" s="45"/>
      <c r="B11" s="45"/>
      <c r="C11" s="45"/>
      <c r="D11" s="45"/>
      <c r="E11" s="45"/>
      <c r="F11" s="45"/>
      <c r="G11" s="50"/>
      <c r="H11" s="50"/>
      <c r="I11" s="45"/>
      <c r="J11" s="45"/>
      <c r="K11" s="45"/>
      <c r="L11" s="45"/>
      <c r="M11" s="45"/>
      <c r="N11" s="50"/>
      <c r="O11" s="50"/>
      <c r="P11" s="45"/>
      <c r="Q11" s="45"/>
      <c r="R11" s="45"/>
      <c r="S11" s="45"/>
      <c r="T11" s="45"/>
      <c r="U11" s="50"/>
      <c r="V11" s="50"/>
      <c r="W11" s="45"/>
      <c r="X11" s="45"/>
      <c r="Y11" s="45"/>
      <c r="Z11" s="45"/>
      <c r="AA11" s="45"/>
      <c r="AB11" s="50"/>
      <c r="AC11" s="50"/>
      <c r="AD11" s="45"/>
      <c r="AE11" s="45"/>
      <c r="AF11" s="45"/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79A22-A47E-4C25-83A4-F0F1C5A7FC6B}">
  <sheetPr codeName="Hoja3"/>
  <dimension ref="A1:AL100"/>
  <sheetViews>
    <sheetView tabSelected="1" workbookViewId="0">
      <selection sqref="A1:XFD1048576"/>
    </sheetView>
  </sheetViews>
  <sheetFormatPr defaultColWidth="9.140625" defaultRowHeight="15" x14ac:dyDescent="0.25"/>
  <cols>
    <col min="1" max="1" width="4.140625" style="79" customWidth="1"/>
    <col min="2" max="2" width="28.5703125" style="1" bestFit="1" customWidth="1"/>
    <col min="3" max="3" width="11.7109375" style="1" bestFit="1" customWidth="1"/>
    <col min="4" max="4" width="6.28515625" style="1" bestFit="1" customWidth="1"/>
    <col min="5" max="6" width="5.28515625" style="1" customWidth="1"/>
    <col min="7" max="7" width="5.5703125" style="1" bestFit="1" customWidth="1"/>
    <col min="8" max="8" width="6.5703125" style="1" bestFit="1" customWidth="1"/>
    <col min="9" max="10" width="5.28515625" style="1" customWidth="1"/>
    <col min="11" max="11" width="9.5703125" style="1" customWidth="1"/>
    <col min="12" max="12" width="6.5703125" style="1" bestFit="1" customWidth="1"/>
    <col min="13" max="14" width="5.28515625" style="1" customWidth="1"/>
    <col min="15" max="15" width="8.42578125" style="1" customWidth="1"/>
    <col min="16" max="16" width="6.42578125" style="1" bestFit="1" customWidth="1"/>
    <col min="17" max="18" width="5.28515625" style="1" customWidth="1"/>
    <col min="19" max="19" width="7.7109375" style="1" customWidth="1"/>
    <col min="20" max="20" width="6.42578125" style="1" bestFit="1" customWidth="1"/>
    <col min="21" max="21" width="5.28515625" style="1" customWidth="1"/>
    <col min="22" max="22" width="5.140625" style="1" bestFit="1" customWidth="1"/>
    <col min="23" max="23" width="8" style="1" customWidth="1"/>
    <col min="24" max="24" width="6.140625" style="1" customWidth="1"/>
    <col min="25" max="25" width="6" style="1" customWidth="1"/>
    <col min="26" max="29" width="5.28515625" style="1" customWidth="1"/>
    <col min="30" max="30" width="12.7109375" style="1" customWidth="1"/>
    <col min="31" max="33" width="9.140625" style="1"/>
    <col min="34" max="34" width="41.85546875" style="1" bestFit="1" customWidth="1"/>
    <col min="35" max="35" width="32" style="1" customWidth="1"/>
    <col min="36" max="36" width="9.140625" style="1"/>
    <col min="37" max="37" width="39" style="1" bestFit="1" customWidth="1"/>
    <col min="38" max="16384" width="9.140625" style="1"/>
  </cols>
  <sheetData>
    <row r="1" spans="1:38" ht="18" customHeight="1" thickBot="1" x14ac:dyDescent="0.3"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8"/>
    </row>
    <row r="2" spans="1:38" ht="15.75" thickBot="1" x14ac:dyDescent="0.3">
      <c r="B2" s="159" t="s">
        <v>152</v>
      </c>
      <c r="C2" s="161" t="s">
        <v>111</v>
      </c>
      <c r="D2" s="162"/>
      <c r="E2" s="162"/>
      <c r="F2" s="163"/>
      <c r="G2" s="156" t="s">
        <v>112</v>
      </c>
      <c r="H2" s="157"/>
      <c r="I2" s="157"/>
      <c r="J2" s="158"/>
      <c r="K2" s="156" t="s">
        <v>113</v>
      </c>
      <c r="L2" s="157"/>
      <c r="M2" s="157"/>
      <c r="N2" s="158"/>
      <c r="O2" s="156" t="s">
        <v>114</v>
      </c>
      <c r="P2" s="157"/>
      <c r="Q2" s="157"/>
      <c r="R2" s="158"/>
      <c r="S2" s="156" t="s">
        <v>115</v>
      </c>
      <c r="T2" s="157"/>
      <c r="U2" s="157"/>
      <c r="V2" s="158"/>
      <c r="W2" s="156" t="s">
        <v>116</v>
      </c>
      <c r="X2" s="157"/>
      <c r="Y2" s="157"/>
      <c r="Z2" s="158"/>
      <c r="AA2" s="156" t="s">
        <v>117</v>
      </c>
      <c r="AB2" s="157"/>
      <c r="AC2" s="157"/>
      <c r="AD2" s="158"/>
      <c r="AE2" s="80" t="s">
        <v>13</v>
      </c>
    </row>
    <row r="3" spans="1:38" ht="0.6" customHeight="1" thickBot="1" x14ac:dyDescent="0.3">
      <c r="B3" s="160"/>
      <c r="C3" s="81" t="s">
        <v>153</v>
      </c>
      <c r="D3" s="82" t="s">
        <v>154</v>
      </c>
      <c r="E3" s="82" t="s">
        <v>155</v>
      </c>
      <c r="F3" s="83" t="s">
        <v>156</v>
      </c>
      <c r="G3" s="84" t="s">
        <v>153</v>
      </c>
      <c r="H3" s="85" t="s">
        <v>154</v>
      </c>
      <c r="I3" s="85" t="s">
        <v>155</v>
      </c>
      <c r="J3" s="86" t="s">
        <v>156</v>
      </c>
      <c r="K3" s="84" t="s">
        <v>153</v>
      </c>
      <c r="L3" s="85" t="s">
        <v>154</v>
      </c>
      <c r="M3" s="85" t="s">
        <v>155</v>
      </c>
      <c r="N3" s="86" t="s">
        <v>156</v>
      </c>
      <c r="O3" s="84" t="s">
        <v>153</v>
      </c>
      <c r="P3" s="85" t="s">
        <v>154</v>
      </c>
      <c r="Q3" s="85" t="s">
        <v>155</v>
      </c>
      <c r="R3" s="86" t="s">
        <v>156</v>
      </c>
      <c r="S3" s="84" t="s">
        <v>153</v>
      </c>
      <c r="T3" s="85" t="s">
        <v>154</v>
      </c>
      <c r="U3" s="85" t="s">
        <v>155</v>
      </c>
      <c r="V3" s="86" t="s">
        <v>156</v>
      </c>
      <c r="W3" s="84" t="s">
        <v>153</v>
      </c>
      <c r="X3" s="85" t="s">
        <v>154</v>
      </c>
      <c r="Y3" s="85" t="s">
        <v>155</v>
      </c>
      <c r="Z3" s="86" t="s">
        <v>156</v>
      </c>
      <c r="AA3" s="84" t="s">
        <v>153</v>
      </c>
      <c r="AB3" s="85" t="s">
        <v>154</v>
      </c>
      <c r="AC3" s="85" t="s">
        <v>155</v>
      </c>
      <c r="AD3" s="86" t="s">
        <v>156</v>
      </c>
    </row>
    <row r="4" spans="1:38" s="93" customFormat="1" ht="15.75" thickBot="1" x14ac:dyDescent="0.3">
      <c r="A4" s="87">
        <v>1</v>
      </c>
      <c r="B4" s="88" t="s">
        <v>157</v>
      </c>
      <c r="C4" s="89">
        <v>12</v>
      </c>
      <c r="D4" s="90">
        <v>171</v>
      </c>
      <c r="E4" s="90">
        <v>5</v>
      </c>
      <c r="F4" s="91">
        <v>34</v>
      </c>
      <c r="G4" s="89">
        <v>12</v>
      </c>
      <c r="H4" s="90">
        <v>171</v>
      </c>
      <c r="I4" s="90">
        <v>5</v>
      </c>
      <c r="J4" s="91">
        <v>34</v>
      </c>
      <c r="K4" s="89">
        <v>12</v>
      </c>
      <c r="L4" s="90">
        <v>171</v>
      </c>
      <c r="M4" s="90">
        <v>5</v>
      </c>
      <c r="N4" s="91">
        <v>34</v>
      </c>
      <c r="O4" s="89">
        <v>12</v>
      </c>
      <c r="P4" s="90">
        <v>171</v>
      </c>
      <c r="Q4" s="90">
        <v>5</v>
      </c>
      <c r="R4" s="91">
        <v>34</v>
      </c>
      <c r="S4" s="89">
        <v>12</v>
      </c>
      <c r="T4" s="90">
        <v>171</v>
      </c>
      <c r="U4" s="90">
        <v>5</v>
      </c>
      <c r="V4" s="91">
        <v>34</v>
      </c>
      <c r="W4" s="89">
        <v>12</v>
      </c>
      <c r="X4" s="90">
        <v>171</v>
      </c>
      <c r="Y4" s="90">
        <v>5</v>
      </c>
      <c r="Z4" s="91">
        <v>34</v>
      </c>
      <c r="AA4" s="89">
        <v>12</v>
      </c>
      <c r="AB4" s="90">
        <v>171</v>
      </c>
      <c r="AC4" s="90">
        <v>5</v>
      </c>
      <c r="AD4" s="91">
        <v>34</v>
      </c>
      <c r="AE4" s="92">
        <f>E4+I4+M4+Q4+U4+Y4+AC4</f>
        <v>35</v>
      </c>
      <c r="AI4" s="93" t="s">
        <v>85</v>
      </c>
      <c r="AJ4" s="93" t="s">
        <v>158</v>
      </c>
      <c r="AL4" s="93" t="s">
        <v>159</v>
      </c>
    </row>
    <row r="5" spans="1:38" x14ac:dyDescent="0.25">
      <c r="A5" s="94"/>
      <c r="B5" s="95"/>
      <c r="C5" s="96">
        <v>12</v>
      </c>
      <c r="D5" s="97">
        <v>171</v>
      </c>
      <c r="E5" s="97">
        <v>5</v>
      </c>
      <c r="F5" s="98">
        <v>37</v>
      </c>
      <c r="G5" s="96">
        <v>12</v>
      </c>
      <c r="H5" s="97">
        <v>171</v>
      </c>
      <c r="I5" s="97">
        <v>5</v>
      </c>
      <c r="J5" s="98">
        <v>37</v>
      </c>
      <c r="K5" s="96">
        <v>12</v>
      </c>
      <c r="L5" s="97">
        <v>171</v>
      </c>
      <c r="M5" s="97">
        <v>5</v>
      </c>
      <c r="N5" s="98">
        <v>37</v>
      </c>
      <c r="O5" s="96">
        <v>12</v>
      </c>
      <c r="P5" s="97">
        <v>171</v>
      </c>
      <c r="Q5" s="97">
        <v>5</v>
      </c>
      <c r="R5" s="98">
        <v>37</v>
      </c>
      <c r="S5" s="96">
        <v>12</v>
      </c>
      <c r="T5" s="97">
        <v>171</v>
      </c>
      <c r="U5" s="97">
        <v>5</v>
      </c>
      <c r="V5" s="98">
        <v>37</v>
      </c>
      <c r="W5" s="96">
        <v>12</v>
      </c>
      <c r="X5" s="97">
        <v>171</v>
      </c>
      <c r="Y5" s="97">
        <v>5</v>
      </c>
      <c r="Z5" s="98">
        <v>37</v>
      </c>
      <c r="AA5" s="96">
        <v>12</v>
      </c>
      <c r="AB5" s="97">
        <v>171</v>
      </c>
      <c r="AC5" s="97">
        <v>5</v>
      </c>
      <c r="AD5" s="98">
        <v>37</v>
      </c>
      <c r="AE5" s="99">
        <f>E5+I5+M5+Q5+U5+Y5+AC5</f>
        <v>35</v>
      </c>
      <c r="AI5" s="1" t="s">
        <v>59</v>
      </c>
      <c r="AL5" s="1" t="s">
        <v>160</v>
      </c>
    </row>
    <row r="6" spans="1:38" ht="15.75" thickBot="1" x14ac:dyDescent="0.3">
      <c r="A6" s="100"/>
      <c r="B6" s="101"/>
      <c r="C6" s="102"/>
      <c r="D6" s="103"/>
      <c r="E6" s="103"/>
      <c r="F6" s="104"/>
      <c r="G6" s="102"/>
      <c r="H6" s="103"/>
      <c r="I6" s="103"/>
      <c r="J6" s="104"/>
      <c r="K6" s="102"/>
      <c r="L6" s="103"/>
      <c r="M6" s="103"/>
      <c r="N6" s="104"/>
      <c r="O6" s="102"/>
      <c r="P6" s="103"/>
      <c r="Q6" s="103"/>
      <c r="R6" s="104"/>
      <c r="S6" s="102"/>
      <c r="T6" s="103"/>
      <c r="U6" s="103"/>
      <c r="V6" s="104"/>
      <c r="W6" s="102"/>
      <c r="X6" s="103"/>
      <c r="Y6" s="103"/>
      <c r="Z6" s="104"/>
      <c r="AA6" s="102"/>
      <c r="AB6" s="103"/>
      <c r="AC6" s="103"/>
      <c r="AD6" s="105"/>
      <c r="AI6" s="1" t="s">
        <v>3</v>
      </c>
      <c r="AL6" s="1" t="s">
        <v>161</v>
      </c>
    </row>
    <row r="7" spans="1:38" s="93" customFormat="1" ht="19.5" customHeight="1" thickBot="1" x14ac:dyDescent="0.3">
      <c r="A7" s="87">
        <v>2</v>
      </c>
      <c r="B7" s="106" t="s">
        <v>162</v>
      </c>
      <c r="C7" s="107">
        <v>12</v>
      </c>
      <c r="D7" s="108">
        <v>143</v>
      </c>
      <c r="E7" s="108">
        <v>7</v>
      </c>
      <c r="F7" s="109">
        <v>34</v>
      </c>
      <c r="G7" s="107">
        <v>12</v>
      </c>
      <c r="H7" s="108">
        <v>143</v>
      </c>
      <c r="I7" s="108">
        <v>7</v>
      </c>
      <c r="J7" s="109">
        <v>34</v>
      </c>
      <c r="K7" s="107">
        <v>12</v>
      </c>
      <c r="L7" s="108">
        <v>143</v>
      </c>
      <c r="M7" s="108">
        <v>7</v>
      </c>
      <c r="N7" s="109">
        <v>34</v>
      </c>
      <c r="O7" s="107">
        <v>12</v>
      </c>
      <c r="P7" s="108">
        <v>143</v>
      </c>
      <c r="Q7" s="108">
        <v>7</v>
      </c>
      <c r="R7" s="109">
        <v>34</v>
      </c>
      <c r="S7" s="107">
        <v>12</v>
      </c>
      <c r="T7" s="108">
        <v>143</v>
      </c>
      <c r="U7" s="108">
        <v>7</v>
      </c>
      <c r="V7" s="109">
        <v>34</v>
      </c>
      <c r="W7" s="89"/>
      <c r="X7" s="90"/>
      <c r="Y7" s="90"/>
      <c r="Z7" s="110"/>
      <c r="AA7" s="89"/>
      <c r="AB7" s="90"/>
      <c r="AC7" s="90"/>
      <c r="AD7" s="110"/>
      <c r="AE7" s="92">
        <f>E7+I7+M7+Q7+U7+Y7+AC7</f>
        <v>35</v>
      </c>
      <c r="AI7" s="93" t="s">
        <v>109</v>
      </c>
      <c r="AJ7" s="93" t="s">
        <v>163</v>
      </c>
      <c r="AL7" s="93" t="s">
        <v>164</v>
      </c>
    </row>
    <row r="8" spans="1:38" ht="19.5" customHeight="1" x14ac:dyDescent="0.25">
      <c r="A8" s="94"/>
      <c r="B8" s="111"/>
      <c r="C8" s="96"/>
      <c r="D8" s="97"/>
      <c r="E8" s="97"/>
      <c r="F8" s="112"/>
      <c r="G8" s="96"/>
      <c r="H8" s="97"/>
      <c r="I8" s="97"/>
      <c r="J8" s="112"/>
      <c r="K8" s="96"/>
      <c r="L8" s="97"/>
      <c r="M8" s="97"/>
      <c r="N8" s="112"/>
      <c r="O8" s="96"/>
      <c r="P8" s="97"/>
      <c r="Q8" s="97"/>
      <c r="R8" s="112"/>
      <c r="S8" s="96"/>
      <c r="T8" s="97"/>
      <c r="U8" s="97"/>
      <c r="V8" s="112"/>
      <c r="W8" s="96"/>
      <c r="X8" s="97"/>
      <c r="Y8" s="97"/>
      <c r="Z8" s="112"/>
      <c r="AA8" s="96"/>
      <c r="AB8" s="97"/>
      <c r="AC8" s="97"/>
      <c r="AD8" s="112"/>
      <c r="AI8" s="1" t="s">
        <v>90</v>
      </c>
      <c r="AJ8" s="1" t="s">
        <v>165</v>
      </c>
      <c r="AL8" s="1" t="s">
        <v>166</v>
      </c>
    </row>
    <row r="9" spans="1:38" ht="19.5" customHeight="1" thickBot="1" x14ac:dyDescent="0.3">
      <c r="A9" s="100"/>
      <c r="B9" s="113"/>
      <c r="C9" s="114"/>
      <c r="D9" s="115"/>
      <c r="E9" s="115"/>
      <c r="F9" s="116"/>
      <c r="G9" s="114"/>
      <c r="H9" s="115"/>
      <c r="I9" s="115"/>
      <c r="J9" s="116"/>
      <c r="K9" s="114"/>
      <c r="L9" s="115"/>
      <c r="M9" s="115"/>
      <c r="N9" s="116"/>
      <c r="O9" s="114"/>
      <c r="P9" s="115"/>
      <c r="Q9" s="115"/>
      <c r="R9" s="116"/>
      <c r="S9" s="114"/>
      <c r="T9" s="115"/>
      <c r="U9" s="115"/>
      <c r="V9" s="116"/>
      <c r="W9" s="114"/>
      <c r="X9" s="115"/>
      <c r="Y9" s="115"/>
      <c r="Z9" s="116"/>
      <c r="AA9" s="102"/>
      <c r="AB9" s="103"/>
      <c r="AC9" s="103"/>
      <c r="AD9" s="105"/>
      <c r="AI9" s="1" t="s">
        <v>5</v>
      </c>
      <c r="AL9" s="1" t="s">
        <v>167</v>
      </c>
    </row>
    <row r="10" spans="1:38" s="93" customFormat="1" ht="19.5" customHeight="1" thickBot="1" x14ac:dyDescent="0.3">
      <c r="A10" s="87">
        <v>3</v>
      </c>
      <c r="B10" s="88" t="s">
        <v>168</v>
      </c>
      <c r="C10" s="89">
        <v>12</v>
      </c>
      <c r="D10" s="90">
        <v>106</v>
      </c>
      <c r="E10" s="90">
        <v>7</v>
      </c>
      <c r="F10" s="110">
        <v>34</v>
      </c>
      <c r="G10" s="89">
        <v>12</v>
      </c>
      <c r="H10" s="90">
        <v>106</v>
      </c>
      <c r="I10" s="90">
        <v>8</v>
      </c>
      <c r="J10" s="110">
        <v>34</v>
      </c>
      <c r="K10" s="89">
        <v>12</v>
      </c>
      <c r="L10" s="90">
        <v>106</v>
      </c>
      <c r="M10" s="90">
        <v>7</v>
      </c>
      <c r="N10" s="110">
        <v>34</v>
      </c>
      <c r="O10" s="89">
        <v>12</v>
      </c>
      <c r="P10" s="90">
        <v>106</v>
      </c>
      <c r="Q10" s="90">
        <v>8</v>
      </c>
      <c r="R10" s="110">
        <v>34</v>
      </c>
      <c r="S10" s="89">
        <v>12</v>
      </c>
      <c r="T10" s="90">
        <v>106</v>
      </c>
      <c r="U10" s="90">
        <v>7</v>
      </c>
      <c r="V10" s="110">
        <v>34</v>
      </c>
      <c r="W10" s="89">
        <v>12</v>
      </c>
      <c r="X10" s="90">
        <v>106</v>
      </c>
      <c r="Y10" s="90">
        <v>5</v>
      </c>
      <c r="Z10" s="110">
        <v>34</v>
      </c>
      <c r="AA10" s="89"/>
      <c r="AB10" s="90"/>
      <c r="AC10" s="90"/>
      <c r="AD10" s="110"/>
      <c r="AE10" s="92">
        <f>E10+I10+M10+Q10+U10+Y10+AC10</f>
        <v>42</v>
      </c>
      <c r="AI10" s="93" t="s">
        <v>6</v>
      </c>
      <c r="AJ10" s="93" t="s">
        <v>169</v>
      </c>
      <c r="AL10" s="93" t="s">
        <v>170</v>
      </c>
    </row>
    <row r="11" spans="1:38" ht="19.5" customHeight="1" thickBot="1" x14ac:dyDescent="0.3">
      <c r="A11" s="94"/>
      <c r="B11" s="111"/>
      <c r="C11" s="96"/>
      <c r="D11" s="97"/>
      <c r="E11" s="97"/>
      <c r="F11" s="117"/>
      <c r="G11" s="96"/>
      <c r="H11" s="97"/>
      <c r="I11" s="97"/>
      <c r="J11" s="117"/>
      <c r="K11" s="96"/>
      <c r="L11" s="97"/>
      <c r="M11" s="97"/>
      <c r="N11" s="117"/>
      <c r="O11" s="96"/>
      <c r="P11" s="97"/>
      <c r="Q11" s="97"/>
      <c r="R11" s="117"/>
      <c r="S11" s="96"/>
      <c r="T11" s="97"/>
      <c r="U11" s="97"/>
      <c r="V11" s="117"/>
      <c r="W11" s="96"/>
      <c r="X11" s="97"/>
      <c r="Y11" s="97"/>
      <c r="Z11" s="117"/>
      <c r="AA11" s="96"/>
      <c r="AB11" s="97"/>
      <c r="AC11" s="97"/>
      <c r="AD11" s="112"/>
      <c r="AE11" s="118">
        <f>E11+I11+M11+Q11+U11+Y11+AC11</f>
        <v>0</v>
      </c>
      <c r="AI11" s="1" t="s">
        <v>92</v>
      </c>
      <c r="AJ11" s="1" t="s">
        <v>171</v>
      </c>
      <c r="AL11" s="1" t="s">
        <v>172</v>
      </c>
    </row>
    <row r="12" spans="1:38" ht="19.5" customHeight="1" thickBot="1" x14ac:dyDescent="0.3">
      <c r="A12" s="100"/>
      <c r="B12" s="113"/>
      <c r="C12" s="102"/>
      <c r="D12" s="103"/>
      <c r="E12" s="103"/>
      <c r="F12" s="105"/>
      <c r="G12" s="102"/>
      <c r="H12" s="103"/>
      <c r="I12" s="103"/>
      <c r="J12" s="105"/>
      <c r="K12" s="102"/>
      <c r="L12" s="103"/>
      <c r="M12" s="103"/>
      <c r="N12" s="105"/>
      <c r="O12" s="102"/>
      <c r="P12" s="103"/>
      <c r="Q12" s="103"/>
      <c r="R12" s="105"/>
      <c r="S12" s="102"/>
      <c r="T12" s="103"/>
      <c r="U12" s="103"/>
      <c r="V12" s="105"/>
      <c r="W12" s="102"/>
      <c r="X12" s="103"/>
      <c r="Y12" s="103"/>
      <c r="Z12" s="105"/>
      <c r="AA12" s="102"/>
      <c r="AB12" s="103"/>
      <c r="AC12" s="103"/>
      <c r="AD12" s="105"/>
      <c r="AI12" s="1" t="s">
        <v>65</v>
      </c>
      <c r="AJ12" s="1" t="s">
        <v>173</v>
      </c>
      <c r="AL12" s="1" t="s">
        <v>174</v>
      </c>
    </row>
    <row r="13" spans="1:38" s="93" customFormat="1" ht="19.5" customHeight="1" x14ac:dyDescent="0.25">
      <c r="A13" s="87">
        <v>4</v>
      </c>
      <c r="B13" s="88" t="s">
        <v>175</v>
      </c>
      <c r="C13" s="107">
        <v>12</v>
      </c>
      <c r="D13" s="108">
        <v>143</v>
      </c>
      <c r="E13" s="108">
        <v>7</v>
      </c>
      <c r="F13" s="109">
        <v>34</v>
      </c>
      <c r="G13" s="107">
        <v>12</v>
      </c>
      <c r="H13" s="108">
        <v>143</v>
      </c>
      <c r="I13" s="108">
        <v>7</v>
      </c>
      <c r="J13" s="109">
        <v>34</v>
      </c>
      <c r="K13" s="107">
        <v>12</v>
      </c>
      <c r="L13" s="108">
        <v>143</v>
      </c>
      <c r="M13" s="108">
        <v>7</v>
      </c>
      <c r="N13" s="109">
        <v>34</v>
      </c>
      <c r="O13" s="107">
        <v>12</v>
      </c>
      <c r="P13" s="108">
        <v>143</v>
      </c>
      <c r="Q13" s="108">
        <v>7</v>
      </c>
      <c r="R13" s="109">
        <v>34</v>
      </c>
      <c r="S13" s="89"/>
      <c r="T13" s="90"/>
      <c r="U13" s="90"/>
      <c r="V13" s="110"/>
      <c r="W13" s="89"/>
      <c r="X13" s="90"/>
      <c r="Y13" s="90"/>
      <c r="Z13" s="110"/>
      <c r="AA13" s="89"/>
      <c r="AB13" s="90"/>
      <c r="AC13" s="90"/>
      <c r="AD13" s="110"/>
      <c r="AE13" s="92">
        <f>E13+I13+M13+Q13+U13+Y13+AC13</f>
        <v>28</v>
      </c>
      <c r="AI13" s="93" t="s">
        <v>66</v>
      </c>
      <c r="AJ13" s="93" t="s">
        <v>176</v>
      </c>
      <c r="AL13" s="93" t="s">
        <v>177</v>
      </c>
    </row>
    <row r="14" spans="1:38" ht="19.5" customHeight="1" x14ac:dyDescent="0.25">
      <c r="A14" s="94"/>
      <c r="B14" s="111"/>
      <c r="C14" s="96"/>
      <c r="D14" s="97"/>
      <c r="E14" s="97"/>
      <c r="F14" s="112"/>
      <c r="G14" s="96"/>
      <c r="H14" s="97"/>
      <c r="I14" s="97"/>
      <c r="J14" s="112"/>
      <c r="K14" s="96"/>
      <c r="L14" s="97"/>
      <c r="M14" s="97"/>
      <c r="N14" s="112"/>
      <c r="O14" s="96"/>
      <c r="P14" s="97"/>
      <c r="Q14" s="97"/>
      <c r="R14" s="112"/>
      <c r="S14" s="96"/>
      <c r="T14" s="97"/>
      <c r="U14" s="97"/>
      <c r="V14" s="112"/>
      <c r="W14" s="96"/>
      <c r="X14" s="97"/>
      <c r="Y14" s="97"/>
      <c r="Z14" s="112"/>
      <c r="AA14" s="96"/>
      <c r="AB14" s="97"/>
      <c r="AC14" s="97"/>
      <c r="AD14" s="112"/>
      <c r="AI14" s="1" t="s">
        <v>133</v>
      </c>
      <c r="AL14" s="1" t="s">
        <v>178</v>
      </c>
    </row>
    <row r="15" spans="1:38" ht="19.5" customHeight="1" thickBot="1" x14ac:dyDescent="0.3">
      <c r="A15" s="100"/>
      <c r="B15" s="113"/>
      <c r="C15" s="114"/>
      <c r="D15" s="115"/>
      <c r="E15" s="115"/>
      <c r="F15" s="116"/>
      <c r="G15" s="114"/>
      <c r="H15" s="115"/>
      <c r="I15" s="115"/>
      <c r="J15" s="116"/>
      <c r="K15" s="114"/>
      <c r="L15" s="115"/>
      <c r="M15" s="115"/>
      <c r="N15" s="116"/>
      <c r="O15" s="114"/>
      <c r="P15" s="115"/>
      <c r="Q15" s="115"/>
      <c r="R15" s="116"/>
      <c r="S15" s="114"/>
      <c r="T15" s="115"/>
      <c r="U15" s="115"/>
      <c r="V15" s="116"/>
      <c r="W15" s="114"/>
      <c r="X15" s="115"/>
      <c r="Y15" s="115"/>
      <c r="Z15" s="116"/>
      <c r="AA15" s="102"/>
      <c r="AB15" s="103"/>
      <c r="AC15" s="103"/>
      <c r="AD15" s="105"/>
      <c r="AI15" s="1" t="s">
        <v>67</v>
      </c>
    </row>
    <row r="16" spans="1:38" s="93" customFormat="1" x14ac:dyDescent="0.25">
      <c r="A16" s="87">
        <v>5</v>
      </c>
      <c r="B16" s="88" t="s">
        <v>179</v>
      </c>
      <c r="C16" s="89">
        <v>12</v>
      </c>
      <c r="D16" s="90">
        <v>143</v>
      </c>
      <c r="E16" s="90">
        <v>7</v>
      </c>
      <c r="F16" s="110">
        <v>34</v>
      </c>
      <c r="G16" s="89">
        <v>12</v>
      </c>
      <c r="H16" s="90">
        <v>143</v>
      </c>
      <c r="I16" s="90">
        <v>7</v>
      </c>
      <c r="J16" s="110">
        <v>34</v>
      </c>
      <c r="K16" s="89">
        <v>12</v>
      </c>
      <c r="L16" s="90">
        <v>143</v>
      </c>
      <c r="M16" s="90">
        <v>7</v>
      </c>
      <c r="N16" s="110">
        <v>34</v>
      </c>
      <c r="O16" s="89">
        <v>12</v>
      </c>
      <c r="P16" s="90">
        <v>143</v>
      </c>
      <c r="Q16" s="90">
        <v>7</v>
      </c>
      <c r="R16" s="110">
        <v>34</v>
      </c>
      <c r="S16" s="89"/>
      <c r="T16" s="90"/>
      <c r="U16" s="90"/>
      <c r="V16" s="110"/>
      <c r="W16" s="89">
        <v>12</v>
      </c>
      <c r="X16" s="90">
        <v>143</v>
      </c>
      <c r="Y16" s="90">
        <v>5</v>
      </c>
      <c r="Z16" s="110">
        <v>34</v>
      </c>
      <c r="AA16" s="89"/>
      <c r="AB16" s="90"/>
      <c r="AC16" s="90"/>
      <c r="AD16" s="110"/>
      <c r="AE16" s="92">
        <f>E16+I16+M16+Q16+U16+Y16+AC16</f>
        <v>33</v>
      </c>
      <c r="AI16" s="93" t="s">
        <v>106</v>
      </c>
      <c r="AJ16" s="93" t="s">
        <v>180</v>
      </c>
    </row>
    <row r="17" spans="1:36" x14ac:dyDescent="0.25">
      <c r="A17" s="94"/>
      <c r="B17" s="111"/>
      <c r="C17" s="96"/>
      <c r="D17" s="97"/>
      <c r="E17" s="97"/>
      <c r="F17" s="112"/>
      <c r="G17" s="96"/>
      <c r="H17" s="97"/>
      <c r="I17" s="97"/>
      <c r="J17" s="112"/>
      <c r="K17" s="96"/>
      <c r="L17" s="97"/>
      <c r="M17" s="97"/>
      <c r="N17" s="112"/>
      <c r="O17" s="96"/>
      <c r="P17" s="97"/>
      <c r="Q17" s="97"/>
      <c r="R17" s="112"/>
      <c r="S17" s="96"/>
      <c r="T17" s="97"/>
      <c r="U17" s="97"/>
      <c r="V17" s="112"/>
      <c r="W17" s="96"/>
      <c r="X17" s="97"/>
      <c r="Y17" s="97"/>
      <c r="Z17" s="112"/>
      <c r="AA17" s="96"/>
      <c r="AB17" s="97"/>
      <c r="AC17" s="97"/>
      <c r="AD17" s="112"/>
      <c r="AI17" s="1" t="s">
        <v>108</v>
      </c>
      <c r="AJ17" s="1" t="s">
        <v>181</v>
      </c>
    </row>
    <row r="18" spans="1:36" ht="15.75" thickBot="1" x14ac:dyDescent="0.3">
      <c r="A18" s="100"/>
      <c r="B18" s="113"/>
      <c r="C18" s="102"/>
      <c r="D18" s="103"/>
      <c r="E18" s="103"/>
      <c r="F18" s="105"/>
      <c r="G18" s="102"/>
      <c r="H18" s="103"/>
      <c r="I18" s="103"/>
      <c r="J18" s="105"/>
      <c r="K18" s="102"/>
      <c r="L18" s="103"/>
      <c r="M18" s="103"/>
      <c r="N18" s="105"/>
      <c r="O18" s="102"/>
      <c r="P18" s="103"/>
      <c r="Q18" s="103"/>
      <c r="R18" s="105"/>
      <c r="S18" s="102"/>
      <c r="T18" s="103"/>
      <c r="U18" s="103"/>
      <c r="V18" s="105"/>
      <c r="W18" s="102"/>
      <c r="X18" s="103"/>
      <c r="Y18" s="103"/>
      <c r="Z18" s="105"/>
      <c r="AA18" s="102"/>
      <c r="AB18" s="103"/>
      <c r="AC18" s="103"/>
      <c r="AD18" s="105"/>
      <c r="AI18" s="1" t="s">
        <v>91</v>
      </c>
      <c r="AJ18" s="1" t="s">
        <v>182</v>
      </c>
    </row>
    <row r="19" spans="1:36" s="93" customFormat="1" x14ac:dyDescent="0.25">
      <c r="A19" s="87">
        <v>6</v>
      </c>
      <c r="B19" s="88" t="s">
        <v>171</v>
      </c>
      <c r="C19" s="89">
        <v>12</v>
      </c>
      <c r="D19" s="108">
        <v>143</v>
      </c>
      <c r="E19" s="90">
        <v>7</v>
      </c>
      <c r="F19" s="110">
        <v>34</v>
      </c>
      <c r="G19" s="89">
        <v>12</v>
      </c>
      <c r="H19" s="108">
        <v>143</v>
      </c>
      <c r="I19" s="90">
        <v>7</v>
      </c>
      <c r="J19" s="110">
        <v>34</v>
      </c>
      <c r="K19" s="89">
        <v>12</v>
      </c>
      <c r="L19" s="108">
        <v>143</v>
      </c>
      <c r="M19" s="90">
        <v>7</v>
      </c>
      <c r="N19" s="110">
        <v>34</v>
      </c>
      <c r="O19" s="89">
        <v>12</v>
      </c>
      <c r="P19" s="108">
        <v>143</v>
      </c>
      <c r="Q19" s="90">
        <v>7</v>
      </c>
      <c r="R19" s="110">
        <v>34</v>
      </c>
      <c r="S19" s="89">
        <v>12</v>
      </c>
      <c r="T19" s="108">
        <v>143</v>
      </c>
      <c r="U19" s="90">
        <v>7</v>
      </c>
      <c r="V19" s="110">
        <v>34</v>
      </c>
      <c r="W19" s="89">
        <v>12</v>
      </c>
      <c r="X19" s="108">
        <v>143</v>
      </c>
      <c r="Y19" s="90">
        <v>5</v>
      </c>
      <c r="Z19" s="110">
        <v>34</v>
      </c>
      <c r="AA19" s="89"/>
      <c r="AB19" s="90"/>
      <c r="AC19" s="90"/>
      <c r="AD19" s="110"/>
      <c r="AE19" s="92">
        <f>E19+I19+M19+Q19+U19+Y19+AC19</f>
        <v>40</v>
      </c>
      <c r="AI19" s="93" t="s">
        <v>86</v>
      </c>
      <c r="AJ19" s="93" t="s">
        <v>162</v>
      </c>
    </row>
    <row r="20" spans="1:36" x14ac:dyDescent="0.25">
      <c r="A20" s="94"/>
      <c r="B20" s="111"/>
      <c r="C20" s="96"/>
      <c r="D20" s="97"/>
      <c r="E20" s="97"/>
      <c r="F20" s="112"/>
      <c r="G20" s="96"/>
      <c r="H20" s="97"/>
      <c r="I20" s="97"/>
      <c r="J20" s="112"/>
      <c r="K20" s="96"/>
      <c r="L20" s="97"/>
      <c r="M20" s="97"/>
      <c r="N20" s="112"/>
      <c r="O20" s="96"/>
      <c r="P20" s="97"/>
      <c r="Q20" s="97"/>
      <c r="R20" s="112"/>
      <c r="S20" s="96"/>
      <c r="T20" s="97"/>
      <c r="U20" s="97"/>
      <c r="V20" s="112"/>
      <c r="W20" s="96"/>
      <c r="X20" s="97"/>
      <c r="Y20" s="97"/>
      <c r="Z20" s="112"/>
      <c r="AA20" s="96"/>
      <c r="AB20" s="97"/>
      <c r="AC20" s="97"/>
      <c r="AD20" s="112"/>
      <c r="AI20" s="1" t="s">
        <v>93</v>
      </c>
      <c r="AJ20" s="1" t="s">
        <v>179</v>
      </c>
    </row>
    <row r="21" spans="1:36" ht="15.75" thickBot="1" x14ac:dyDescent="0.3">
      <c r="A21" s="100"/>
      <c r="B21" s="113"/>
      <c r="C21" s="102"/>
      <c r="D21" s="103"/>
      <c r="E21" s="103"/>
      <c r="F21" s="105"/>
      <c r="G21" s="102"/>
      <c r="H21" s="103"/>
      <c r="I21" s="103"/>
      <c r="J21" s="105"/>
      <c r="K21" s="102"/>
      <c r="L21" s="103"/>
      <c r="M21" s="103"/>
      <c r="N21" s="105"/>
      <c r="O21" s="102"/>
      <c r="P21" s="103"/>
      <c r="Q21" s="103"/>
      <c r="R21" s="105"/>
      <c r="S21" s="102"/>
      <c r="T21" s="103"/>
      <c r="U21" s="103"/>
      <c r="V21" s="105"/>
      <c r="W21" s="102"/>
      <c r="X21" s="103"/>
      <c r="Y21" s="103"/>
      <c r="Z21" s="105"/>
      <c r="AA21" s="102"/>
      <c r="AB21" s="103"/>
      <c r="AC21" s="103"/>
      <c r="AD21" s="105"/>
      <c r="AI21" s="1" t="s">
        <v>87</v>
      </c>
      <c r="AJ21" s="1" t="s">
        <v>175</v>
      </c>
    </row>
    <row r="22" spans="1:36" s="93" customFormat="1" x14ac:dyDescent="0.25">
      <c r="A22" s="87">
        <v>7</v>
      </c>
      <c r="B22" s="88" t="s">
        <v>183</v>
      </c>
      <c r="C22" s="89">
        <v>12</v>
      </c>
      <c r="D22" s="90">
        <v>105</v>
      </c>
      <c r="E22" s="90">
        <v>7</v>
      </c>
      <c r="F22" s="110">
        <v>34</v>
      </c>
      <c r="G22" s="89">
        <v>12</v>
      </c>
      <c r="H22" s="90">
        <v>105</v>
      </c>
      <c r="I22" s="90">
        <v>7</v>
      </c>
      <c r="J22" s="110">
        <v>34</v>
      </c>
      <c r="K22" s="119"/>
      <c r="L22" s="108"/>
      <c r="M22" s="90"/>
      <c r="N22" s="110"/>
      <c r="O22" s="89">
        <v>12</v>
      </c>
      <c r="P22" s="90">
        <v>105</v>
      </c>
      <c r="Q22" s="90">
        <v>7</v>
      </c>
      <c r="R22" s="110">
        <v>34</v>
      </c>
      <c r="S22" s="89">
        <v>12</v>
      </c>
      <c r="T22" s="90">
        <v>105</v>
      </c>
      <c r="U22" s="90">
        <v>7</v>
      </c>
      <c r="V22" s="110">
        <v>34</v>
      </c>
      <c r="W22" s="89">
        <v>12</v>
      </c>
      <c r="X22" s="90">
        <v>105</v>
      </c>
      <c r="Y22" s="90">
        <v>5</v>
      </c>
      <c r="Z22" s="110">
        <v>34</v>
      </c>
      <c r="AA22" s="89"/>
      <c r="AB22" s="90"/>
      <c r="AC22" s="90"/>
      <c r="AD22" s="110"/>
      <c r="AE22" s="92">
        <f>E22+I22+M22+Q22+U22+Y22+AC22</f>
        <v>33</v>
      </c>
      <c r="AI22" s="93" t="s">
        <v>134</v>
      </c>
    </row>
    <row r="23" spans="1:36" ht="15.75" thickBot="1" x14ac:dyDescent="0.3">
      <c r="A23" s="94"/>
      <c r="B23" s="95"/>
      <c r="C23" s="96"/>
      <c r="D23" s="97"/>
      <c r="E23" s="97"/>
      <c r="F23" s="112"/>
      <c r="G23" s="96"/>
      <c r="H23" s="97"/>
      <c r="I23" s="97"/>
      <c r="J23" s="112"/>
      <c r="K23" s="96"/>
      <c r="L23" s="97"/>
      <c r="M23" s="97"/>
      <c r="N23" s="112"/>
      <c r="O23" s="96"/>
      <c r="P23" s="97"/>
      <c r="Q23" s="97"/>
      <c r="R23" s="112"/>
      <c r="S23" s="96"/>
      <c r="T23" s="97"/>
      <c r="U23" s="97"/>
      <c r="V23" s="112"/>
      <c r="W23" s="96"/>
      <c r="X23" s="97"/>
      <c r="Y23" s="97"/>
      <c r="Z23" s="112"/>
      <c r="AA23" s="96"/>
      <c r="AB23" s="97"/>
      <c r="AC23" s="97"/>
      <c r="AD23" s="112"/>
      <c r="AE23" s="120">
        <f>E23+I23+M23+Q23+U23+Y23+AC23</f>
        <v>0</v>
      </c>
      <c r="AI23" s="1" t="s">
        <v>84</v>
      </c>
      <c r="AJ23" s="1" t="s">
        <v>184</v>
      </c>
    </row>
    <row r="24" spans="1:36" ht="15.75" thickBot="1" x14ac:dyDescent="0.3">
      <c r="A24" s="100"/>
      <c r="B24" s="101"/>
      <c r="C24" s="102"/>
      <c r="D24" s="103"/>
      <c r="E24" s="103"/>
      <c r="F24" s="105"/>
      <c r="G24" s="102"/>
      <c r="H24" s="103"/>
      <c r="I24" s="103"/>
      <c r="J24" s="105"/>
      <c r="K24" s="102"/>
      <c r="L24" s="103"/>
      <c r="M24" s="103"/>
      <c r="N24" s="105"/>
      <c r="O24" s="102"/>
      <c r="P24" s="103"/>
      <c r="Q24" s="103"/>
      <c r="R24" s="105"/>
      <c r="S24" s="102"/>
      <c r="T24" s="103"/>
      <c r="U24" s="103"/>
      <c r="V24" s="105"/>
      <c r="W24" s="102"/>
      <c r="X24" s="103"/>
      <c r="Y24" s="103"/>
      <c r="Z24" s="105"/>
      <c r="AA24" s="102"/>
      <c r="AB24" s="103"/>
      <c r="AC24" s="103"/>
      <c r="AD24" s="105"/>
      <c r="AI24" s="1" t="s">
        <v>74</v>
      </c>
      <c r="AJ24" s="1" t="s">
        <v>185</v>
      </c>
    </row>
    <row r="25" spans="1:36" s="93" customFormat="1" x14ac:dyDescent="0.25">
      <c r="A25" s="121">
        <v>8</v>
      </c>
      <c r="B25" s="88" t="s">
        <v>165</v>
      </c>
      <c r="C25" s="89">
        <v>12</v>
      </c>
      <c r="D25" s="108">
        <v>143</v>
      </c>
      <c r="E25" s="90">
        <v>7</v>
      </c>
      <c r="F25" s="110">
        <v>34</v>
      </c>
      <c r="G25" s="89">
        <v>12</v>
      </c>
      <c r="H25" s="108">
        <v>143</v>
      </c>
      <c r="I25" s="90">
        <v>7</v>
      </c>
      <c r="J25" s="110">
        <v>34</v>
      </c>
      <c r="K25" s="89">
        <v>12</v>
      </c>
      <c r="L25" s="108">
        <v>143</v>
      </c>
      <c r="M25" s="90">
        <v>7</v>
      </c>
      <c r="N25" s="110">
        <v>34</v>
      </c>
      <c r="O25" s="89">
        <v>12</v>
      </c>
      <c r="P25" s="108">
        <v>143</v>
      </c>
      <c r="Q25" s="90">
        <v>7</v>
      </c>
      <c r="R25" s="110">
        <v>34</v>
      </c>
      <c r="S25" s="89">
        <v>12</v>
      </c>
      <c r="T25" s="108">
        <v>143</v>
      </c>
      <c r="U25" s="90">
        <v>7</v>
      </c>
      <c r="V25" s="110">
        <v>34</v>
      </c>
      <c r="W25" s="89">
        <v>12</v>
      </c>
      <c r="X25" s="108">
        <v>143</v>
      </c>
      <c r="Y25" s="90">
        <v>5</v>
      </c>
      <c r="Z25" s="110">
        <v>34</v>
      </c>
      <c r="AA25" s="89"/>
      <c r="AB25" s="90"/>
      <c r="AC25" s="90"/>
      <c r="AD25" s="110"/>
      <c r="AE25" s="92">
        <f>E25+I25+M25+Q25+U25+Y25+AC25</f>
        <v>40</v>
      </c>
      <c r="AI25" s="93" t="s">
        <v>88</v>
      </c>
      <c r="AJ25" s="93" t="s">
        <v>183</v>
      </c>
    </row>
    <row r="26" spans="1:36" x14ac:dyDescent="0.25">
      <c r="A26" s="94"/>
      <c r="B26" s="111"/>
      <c r="C26" s="96"/>
      <c r="D26" s="97"/>
      <c r="E26" s="97"/>
      <c r="F26" s="112"/>
      <c r="G26" s="96"/>
      <c r="H26" s="97"/>
      <c r="I26" s="97"/>
      <c r="J26" s="112"/>
      <c r="K26" s="96"/>
      <c r="L26" s="97"/>
      <c r="M26" s="97"/>
      <c r="N26" s="112"/>
      <c r="O26" s="96"/>
      <c r="P26" s="97"/>
      <c r="Q26" s="97"/>
      <c r="R26" s="112"/>
      <c r="S26" s="96"/>
      <c r="T26" s="97"/>
      <c r="U26" s="97"/>
      <c r="V26" s="112"/>
      <c r="W26" s="96"/>
      <c r="X26" s="97"/>
      <c r="Y26" s="97"/>
      <c r="Z26" s="112"/>
      <c r="AA26" s="96"/>
      <c r="AB26" s="97"/>
      <c r="AC26" s="97"/>
      <c r="AD26" s="112"/>
      <c r="AI26" s="1" t="s">
        <v>75</v>
      </c>
      <c r="AJ26" s="1" t="s">
        <v>157</v>
      </c>
    </row>
    <row r="27" spans="1:36" ht="15.75" thickBot="1" x14ac:dyDescent="0.3">
      <c r="A27" s="100"/>
      <c r="B27" s="113"/>
      <c r="C27" s="102"/>
      <c r="D27" s="103"/>
      <c r="E27" s="103"/>
      <c r="F27" s="105"/>
      <c r="G27" s="102"/>
      <c r="H27" s="103"/>
      <c r="I27" s="103"/>
      <c r="J27" s="105"/>
      <c r="K27" s="102"/>
      <c r="L27" s="103"/>
      <c r="M27" s="103"/>
      <c r="N27" s="105"/>
      <c r="O27" s="102"/>
      <c r="P27" s="103"/>
      <c r="Q27" s="103"/>
      <c r="R27" s="105"/>
      <c r="S27" s="102"/>
      <c r="T27" s="103"/>
      <c r="U27" s="103"/>
      <c r="V27" s="105"/>
      <c r="W27" s="102"/>
      <c r="X27" s="103"/>
      <c r="Y27" s="103"/>
      <c r="Z27" s="105"/>
      <c r="AA27" s="102"/>
      <c r="AB27" s="103"/>
      <c r="AC27" s="103"/>
      <c r="AD27" s="105"/>
      <c r="AI27" s="93" t="s">
        <v>89</v>
      </c>
      <c r="AJ27" s="93" t="s">
        <v>168</v>
      </c>
    </row>
    <row r="28" spans="1:36" s="93" customFormat="1" x14ac:dyDescent="0.25">
      <c r="A28" s="122">
        <v>9</v>
      </c>
      <c r="B28" s="88" t="s">
        <v>184</v>
      </c>
      <c r="C28" s="89">
        <v>12</v>
      </c>
      <c r="D28" s="108">
        <v>143</v>
      </c>
      <c r="E28" s="90">
        <v>7</v>
      </c>
      <c r="F28" s="110">
        <v>34</v>
      </c>
      <c r="G28" s="89">
        <v>12</v>
      </c>
      <c r="H28" s="108">
        <v>143</v>
      </c>
      <c r="I28" s="90">
        <v>7</v>
      </c>
      <c r="J28" s="110">
        <v>34</v>
      </c>
      <c r="K28" s="89">
        <v>12</v>
      </c>
      <c r="L28" s="108">
        <v>143</v>
      </c>
      <c r="M28" s="90">
        <v>7</v>
      </c>
      <c r="N28" s="110">
        <v>34</v>
      </c>
      <c r="O28" s="154" t="s">
        <v>186</v>
      </c>
      <c r="P28" s="155"/>
      <c r="Q28" s="90"/>
      <c r="R28" s="110"/>
      <c r="S28" s="154" t="s">
        <v>186</v>
      </c>
      <c r="T28" s="155"/>
      <c r="U28" s="90"/>
      <c r="V28" s="110"/>
      <c r="W28" s="154" t="s">
        <v>186</v>
      </c>
      <c r="X28" s="155"/>
      <c r="Y28" s="90"/>
      <c r="Z28" s="110"/>
      <c r="AA28" s="89"/>
      <c r="AB28" s="90"/>
      <c r="AC28" s="90"/>
      <c r="AD28" s="110"/>
      <c r="AE28" s="92">
        <f>E28+I28+M28+Q28+U28+Y28+AC28</f>
        <v>21</v>
      </c>
      <c r="AI28" s="93" t="s">
        <v>79</v>
      </c>
      <c r="AJ28" s="93" t="s">
        <v>187</v>
      </c>
    </row>
    <row r="29" spans="1:36" x14ac:dyDescent="0.25">
      <c r="A29" s="94"/>
      <c r="B29" s="111"/>
      <c r="C29" s="96"/>
      <c r="D29" s="97"/>
      <c r="E29" s="97"/>
      <c r="F29" s="112"/>
      <c r="G29" s="96"/>
      <c r="H29" s="97"/>
      <c r="I29" s="97"/>
      <c r="J29" s="112"/>
      <c r="K29" s="96"/>
      <c r="L29" s="97"/>
      <c r="M29" s="97"/>
      <c r="N29" s="112"/>
      <c r="O29" s="96"/>
      <c r="P29" s="97"/>
      <c r="Q29" s="97"/>
      <c r="R29" s="112"/>
      <c r="S29" s="96"/>
      <c r="T29" s="97"/>
      <c r="U29" s="97"/>
      <c r="V29" s="112"/>
      <c r="W29" s="96"/>
      <c r="X29" s="97"/>
      <c r="Y29" s="97"/>
      <c r="Z29" s="112"/>
      <c r="AA29" s="96"/>
      <c r="AB29" s="97"/>
      <c r="AC29" s="97"/>
      <c r="AD29" s="112"/>
      <c r="AI29" s="1" t="s">
        <v>135</v>
      </c>
      <c r="AJ29" s="1" t="s">
        <v>188</v>
      </c>
    </row>
    <row r="30" spans="1:36" ht="15.75" thickBot="1" x14ac:dyDescent="0.3">
      <c r="A30" s="94"/>
      <c r="B30" s="113"/>
      <c r="C30" s="102"/>
      <c r="D30" s="103"/>
      <c r="E30" s="103"/>
      <c r="F30" s="105"/>
      <c r="G30" s="102"/>
      <c r="H30" s="103"/>
      <c r="I30" s="103"/>
      <c r="J30" s="105"/>
      <c r="K30" s="102"/>
      <c r="L30" s="103"/>
      <c r="M30" s="103"/>
      <c r="N30" s="105"/>
      <c r="O30" s="102"/>
      <c r="P30" s="103"/>
      <c r="Q30" s="103"/>
      <c r="R30" s="105"/>
      <c r="S30" s="102"/>
      <c r="T30" s="103"/>
      <c r="U30" s="103"/>
      <c r="V30" s="105"/>
      <c r="W30" s="102"/>
      <c r="X30" s="103"/>
      <c r="Y30" s="103"/>
      <c r="Z30" s="105"/>
      <c r="AA30" s="102"/>
      <c r="AB30" s="103"/>
      <c r="AC30" s="103"/>
      <c r="AD30" s="105"/>
      <c r="AI30" s="1" t="s">
        <v>138</v>
      </c>
      <c r="AJ30" s="1" t="s">
        <v>189</v>
      </c>
    </row>
    <row r="31" spans="1:36" s="93" customFormat="1" x14ac:dyDescent="0.25">
      <c r="A31" s="87">
        <v>10</v>
      </c>
      <c r="B31" s="88" t="s">
        <v>182</v>
      </c>
      <c r="C31" s="89">
        <v>12</v>
      </c>
      <c r="D31" s="108">
        <v>143</v>
      </c>
      <c r="E31" s="90">
        <v>7</v>
      </c>
      <c r="F31" s="110">
        <v>34</v>
      </c>
      <c r="G31" s="89">
        <v>12</v>
      </c>
      <c r="H31" s="108">
        <v>143</v>
      </c>
      <c r="I31" s="90">
        <v>7</v>
      </c>
      <c r="J31" s="110">
        <v>34</v>
      </c>
      <c r="K31" s="89">
        <v>12</v>
      </c>
      <c r="L31" s="108">
        <v>143</v>
      </c>
      <c r="M31" s="90">
        <v>7</v>
      </c>
      <c r="N31" s="110">
        <v>34</v>
      </c>
      <c r="O31" s="89">
        <v>12</v>
      </c>
      <c r="P31" s="108">
        <v>143</v>
      </c>
      <c r="Q31" s="90">
        <v>7</v>
      </c>
      <c r="R31" s="110">
        <v>34</v>
      </c>
      <c r="S31" s="89">
        <v>12</v>
      </c>
      <c r="T31" s="108">
        <v>143</v>
      </c>
      <c r="U31" s="90">
        <v>7</v>
      </c>
      <c r="V31" s="110">
        <v>34</v>
      </c>
      <c r="W31" s="89">
        <v>12</v>
      </c>
      <c r="X31" s="108">
        <v>143</v>
      </c>
      <c r="Y31" s="90">
        <v>5</v>
      </c>
      <c r="Z31" s="110">
        <v>34</v>
      </c>
      <c r="AA31" s="89"/>
      <c r="AB31" s="90"/>
      <c r="AC31" s="90"/>
      <c r="AD31" s="110"/>
      <c r="AE31" s="92">
        <f>E31+I31+M31+Q31+U31+Y31+AC31</f>
        <v>40</v>
      </c>
      <c r="AI31" s="93" t="s">
        <v>123</v>
      </c>
      <c r="AJ31" s="93" t="s">
        <v>190</v>
      </c>
    </row>
    <row r="32" spans="1:36" ht="15.75" thickBot="1" x14ac:dyDescent="0.3">
      <c r="A32" s="94"/>
      <c r="B32" s="95"/>
      <c r="C32" s="96"/>
      <c r="D32" s="97"/>
      <c r="E32" s="97"/>
      <c r="F32" s="112"/>
      <c r="G32" s="96"/>
      <c r="H32" s="97"/>
      <c r="I32" s="97"/>
      <c r="J32" s="112"/>
      <c r="K32" s="96"/>
      <c r="L32" s="97"/>
      <c r="M32" s="97"/>
      <c r="N32" s="112"/>
      <c r="O32" s="96"/>
      <c r="P32" s="97"/>
      <c r="Q32" s="97"/>
      <c r="R32" s="112"/>
      <c r="S32" s="96"/>
      <c r="T32" s="97"/>
      <c r="U32" s="97"/>
      <c r="V32" s="112"/>
      <c r="W32" s="96"/>
      <c r="X32" s="97"/>
      <c r="Y32" s="97"/>
      <c r="Z32" s="112"/>
      <c r="AA32" s="96"/>
      <c r="AB32" s="97"/>
      <c r="AC32" s="97"/>
      <c r="AD32" s="112"/>
      <c r="AE32" s="120">
        <f>E32+I32+M32+Q32+U32+Y32+AC32</f>
        <v>0</v>
      </c>
      <c r="AI32" s="1" t="s">
        <v>124</v>
      </c>
      <c r="AJ32" s="1" t="s">
        <v>191</v>
      </c>
    </row>
    <row r="33" spans="1:36" ht="15.75" thickBot="1" x14ac:dyDescent="0.3">
      <c r="A33" s="100"/>
      <c r="B33" s="101"/>
      <c r="C33" s="102"/>
      <c r="D33" s="103"/>
      <c r="E33" s="103"/>
      <c r="F33" s="105"/>
      <c r="G33" s="102"/>
      <c r="H33" s="103"/>
      <c r="I33" s="103"/>
      <c r="J33" s="105"/>
      <c r="K33" s="102"/>
      <c r="L33" s="103"/>
      <c r="M33" s="103"/>
      <c r="N33" s="105"/>
      <c r="O33" s="102"/>
      <c r="P33" s="103"/>
      <c r="Q33" s="103"/>
      <c r="R33" s="105"/>
      <c r="S33" s="102"/>
      <c r="T33" s="103"/>
      <c r="U33" s="103"/>
      <c r="V33" s="105"/>
      <c r="W33" s="102"/>
      <c r="X33" s="103"/>
      <c r="Y33" s="103"/>
      <c r="Z33" s="105"/>
      <c r="AA33" s="102"/>
      <c r="AB33" s="103"/>
      <c r="AC33" s="103"/>
      <c r="AD33" s="105"/>
      <c r="AI33" s="1" t="s">
        <v>122</v>
      </c>
    </row>
    <row r="34" spans="1:36" s="93" customFormat="1" x14ac:dyDescent="0.25">
      <c r="A34" s="87">
        <v>11</v>
      </c>
      <c r="B34" s="88" t="s">
        <v>158</v>
      </c>
      <c r="C34" s="89">
        <v>12</v>
      </c>
      <c r="D34" s="108">
        <v>143</v>
      </c>
      <c r="E34" s="90">
        <v>7</v>
      </c>
      <c r="F34" s="110">
        <v>34</v>
      </c>
      <c r="G34" s="89">
        <v>12</v>
      </c>
      <c r="H34" s="108">
        <v>143</v>
      </c>
      <c r="I34" s="90">
        <v>7</v>
      </c>
      <c r="J34" s="110">
        <v>34</v>
      </c>
      <c r="K34" s="89">
        <v>12</v>
      </c>
      <c r="L34" s="108">
        <v>143</v>
      </c>
      <c r="M34" s="90">
        <v>7</v>
      </c>
      <c r="N34" s="110">
        <v>34</v>
      </c>
      <c r="O34" s="89">
        <v>12</v>
      </c>
      <c r="P34" s="108">
        <v>143</v>
      </c>
      <c r="Q34" s="90">
        <v>7</v>
      </c>
      <c r="R34" s="110">
        <v>34</v>
      </c>
      <c r="S34" s="89">
        <v>12</v>
      </c>
      <c r="T34" s="108">
        <v>143</v>
      </c>
      <c r="U34" s="90">
        <v>7</v>
      </c>
      <c r="V34" s="110">
        <v>34</v>
      </c>
      <c r="W34" s="89"/>
      <c r="X34" s="90"/>
      <c r="Y34" s="90"/>
      <c r="Z34" s="110"/>
      <c r="AA34" s="89"/>
      <c r="AB34" s="90"/>
      <c r="AC34" s="90"/>
      <c r="AD34" s="110"/>
      <c r="AE34" s="92">
        <f>E34+I34+M34+Q34+U34+Y34+AC34</f>
        <v>35</v>
      </c>
      <c r="AI34" s="93" t="s">
        <v>81</v>
      </c>
      <c r="AJ34" s="93" t="s">
        <v>192</v>
      </c>
    </row>
    <row r="35" spans="1:36" ht="15.75" thickBot="1" x14ac:dyDescent="0.3">
      <c r="A35" s="94"/>
      <c r="B35" s="95"/>
      <c r="C35" s="96"/>
      <c r="D35" s="97"/>
      <c r="E35" s="97"/>
      <c r="F35" s="112"/>
      <c r="G35" s="96"/>
      <c r="H35" s="97"/>
      <c r="I35" s="97"/>
      <c r="J35" s="112"/>
      <c r="K35" s="96"/>
      <c r="L35" s="97"/>
      <c r="M35" s="97"/>
      <c r="N35" s="112"/>
      <c r="O35" s="96"/>
      <c r="P35" s="97"/>
      <c r="Q35" s="97"/>
      <c r="R35" s="112"/>
      <c r="S35" s="96"/>
      <c r="T35" s="97"/>
      <c r="U35" s="97"/>
      <c r="V35" s="112"/>
      <c r="W35" s="96"/>
      <c r="X35" s="97"/>
      <c r="Y35" s="97"/>
      <c r="Z35" s="112"/>
      <c r="AA35" s="96"/>
      <c r="AB35" s="97"/>
      <c r="AC35" s="97"/>
      <c r="AD35" s="112"/>
      <c r="AE35" s="120">
        <f>E35+I35+M35+Q35+U35+Y35+AC35</f>
        <v>0</v>
      </c>
    </row>
    <row r="36" spans="1:36" ht="15.75" thickBot="1" x14ac:dyDescent="0.3">
      <c r="A36" s="100"/>
      <c r="B36" s="101"/>
      <c r="C36" s="102"/>
      <c r="D36" s="103"/>
      <c r="E36" s="103"/>
      <c r="F36" s="105"/>
      <c r="G36" s="102"/>
      <c r="H36" s="103"/>
      <c r="I36" s="103"/>
      <c r="J36" s="105"/>
      <c r="K36" s="102"/>
      <c r="L36" s="103"/>
      <c r="M36" s="103"/>
      <c r="N36" s="105"/>
      <c r="O36" s="102"/>
      <c r="P36" s="103"/>
      <c r="Q36" s="103"/>
      <c r="R36" s="105"/>
      <c r="S36" s="102"/>
      <c r="T36" s="103"/>
      <c r="U36" s="103"/>
      <c r="V36" s="105"/>
      <c r="W36" s="102"/>
      <c r="X36" s="103"/>
      <c r="Y36" s="103"/>
      <c r="Z36" s="105"/>
      <c r="AA36" s="102"/>
      <c r="AB36" s="103"/>
      <c r="AC36" s="103"/>
      <c r="AD36" s="105"/>
    </row>
    <row r="37" spans="1:36" s="93" customFormat="1" x14ac:dyDescent="0.25">
      <c r="A37" s="87">
        <v>12</v>
      </c>
      <c r="B37" s="88" t="s">
        <v>181</v>
      </c>
      <c r="C37" s="89">
        <v>12</v>
      </c>
      <c r="D37" s="90">
        <v>105</v>
      </c>
      <c r="E37" s="90">
        <v>7</v>
      </c>
      <c r="F37" s="110">
        <v>34</v>
      </c>
      <c r="G37" s="89">
        <v>12</v>
      </c>
      <c r="H37" s="90">
        <v>105</v>
      </c>
      <c r="I37" s="90">
        <v>7</v>
      </c>
      <c r="J37" s="110">
        <v>34</v>
      </c>
      <c r="K37" s="89">
        <v>12</v>
      </c>
      <c r="L37" s="90">
        <v>105</v>
      </c>
      <c r="M37" s="90">
        <v>7</v>
      </c>
      <c r="N37" s="110">
        <v>34</v>
      </c>
      <c r="O37" s="89"/>
      <c r="P37" s="90"/>
      <c r="Q37" s="90"/>
      <c r="R37" s="110"/>
      <c r="S37" s="89">
        <v>12</v>
      </c>
      <c r="T37" s="90">
        <v>105</v>
      </c>
      <c r="U37" s="90">
        <v>7</v>
      </c>
      <c r="V37" s="110">
        <v>34</v>
      </c>
      <c r="W37" s="89">
        <v>12</v>
      </c>
      <c r="X37" s="90">
        <v>105</v>
      </c>
      <c r="Y37" s="90">
        <v>5</v>
      </c>
      <c r="Z37" s="110">
        <v>34</v>
      </c>
      <c r="AA37" s="89"/>
      <c r="AB37" s="90"/>
      <c r="AC37" s="90"/>
      <c r="AD37" s="110"/>
      <c r="AE37" s="92">
        <f>E37+I37+M37+Q37+U37+Y37+AC37</f>
        <v>33</v>
      </c>
    </row>
    <row r="38" spans="1:36" ht="15.75" thickBot="1" x14ac:dyDescent="0.3">
      <c r="A38" s="94"/>
      <c r="B38" s="95"/>
      <c r="C38" s="96"/>
      <c r="D38" s="97"/>
      <c r="E38" s="97"/>
      <c r="F38" s="112"/>
      <c r="G38" s="96"/>
      <c r="H38" s="97"/>
      <c r="I38" s="97"/>
      <c r="J38" s="112"/>
      <c r="K38" s="96"/>
      <c r="L38" s="97"/>
      <c r="M38" s="97"/>
      <c r="N38" s="112"/>
      <c r="O38" s="96"/>
      <c r="P38" s="97"/>
      <c r="Q38" s="97"/>
      <c r="R38" s="112"/>
      <c r="S38" s="96"/>
      <c r="T38" s="97"/>
      <c r="U38" s="97"/>
      <c r="V38" s="112"/>
      <c r="W38" s="96"/>
      <c r="X38" s="97"/>
      <c r="Y38" s="97"/>
      <c r="Z38" s="112"/>
      <c r="AA38" s="96"/>
      <c r="AB38" s="97"/>
      <c r="AC38" s="97"/>
      <c r="AD38" s="112"/>
      <c r="AE38" s="120">
        <f>E38+I38+M38+Q38+U38+Y38+AC38</f>
        <v>0</v>
      </c>
    </row>
    <row r="39" spans="1:36" ht="15.75" thickBot="1" x14ac:dyDescent="0.3">
      <c r="A39" s="100"/>
      <c r="B39" s="101"/>
      <c r="C39" s="102"/>
      <c r="D39" s="103"/>
      <c r="E39" s="103"/>
      <c r="F39" s="105"/>
      <c r="G39" s="102"/>
      <c r="H39" s="103"/>
      <c r="I39" s="103"/>
      <c r="J39" s="105"/>
      <c r="K39" s="102"/>
      <c r="L39" s="103"/>
      <c r="M39" s="103"/>
      <c r="N39" s="105"/>
      <c r="O39" s="102"/>
      <c r="P39" s="103"/>
      <c r="Q39" s="103"/>
      <c r="R39" s="105"/>
      <c r="S39" s="102"/>
      <c r="T39" s="103"/>
      <c r="U39" s="103"/>
      <c r="V39" s="105"/>
      <c r="W39" s="102"/>
      <c r="X39" s="103"/>
      <c r="Y39" s="103"/>
      <c r="Z39" s="105"/>
      <c r="AA39" s="102"/>
      <c r="AB39" s="103"/>
      <c r="AC39" s="103"/>
      <c r="AD39" s="105"/>
    </row>
    <row r="40" spans="1:36" s="93" customFormat="1" x14ac:dyDescent="0.25">
      <c r="A40" s="87">
        <v>13</v>
      </c>
      <c r="B40" s="88" t="s">
        <v>163</v>
      </c>
      <c r="C40" s="89">
        <v>12</v>
      </c>
      <c r="D40" s="90">
        <v>107</v>
      </c>
      <c r="E40" s="90">
        <v>7</v>
      </c>
      <c r="F40" s="110">
        <v>34</v>
      </c>
      <c r="G40" s="89">
        <v>12</v>
      </c>
      <c r="H40" s="90">
        <v>107</v>
      </c>
      <c r="I40" s="90">
        <v>7</v>
      </c>
      <c r="J40" s="110">
        <v>34</v>
      </c>
      <c r="K40" s="89">
        <v>12</v>
      </c>
      <c r="L40" s="90">
        <v>107</v>
      </c>
      <c r="M40" s="90">
        <v>7</v>
      </c>
      <c r="N40" s="110">
        <v>34</v>
      </c>
      <c r="O40" s="89">
        <v>12</v>
      </c>
      <c r="P40" s="90">
        <v>107</v>
      </c>
      <c r="Q40" s="90">
        <v>7</v>
      </c>
      <c r="R40" s="110">
        <v>34</v>
      </c>
      <c r="S40" s="89">
        <v>12</v>
      </c>
      <c r="T40" s="90">
        <v>107</v>
      </c>
      <c r="U40" s="90">
        <v>7</v>
      </c>
      <c r="V40" s="110">
        <v>34</v>
      </c>
      <c r="W40" s="89">
        <v>12</v>
      </c>
      <c r="X40" s="90">
        <v>107</v>
      </c>
      <c r="Y40" s="90">
        <v>5</v>
      </c>
      <c r="Z40" s="110">
        <v>34</v>
      </c>
      <c r="AA40" s="89"/>
      <c r="AB40" s="90"/>
      <c r="AC40" s="90"/>
      <c r="AD40" s="110"/>
      <c r="AE40" s="92">
        <f>E40+I40+M40+Q40+U40+Y40+AC40</f>
        <v>40</v>
      </c>
    </row>
    <row r="41" spans="1:36" ht="15.75" thickBot="1" x14ac:dyDescent="0.3">
      <c r="A41" s="94"/>
      <c r="B41" s="95"/>
      <c r="C41" s="96"/>
      <c r="D41" s="97"/>
      <c r="E41" s="97"/>
      <c r="F41" s="112"/>
      <c r="G41" s="96"/>
      <c r="H41" s="97"/>
      <c r="I41" s="97"/>
      <c r="J41" s="112"/>
      <c r="K41" s="96"/>
      <c r="L41" s="97"/>
      <c r="M41" s="97"/>
      <c r="N41" s="112"/>
      <c r="O41" s="96"/>
      <c r="P41" s="97"/>
      <c r="Q41" s="97"/>
      <c r="R41" s="112"/>
      <c r="S41" s="96"/>
      <c r="T41" s="97"/>
      <c r="U41" s="97"/>
      <c r="V41" s="112"/>
      <c r="W41" s="96"/>
      <c r="X41" s="97"/>
      <c r="Y41" s="97"/>
      <c r="Z41" s="112"/>
      <c r="AA41" s="96"/>
      <c r="AB41" s="97"/>
      <c r="AC41" s="97"/>
      <c r="AD41" s="112"/>
      <c r="AE41" s="120">
        <f>E41+I41+M41+Q41+U41+Y41+AC41</f>
        <v>0</v>
      </c>
    </row>
    <row r="42" spans="1:36" ht="15.75" thickBot="1" x14ac:dyDescent="0.3">
      <c r="A42" s="100"/>
      <c r="B42" s="123"/>
      <c r="C42" s="102"/>
      <c r="D42" s="103"/>
      <c r="E42" s="103"/>
      <c r="F42" s="105"/>
      <c r="G42" s="102"/>
      <c r="H42" s="103"/>
      <c r="I42" s="103"/>
      <c r="J42" s="105"/>
      <c r="K42" s="102"/>
      <c r="L42" s="103"/>
      <c r="M42" s="103"/>
      <c r="N42" s="105"/>
      <c r="O42" s="102"/>
      <c r="P42" s="103"/>
      <c r="Q42" s="103"/>
      <c r="R42" s="105"/>
      <c r="S42" s="102"/>
      <c r="T42" s="103"/>
      <c r="U42" s="103"/>
      <c r="V42" s="105"/>
      <c r="W42" s="102"/>
      <c r="X42" s="103"/>
      <c r="Y42" s="103"/>
      <c r="Z42" s="105"/>
      <c r="AA42" s="114"/>
      <c r="AB42" s="115"/>
      <c r="AC42" s="115"/>
      <c r="AD42" s="116"/>
    </row>
    <row r="43" spans="1:36" s="93" customFormat="1" x14ac:dyDescent="0.25">
      <c r="A43" s="87">
        <v>14</v>
      </c>
      <c r="B43" s="88" t="s">
        <v>173</v>
      </c>
      <c r="C43" s="89">
        <v>12</v>
      </c>
      <c r="D43" s="90">
        <v>143</v>
      </c>
      <c r="E43" s="90">
        <v>7</v>
      </c>
      <c r="F43" s="110">
        <v>34</v>
      </c>
      <c r="G43" s="89">
        <v>12</v>
      </c>
      <c r="H43" s="90">
        <v>143</v>
      </c>
      <c r="I43" s="90">
        <v>7</v>
      </c>
      <c r="J43" s="110">
        <v>34</v>
      </c>
      <c r="K43" s="89">
        <v>12</v>
      </c>
      <c r="L43" s="90">
        <v>143</v>
      </c>
      <c r="M43" s="90">
        <v>7</v>
      </c>
      <c r="N43" s="110">
        <v>34</v>
      </c>
      <c r="O43" s="89">
        <v>12</v>
      </c>
      <c r="P43" s="90">
        <v>143</v>
      </c>
      <c r="Q43" s="90">
        <v>7</v>
      </c>
      <c r="R43" s="110">
        <v>34</v>
      </c>
      <c r="S43" s="89">
        <v>12</v>
      </c>
      <c r="T43" s="90">
        <v>143</v>
      </c>
      <c r="U43" s="90">
        <v>7</v>
      </c>
      <c r="V43" s="110">
        <v>34</v>
      </c>
      <c r="W43" s="89">
        <v>12</v>
      </c>
      <c r="X43" s="90">
        <v>143</v>
      </c>
      <c r="Y43" s="90">
        <v>5</v>
      </c>
      <c r="Z43" s="110">
        <v>34</v>
      </c>
      <c r="AA43" s="89"/>
      <c r="AB43" s="90"/>
      <c r="AC43" s="90"/>
      <c r="AD43" s="110"/>
      <c r="AE43" s="92">
        <f>E43+I43+M43+Q43+U43+Y43+AC43</f>
        <v>40</v>
      </c>
    </row>
    <row r="44" spans="1:36" ht="15.75" thickBot="1" x14ac:dyDescent="0.3">
      <c r="A44" s="94"/>
      <c r="B44" s="111"/>
      <c r="C44" s="96"/>
      <c r="D44" s="97"/>
      <c r="E44" s="97"/>
      <c r="F44" s="112"/>
      <c r="G44" s="96"/>
      <c r="H44" s="97"/>
      <c r="I44" s="97"/>
      <c r="J44" s="112"/>
      <c r="K44" s="96"/>
      <c r="L44" s="97"/>
      <c r="M44" s="97"/>
      <c r="N44" s="112"/>
      <c r="O44" s="96"/>
      <c r="P44" s="97"/>
      <c r="Q44" s="97"/>
      <c r="R44" s="112"/>
      <c r="S44" s="96"/>
      <c r="T44" s="97"/>
      <c r="U44" s="97"/>
      <c r="V44" s="112"/>
      <c r="W44" s="96"/>
      <c r="X44" s="97"/>
      <c r="Y44" s="97"/>
      <c r="Z44" s="112"/>
      <c r="AA44" s="96"/>
      <c r="AB44" s="97"/>
      <c r="AC44" s="97"/>
      <c r="AD44" s="112"/>
      <c r="AE44" s="120">
        <f>E44+I44+M44+Q44+U44+Y44+AC44</f>
        <v>0</v>
      </c>
    </row>
    <row r="45" spans="1:36" ht="15.75" thickBot="1" x14ac:dyDescent="0.3">
      <c r="A45" s="100"/>
      <c r="B45" s="124"/>
      <c r="C45" s="102"/>
      <c r="D45" s="103"/>
      <c r="E45" s="103"/>
      <c r="F45" s="105"/>
      <c r="G45" s="102"/>
      <c r="H45" s="103"/>
      <c r="I45" s="103"/>
      <c r="J45" s="105"/>
      <c r="K45" s="102"/>
      <c r="L45" s="103"/>
      <c r="M45" s="103"/>
      <c r="N45" s="105"/>
      <c r="O45" s="102"/>
      <c r="P45" s="103"/>
      <c r="Q45" s="103"/>
      <c r="R45" s="105"/>
      <c r="S45" s="102"/>
      <c r="T45" s="103"/>
      <c r="U45" s="103"/>
      <c r="V45" s="105"/>
      <c r="W45" s="102"/>
      <c r="X45" s="103"/>
      <c r="Y45" s="103"/>
      <c r="Z45" s="105"/>
      <c r="AA45" s="102"/>
      <c r="AB45" s="103"/>
      <c r="AC45" s="103"/>
      <c r="AD45" s="105"/>
    </row>
    <row r="46" spans="1:36" s="93" customFormat="1" x14ac:dyDescent="0.25">
      <c r="A46" s="87">
        <v>15</v>
      </c>
      <c r="B46" s="88" t="s">
        <v>185</v>
      </c>
      <c r="C46" s="89">
        <v>12</v>
      </c>
      <c r="D46" s="90">
        <v>107</v>
      </c>
      <c r="E46" s="90">
        <v>7</v>
      </c>
      <c r="F46" s="110">
        <v>34</v>
      </c>
      <c r="G46" s="89">
        <v>12</v>
      </c>
      <c r="H46" s="90">
        <v>107</v>
      </c>
      <c r="I46" s="90">
        <v>7</v>
      </c>
      <c r="J46" s="110">
        <v>34</v>
      </c>
      <c r="K46" s="89">
        <v>12</v>
      </c>
      <c r="L46" s="90">
        <v>107</v>
      </c>
      <c r="M46" s="90">
        <v>7</v>
      </c>
      <c r="N46" s="110">
        <v>34</v>
      </c>
      <c r="O46" s="89">
        <v>12</v>
      </c>
      <c r="P46" s="90">
        <v>107</v>
      </c>
      <c r="Q46" s="90">
        <v>7</v>
      </c>
      <c r="R46" s="110">
        <v>34</v>
      </c>
      <c r="S46" s="89">
        <v>12</v>
      </c>
      <c r="T46" s="90">
        <v>107</v>
      </c>
      <c r="U46" s="90">
        <v>7</v>
      </c>
      <c r="V46" s="110">
        <v>34</v>
      </c>
      <c r="W46" s="89">
        <v>12</v>
      </c>
      <c r="X46" s="90">
        <v>107</v>
      </c>
      <c r="Y46" s="90">
        <v>5</v>
      </c>
      <c r="Z46" s="110">
        <v>34</v>
      </c>
      <c r="AA46" s="89"/>
      <c r="AB46" s="90"/>
      <c r="AC46" s="90"/>
      <c r="AD46" s="110"/>
      <c r="AE46" s="125">
        <f>E46+I46+M46+Q46+U46+Y46+AC46</f>
        <v>40</v>
      </c>
    </row>
    <row r="47" spans="1:36" ht="15.75" thickBot="1" x14ac:dyDescent="0.3">
      <c r="A47" s="94"/>
      <c r="B47" s="95"/>
      <c r="C47" s="96"/>
      <c r="D47" s="97"/>
      <c r="E47" s="97"/>
      <c r="F47" s="112"/>
      <c r="G47" s="96"/>
      <c r="H47" s="97"/>
      <c r="I47" s="97"/>
      <c r="J47" s="112"/>
      <c r="K47" s="96"/>
      <c r="L47" s="97"/>
      <c r="M47" s="97"/>
      <c r="N47" s="112"/>
      <c r="O47" s="96"/>
      <c r="P47" s="97"/>
      <c r="Q47" s="97"/>
      <c r="R47" s="112"/>
      <c r="S47" s="96"/>
      <c r="T47" s="97"/>
      <c r="U47" s="97"/>
      <c r="V47" s="112"/>
      <c r="W47" s="96"/>
      <c r="X47" s="97"/>
      <c r="Y47" s="97"/>
      <c r="Z47" s="112"/>
      <c r="AA47" s="96"/>
      <c r="AB47" s="97"/>
      <c r="AC47" s="97"/>
      <c r="AD47" s="112"/>
      <c r="AE47" s="120">
        <f>E47+I47+M47+Q47+U47+Y47+AC47</f>
        <v>0</v>
      </c>
    </row>
    <row r="48" spans="1:36" ht="15.75" thickBot="1" x14ac:dyDescent="0.3">
      <c r="A48" s="100"/>
      <c r="B48" s="126"/>
      <c r="C48" s="102"/>
      <c r="D48" s="103"/>
      <c r="E48" s="103"/>
      <c r="F48" s="105"/>
      <c r="G48" s="102"/>
      <c r="H48" s="103"/>
      <c r="I48" s="103"/>
      <c r="J48" s="105"/>
      <c r="K48" s="102"/>
      <c r="L48" s="103"/>
      <c r="M48" s="103"/>
      <c r="N48" s="105"/>
      <c r="O48" s="102"/>
      <c r="P48" s="103"/>
      <c r="Q48" s="103"/>
      <c r="R48" s="105"/>
      <c r="S48" s="102"/>
      <c r="T48" s="103"/>
      <c r="U48" s="103"/>
      <c r="V48" s="105"/>
      <c r="W48" s="102"/>
      <c r="X48" s="103"/>
      <c r="Y48" s="103"/>
      <c r="Z48" s="105"/>
      <c r="AA48" s="102"/>
      <c r="AB48" s="103"/>
      <c r="AC48" s="103"/>
      <c r="AD48" s="105"/>
    </row>
    <row r="49" spans="1:31" s="93" customFormat="1" x14ac:dyDescent="0.25">
      <c r="A49" s="87">
        <v>16</v>
      </c>
      <c r="B49" s="88" t="s">
        <v>192</v>
      </c>
      <c r="C49" s="89">
        <v>12</v>
      </c>
      <c r="D49" s="90">
        <v>107</v>
      </c>
      <c r="E49" s="90">
        <v>7</v>
      </c>
      <c r="F49" s="110">
        <v>34</v>
      </c>
      <c r="G49" s="89">
        <v>12</v>
      </c>
      <c r="H49" s="90">
        <v>107</v>
      </c>
      <c r="I49" s="90">
        <v>7</v>
      </c>
      <c r="J49" s="110">
        <v>34</v>
      </c>
      <c r="K49" s="89"/>
      <c r="L49" s="90"/>
      <c r="M49" s="90"/>
      <c r="N49" s="110"/>
      <c r="O49" s="89">
        <v>12</v>
      </c>
      <c r="P49" s="90">
        <v>107</v>
      </c>
      <c r="Q49" s="90">
        <v>7</v>
      </c>
      <c r="R49" s="110">
        <v>34</v>
      </c>
      <c r="S49" s="89">
        <v>12</v>
      </c>
      <c r="T49" s="90">
        <v>107</v>
      </c>
      <c r="U49" s="90">
        <v>7</v>
      </c>
      <c r="V49" s="110">
        <v>34</v>
      </c>
      <c r="W49" s="89">
        <v>12</v>
      </c>
      <c r="X49" s="90">
        <v>107</v>
      </c>
      <c r="Y49" s="90">
        <v>5</v>
      </c>
      <c r="Z49" s="110">
        <v>34</v>
      </c>
      <c r="AA49" s="89"/>
      <c r="AB49" s="90"/>
      <c r="AC49" s="90"/>
      <c r="AD49" s="110"/>
      <c r="AE49" s="92">
        <f>E49+I49+M49+Q49+U49+Y49+AC49</f>
        <v>33</v>
      </c>
    </row>
    <row r="50" spans="1:31" ht="15.75" thickBot="1" x14ac:dyDescent="0.3">
      <c r="A50" s="94"/>
      <c r="B50" s="111"/>
      <c r="C50" s="96"/>
      <c r="D50" s="97"/>
      <c r="E50" s="97"/>
      <c r="F50" s="112"/>
      <c r="G50" s="96"/>
      <c r="H50" s="97"/>
      <c r="I50" s="97"/>
      <c r="J50" s="112"/>
      <c r="K50" s="96"/>
      <c r="L50" s="97"/>
      <c r="M50" s="97"/>
      <c r="N50" s="112"/>
      <c r="O50" s="96"/>
      <c r="P50" s="97"/>
      <c r="Q50" s="97"/>
      <c r="R50" s="112"/>
      <c r="S50" s="96"/>
      <c r="T50" s="97"/>
      <c r="U50" s="97"/>
      <c r="V50" s="112"/>
      <c r="W50" s="96"/>
      <c r="X50" s="97"/>
      <c r="Y50" s="97"/>
      <c r="Z50" s="112"/>
      <c r="AA50" s="96"/>
      <c r="AB50" s="97"/>
      <c r="AC50" s="97"/>
      <c r="AD50" s="112"/>
      <c r="AE50" s="120">
        <f>E50+I50+M50+Q50+U50+Y50+AC50</f>
        <v>0</v>
      </c>
    </row>
    <row r="51" spans="1:31" ht="15.75" thickBot="1" x14ac:dyDescent="0.3">
      <c r="A51" s="100"/>
      <c r="B51" s="127"/>
      <c r="C51" s="102"/>
      <c r="D51" s="103"/>
      <c r="E51" s="103"/>
      <c r="F51" s="105"/>
      <c r="G51" s="102"/>
      <c r="H51" s="103"/>
      <c r="I51" s="103"/>
      <c r="J51" s="105"/>
      <c r="K51" s="102"/>
      <c r="L51" s="103"/>
      <c r="M51" s="103"/>
      <c r="N51" s="105"/>
      <c r="O51" s="102"/>
      <c r="P51" s="103"/>
      <c r="Q51" s="103"/>
      <c r="R51" s="105"/>
      <c r="S51" s="102"/>
      <c r="T51" s="103"/>
      <c r="U51" s="103"/>
      <c r="V51" s="105"/>
      <c r="W51" s="102"/>
      <c r="X51" s="103"/>
      <c r="Y51" s="103"/>
      <c r="Z51" s="105"/>
      <c r="AA51" s="102"/>
      <c r="AB51" s="103"/>
      <c r="AC51" s="103"/>
      <c r="AD51" s="105"/>
    </row>
    <row r="52" spans="1:31" s="93" customFormat="1" x14ac:dyDescent="0.25">
      <c r="A52" s="128">
        <v>17</v>
      </c>
      <c r="B52" s="129" t="s">
        <v>176</v>
      </c>
      <c r="C52" s="119">
        <v>12</v>
      </c>
      <c r="D52" s="108">
        <v>107</v>
      </c>
      <c r="E52" s="90">
        <v>7</v>
      </c>
      <c r="F52" s="110">
        <v>34</v>
      </c>
      <c r="G52" s="119">
        <v>12</v>
      </c>
      <c r="H52" s="108">
        <v>107</v>
      </c>
      <c r="I52" s="90">
        <v>7</v>
      </c>
      <c r="J52" s="110">
        <v>34</v>
      </c>
      <c r="K52" s="119">
        <v>12</v>
      </c>
      <c r="L52" s="108">
        <v>107</v>
      </c>
      <c r="M52" s="90">
        <v>7</v>
      </c>
      <c r="N52" s="110">
        <v>34</v>
      </c>
      <c r="O52" s="119">
        <v>12</v>
      </c>
      <c r="P52" s="108">
        <v>107</v>
      </c>
      <c r="Q52" s="90">
        <v>7</v>
      </c>
      <c r="R52" s="110">
        <v>34</v>
      </c>
      <c r="S52" s="119">
        <v>12</v>
      </c>
      <c r="T52" s="108">
        <v>107</v>
      </c>
      <c r="U52" s="90">
        <v>7</v>
      </c>
      <c r="V52" s="110">
        <v>34</v>
      </c>
      <c r="W52" s="119">
        <v>12</v>
      </c>
      <c r="X52" s="108">
        <v>107</v>
      </c>
      <c r="Y52" s="90">
        <v>5</v>
      </c>
      <c r="Z52" s="110">
        <v>34</v>
      </c>
      <c r="AA52" s="89"/>
      <c r="AB52" s="90"/>
      <c r="AC52" s="90"/>
      <c r="AD52" s="110"/>
      <c r="AE52" s="125">
        <f>E52+I52+M52+Q52+U52+Y52+AC52</f>
        <v>40</v>
      </c>
    </row>
    <row r="53" spans="1:31" ht="15.75" thickBot="1" x14ac:dyDescent="0.3">
      <c r="A53" s="130"/>
      <c r="B53" s="111"/>
      <c r="C53" s="131"/>
      <c r="D53" s="97"/>
      <c r="E53" s="97"/>
      <c r="F53" s="112"/>
      <c r="G53" s="131"/>
      <c r="H53" s="97"/>
      <c r="I53" s="97"/>
      <c r="J53" s="112"/>
      <c r="K53" s="131"/>
      <c r="L53" s="97"/>
      <c r="M53" s="97"/>
      <c r="N53" s="112"/>
      <c r="O53" s="131"/>
      <c r="P53" s="97"/>
      <c r="Q53" s="97"/>
      <c r="R53" s="112"/>
      <c r="S53" s="131"/>
      <c r="T53" s="97"/>
      <c r="U53" s="97"/>
      <c r="V53" s="112"/>
      <c r="W53" s="131"/>
      <c r="X53" s="97"/>
      <c r="Y53" s="97"/>
      <c r="Z53" s="112"/>
      <c r="AA53" s="96"/>
      <c r="AB53" s="97"/>
      <c r="AC53" s="97"/>
      <c r="AD53" s="112"/>
      <c r="AE53" s="120">
        <f>E53+I53+M53+Q53+U53+Y53+AC53</f>
        <v>0</v>
      </c>
    </row>
    <row r="54" spans="1:31" ht="15.75" thickBot="1" x14ac:dyDescent="0.3">
      <c r="A54" s="132"/>
      <c r="B54" s="113"/>
      <c r="C54" s="133"/>
      <c r="D54" s="103"/>
      <c r="E54" s="103"/>
      <c r="F54" s="105"/>
      <c r="G54" s="133"/>
      <c r="H54" s="103"/>
      <c r="I54" s="103"/>
      <c r="J54" s="105"/>
      <c r="K54" s="133"/>
      <c r="L54" s="103"/>
      <c r="M54" s="103"/>
      <c r="N54" s="105"/>
      <c r="O54" s="133"/>
      <c r="P54" s="103"/>
      <c r="Q54" s="103"/>
      <c r="R54" s="105"/>
      <c r="S54" s="133"/>
      <c r="T54" s="103"/>
      <c r="U54" s="103"/>
      <c r="V54" s="105"/>
      <c r="W54" s="133"/>
      <c r="X54" s="103"/>
      <c r="Y54" s="103">
        <v>5</v>
      </c>
      <c r="Z54" s="105"/>
      <c r="AA54" s="102"/>
      <c r="AB54" s="103"/>
      <c r="AC54" s="103"/>
      <c r="AD54" s="105"/>
    </row>
    <row r="55" spans="1:31" s="93" customFormat="1" x14ac:dyDescent="0.25">
      <c r="A55" s="87">
        <v>18</v>
      </c>
      <c r="B55" s="134" t="s">
        <v>180</v>
      </c>
      <c r="C55" s="119">
        <v>12</v>
      </c>
      <c r="D55" s="108">
        <v>107</v>
      </c>
      <c r="E55" s="90">
        <v>7</v>
      </c>
      <c r="F55" s="110">
        <v>34</v>
      </c>
      <c r="G55" s="119"/>
      <c r="H55" s="108"/>
      <c r="I55" s="90"/>
      <c r="J55" s="110"/>
      <c r="K55" s="119">
        <v>12</v>
      </c>
      <c r="L55" s="108">
        <v>107</v>
      </c>
      <c r="M55" s="90">
        <v>7</v>
      </c>
      <c r="N55" s="110">
        <v>34</v>
      </c>
      <c r="O55" s="119">
        <v>12</v>
      </c>
      <c r="P55" s="108">
        <v>107</v>
      </c>
      <c r="Q55" s="90">
        <v>7</v>
      </c>
      <c r="R55" s="110">
        <v>34</v>
      </c>
      <c r="S55" s="119">
        <v>12</v>
      </c>
      <c r="T55" s="108">
        <v>107</v>
      </c>
      <c r="U55" s="90">
        <v>7</v>
      </c>
      <c r="V55" s="110">
        <v>34</v>
      </c>
      <c r="W55" s="119">
        <v>12</v>
      </c>
      <c r="X55" s="108">
        <v>107</v>
      </c>
      <c r="Y55" s="90">
        <v>7</v>
      </c>
      <c r="Z55" s="110">
        <v>34</v>
      </c>
      <c r="AA55" s="89"/>
      <c r="AB55" s="90"/>
      <c r="AC55" s="90"/>
      <c r="AD55" s="110"/>
      <c r="AE55" s="92">
        <f>E55+I55+M55+Q55+U55+Y55+AC55</f>
        <v>35</v>
      </c>
    </row>
    <row r="56" spans="1:31" ht="15.75" thickBot="1" x14ac:dyDescent="0.3">
      <c r="A56" s="94"/>
      <c r="B56" s="111"/>
      <c r="C56" s="96"/>
      <c r="D56" s="97"/>
      <c r="E56" s="97"/>
      <c r="F56" s="112"/>
      <c r="G56" s="96"/>
      <c r="H56" s="97"/>
      <c r="I56" s="97"/>
      <c r="J56" s="112"/>
      <c r="K56" s="96"/>
      <c r="L56" s="97"/>
      <c r="M56" s="97"/>
      <c r="N56" s="112"/>
      <c r="O56" s="96"/>
      <c r="P56" s="97"/>
      <c r="Q56" s="97"/>
      <c r="R56" s="112"/>
      <c r="S56" s="96"/>
      <c r="T56" s="97"/>
      <c r="U56" s="97"/>
      <c r="V56" s="112"/>
      <c r="W56" s="96"/>
      <c r="X56" s="97"/>
      <c r="Y56" s="97"/>
      <c r="Z56" s="112"/>
      <c r="AA56" s="96"/>
      <c r="AB56" s="97"/>
      <c r="AC56" s="97"/>
      <c r="AD56" s="112"/>
      <c r="AE56" s="120">
        <f>E56+I56+M56+Q56+U56+Y56+AC56</f>
        <v>0</v>
      </c>
    </row>
    <row r="57" spans="1:31" ht="15.75" thickBot="1" x14ac:dyDescent="0.3">
      <c r="A57" s="100"/>
      <c r="B57" s="124"/>
      <c r="C57" s="102"/>
      <c r="D57" s="103"/>
      <c r="E57" s="103"/>
      <c r="F57" s="105"/>
      <c r="G57" s="102"/>
      <c r="H57" s="103"/>
      <c r="I57" s="103"/>
      <c r="J57" s="105"/>
      <c r="K57" s="102"/>
      <c r="L57" s="103"/>
      <c r="M57" s="103"/>
      <c r="N57" s="105"/>
      <c r="O57" s="102"/>
      <c r="P57" s="103"/>
      <c r="Q57" s="103"/>
      <c r="R57" s="105"/>
      <c r="S57" s="102"/>
      <c r="T57" s="103"/>
      <c r="U57" s="103"/>
      <c r="V57" s="105"/>
      <c r="W57" s="102"/>
      <c r="X57" s="103"/>
      <c r="Y57" s="103"/>
      <c r="Z57" s="105"/>
      <c r="AA57" s="102"/>
      <c r="AB57" s="103"/>
      <c r="AC57" s="103"/>
      <c r="AD57" s="105"/>
    </row>
    <row r="58" spans="1:31" s="93" customFormat="1" x14ac:dyDescent="0.25">
      <c r="A58" s="87">
        <v>19</v>
      </c>
      <c r="B58" s="134" t="s">
        <v>190</v>
      </c>
      <c r="C58" s="119">
        <v>12</v>
      </c>
      <c r="D58" s="108">
        <v>107</v>
      </c>
      <c r="E58" s="90">
        <v>7</v>
      </c>
      <c r="F58" s="110">
        <v>34</v>
      </c>
      <c r="G58" s="119">
        <v>12</v>
      </c>
      <c r="H58" s="108">
        <v>107</v>
      </c>
      <c r="I58" s="90">
        <v>7</v>
      </c>
      <c r="J58" s="110">
        <v>34</v>
      </c>
      <c r="K58" s="119">
        <v>12</v>
      </c>
      <c r="L58" s="108">
        <v>107</v>
      </c>
      <c r="M58" s="90">
        <v>7</v>
      </c>
      <c r="N58" s="110">
        <v>34</v>
      </c>
      <c r="O58" s="119">
        <v>12</v>
      </c>
      <c r="P58" s="108">
        <v>107</v>
      </c>
      <c r="Q58" s="90">
        <v>7</v>
      </c>
      <c r="R58" s="110">
        <v>34</v>
      </c>
      <c r="S58" s="119">
        <v>12</v>
      </c>
      <c r="T58" s="108">
        <v>107</v>
      </c>
      <c r="U58" s="90">
        <v>7</v>
      </c>
      <c r="V58" s="110">
        <v>34</v>
      </c>
      <c r="W58" s="119">
        <v>12</v>
      </c>
      <c r="X58" s="108">
        <v>107</v>
      </c>
      <c r="Y58" s="90">
        <v>5</v>
      </c>
      <c r="Z58" s="110">
        <v>34</v>
      </c>
      <c r="AA58" s="89"/>
      <c r="AB58" s="90"/>
      <c r="AC58" s="90"/>
      <c r="AD58" s="110"/>
      <c r="AE58" s="92">
        <f>E58+I58+M58+Q58+U58+Y58+AC58</f>
        <v>40</v>
      </c>
    </row>
    <row r="59" spans="1:31" ht="15.75" thickBot="1" x14ac:dyDescent="0.3">
      <c r="A59" s="94"/>
      <c r="B59" s="111"/>
      <c r="C59" s="96"/>
      <c r="D59" s="97"/>
      <c r="E59" s="97"/>
      <c r="F59" s="112"/>
      <c r="G59" s="96"/>
      <c r="H59" s="97"/>
      <c r="I59" s="97"/>
      <c r="J59" s="112"/>
      <c r="K59" s="96"/>
      <c r="L59" s="97"/>
      <c r="M59" s="97"/>
      <c r="N59" s="112"/>
      <c r="O59" s="96"/>
      <c r="P59" s="97"/>
      <c r="Q59" s="97"/>
      <c r="R59" s="112"/>
      <c r="S59" s="96"/>
      <c r="T59" s="97"/>
      <c r="U59" s="97"/>
      <c r="V59" s="112"/>
      <c r="W59" s="96"/>
      <c r="X59" s="97"/>
      <c r="Y59" s="97"/>
      <c r="Z59" s="112"/>
      <c r="AA59" s="96"/>
      <c r="AB59" s="97"/>
      <c r="AC59" s="97"/>
      <c r="AD59" s="112"/>
      <c r="AE59" s="120">
        <f>E59+I59+M59+Q59+U59+Y59+AC59</f>
        <v>0</v>
      </c>
    </row>
    <row r="60" spans="1:31" ht="15.75" thickBot="1" x14ac:dyDescent="0.3">
      <c r="A60" s="94"/>
      <c r="B60" s="127"/>
      <c r="C60" s="114"/>
      <c r="D60" s="115"/>
      <c r="E60" s="115"/>
      <c r="F60" s="116"/>
      <c r="G60" s="114"/>
      <c r="H60" s="115"/>
      <c r="I60" s="115"/>
      <c r="J60" s="116"/>
      <c r="K60" s="114"/>
      <c r="L60" s="115"/>
      <c r="M60" s="115"/>
      <c r="N60" s="116"/>
      <c r="O60" s="114"/>
      <c r="P60" s="115"/>
      <c r="Q60" s="115"/>
      <c r="R60" s="116"/>
      <c r="S60" s="114"/>
      <c r="T60" s="115"/>
      <c r="U60" s="115"/>
      <c r="V60" s="116"/>
      <c r="W60" s="114"/>
      <c r="X60" s="115"/>
      <c r="Y60" s="115"/>
      <c r="Z60" s="116"/>
      <c r="AA60" s="114"/>
      <c r="AB60" s="115"/>
      <c r="AC60" s="115"/>
      <c r="AD60" s="116"/>
      <c r="AE60" s="135"/>
    </row>
    <row r="61" spans="1:31" s="93" customFormat="1" x14ac:dyDescent="0.25">
      <c r="A61" s="87">
        <v>20</v>
      </c>
      <c r="B61" s="129" t="s">
        <v>191</v>
      </c>
      <c r="C61" s="119">
        <v>12</v>
      </c>
      <c r="D61" s="108">
        <v>107</v>
      </c>
      <c r="E61" s="90">
        <v>7</v>
      </c>
      <c r="F61" s="110">
        <v>34</v>
      </c>
      <c r="G61" s="89">
        <v>12</v>
      </c>
      <c r="H61" s="90">
        <v>105</v>
      </c>
      <c r="I61" s="90">
        <v>7</v>
      </c>
      <c r="J61" s="110">
        <v>34</v>
      </c>
      <c r="K61" s="89">
        <v>12</v>
      </c>
      <c r="L61" s="90">
        <v>105</v>
      </c>
      <c r="M61" s="90">
        <v>7</v>
      </c>
      <c r="N61" s="110">
        <v>34</v>
      </c>
      <c r="O61" s="89">
        <v>12</v>
      </c>
      <c r="P61" s="90">
        <v>105</v>
      </c>
      <c r="Q61" s="90">
        <v>7</v>
      </c>
      <c r="R61" s="110">
        <v>34</v>
      </c>
      <c r="S61" s="89">
        <v>12</v>
      </c>
      <c r="T61" s="90">
        <v>105</v>
      </c>
      <c r="U61" s="90">
        <v>7</v>
      </c>
      <c r="V61" s="110">
        <v>34</v>
      </c>
      <c r="W61" s="89"/>
      <c r="X61" s="90"/>
      <c r="Y61" s="90"/>
      <c r="Z61" s="110"/>
      <c r="AA61" s="89"/>
      <c r="AB61" s="90"/>
      <c r="AC61" s="90"/>
      <c r="AD61" s="110"/>
      <c r="AE61" s="92">
        <f>E61+I61+M61+Q61+U61+Y61+AC61</f>
        <v>35</v>
      </c>
    </row>
    <row r="62" spans="1:31" ht="15.75" thickBot="1" x14ac:dyDescent="0.3">
      <c r="A62" s="94"/>
      <c r="B62" s="111"/>
      <c r="C62" s="96"/>
      <c r="D62" s="97"/>
      <c r="E62" s="97"/>
      <c r="F62" s="112"/>
      <c r="G62" s="96"/>
      <c r="H62" s="97"/>
      <c r="I62" s="97"/>
      <c r="J62" s="112"/>
      <c r="K62" s="96"/>
      <c r="L62" s="97"/>
      <c r="M62" s="97"/>
      <c r="N62" s="112"/>
      <c r="O62" s="96"/>
      <c r="P62" s="97"/>
      <c r="Q62" s="97"/>
      <c r="R62" s="112"/>
      <c r="S62" s="96"/>
      <c r="T62" s="97"/>
      <c r="U62" s="97"/>
      <c r="V62" s="112"/>
      <c r="W62" s="96"/>
      <c r="X62" s="97"/>
      <c r="Y62" s="97"/>
      <c r="Z62" s="112"/>
      <c r="AA62" s="96"/>
      <c r="AB62" s="97"/>
      <c r="AC62" s="97"/>
      <c r="AD62" s="112"/>
      <c r="AE62" s="120">
        <f>E62+I62+M62+Q62+U62+Y62+AC62</f>
        <v>0</v>
      </c>
    </row>
    <row r="63" spans="1:31" ht="15.75" thickBot="1" x14ac:dyDescent="0.3">
      <c r="A63" s="94"/>
      <c r="B63" s="124"/>
      <c r="C63" s="102"/>
      <c r="D63" s="103"/>
      <c r="E63" s="103"/>
      <c r="F63" s="105"/>
      <c r="G63" s="102"/>
      <c r="H63" s="103"/>
      <c r="I63" s="103"/>
      <c r="J63" s="105"/>
      <c r="K63" s="102"/>
      <c r="L63" s="103"/>
      <c r="M63" s="103"/>
      <c r="N63" s="105"/>
      <c r="O63" s="102"/>
      <c r="P63" s="103"/>
      <c r="Q63" s="103"/>
      <c r="R63" s="105"/>
      <c r="S63" s="102"/>
      <c r="T63" s="103"/>
      <c r="U63" s="103"/>
      <c r="V63" s="105"/>
      <c r="W63" s="102"/>
      <c r="X63" s="103"/>
      <c r="Y63" s="103"/>
      <c r="Z63" s="105"/>
      <c r="AA63" s="102"/>
      <c r="AB63" s="103"/>
      <c r="AC63" s="103"/>
      <c r="AD63" s="105"/>
      <c r="AE63" s="135"/>
    </row>
    <row r="64" spans="1:31" s="93" customFormat="1" x14ac:dyDescent="0.25">
      <c r="A64" s="87">
        <v>21</v>
      </c>
      <c r="B64" s="129" t="s">
        <v>188</v>
      </c>
      <c r="C64" s="119">
        <v>12</v>
      </c>
      <c r="D64" s="90">
        <v>106</v>
      </c>
      <c r="E64" s="90">
        <v>7</v>
      </c>
      <c r="F64" s="110">
        <v>34</v>
      </c>
      <c r="G64" s="119">
        <v>12</v>
      </c>
      <c r="H64" s="90">
        <v>106</v>
      </c>
      <c r="I64" s="90">
        <v>7</v>
      </c>
      <c r="J64" s="110">
        <v>34</v>
      </c>
      <c r="K64" s="119">
        <v>12</v>
      </c>
      <c r="L64" s="90">
        <v>106</v>
      </c>
      <c r="M64" s="90">
        <v>7</v>
      </c>
      <c r="N64" s="110">
        <v>34</v>
      </c>
      <c r="O64" s="119">
        <v>12</v>
      </c>
      <c r="P64" s="90">
        <v>106</v>
      </c>
      <c r="Q64" s="90">
        <v>7</v>
      </c>
      <c r="R64" s="110">
        <v>34</v>
      </c>
      <c r="S64" s="119">
        <v>12</v>
      </c>
      <c r="T64" s="90">
        <v>106</v>
      </c>
      <c r="U64" s="90">
        <v>7</v>
      </c>
      <c r="V64" s="110">
        <v>34</v>
      </c>
      <c r="W64" s="119">
        <v>12</v>
      </c>
      <c r="X64" s="90">
        <v>106</v>
      </c>
      <c r="Y64" s="90">
        <v>5</v>
      </c>
      <c r="Z64" s="110">
        <v>34</v>
      </c>
      <c r="AA64" s="89"/>
      <c r="AB64" s="90"/>
      <c r="AC64" s="90"/>
      <c r="AD64" s="110"/>
      <c r="AE64" s="92">
        <f>E64+I64+M64+Q64+U64+Y64+AC64</f>
        <v>40</v>
      </c>
    </row>
    <row r="65" spans="1:34" ht="15.75" thickBot="1" x14ac:dyDescent="0.3">
      <c r="A65" s="94"/>
      <c r="B65" s="111"/>
      <c r="C65" s="96"/>
      <c r="D65" s="97"/>
      <c r="E65" s="97"/>
      <c r="F65" s="112"/>
      <c r="G65" s="96"/>
      <c r="H65" s="97"/>
      <c r="I65" s="97"/>
      <c r="J65" s="112"/>
      <c r="K65" s="96"/>
      <c r="L65" s="97"/>
      <c r="M65" s="97"/>
      <c r="N65" s="112"/>
      <c r="O65" s="96"/>
      <c r="P65" s="97"/>
      <c r="Q65" s="97"/>
      <c r="R65" s="112"/>
      <c r="S65" s="96"/>
      <c r="T65" s="97"/>
      <c r="U65" s="97"/>
      <c r="V65" s="112"/>
      <c r="W65" s="96"/>
      <c r="X65" s="97"/>
      <c r="Y65" s="97"/>
      <c r="Z65" s="112"/>
      <c r="AA65" s="96"/>
      <c r="AB65" s="97"/>
      <c r="AC65" s="97"/>
      <c r="AD65" s="112"/>
      <c r="AE65" s="120">
        <f>E65+I65+M65+Q65+U65+Y65+AC65</f>
        <v>0</v>
      </c>
    </row>
    <row r="66" spans="1:34" ht="15.75" thickBot="1" x14ac:dyDescent="0.3">
      <c r="A66" s="94"/>
      <c r="B66" s="124"/>
      <c r="C66" s="102"/>
      <c r="D66" s="103"/>
      <c r="E66" s="103"/>
      <c r="F66" s="105"/>
      <c r="G66" s="102"/>
      <c r="H66" s="103"/>
      <c r="I66" s="103"/>
      <c r="J66" s="105"/>
      <c r="K66" s="102"/>
      <c r="L66" s="103"/>
      <c r="M66" s="103"/>
      <c r="N66" s="105"/>
      <c r="O66" s="102"/>
      <c r="P66" s="103"/>
      <c r="Q66" s="103"/>
      <c r="R66" s="105"/>
      <c r="S66" s="102"/>
      <c r="T66" s="103"/>
      <c r="U66" s="103"/>
      <c r="V66" s="105"/>
      <c r="W66" s="102"/>
      <c r="X66" s="103"/>
      <c r="Y66" s="103"/>
      <c r="Z66" s="105"/>
      <c r="AA66" s="102"/>
      <c r="AB66" s="103"/>
      <c r="AC66" s="103"/>
      <c r="AD66" s="105"/>
      <c r="AE66" s="135"/>
    </row>
    <row r="67" spans="1:34" s="93" customFormat="1" x14ac:dyDescent="0.25">
      <c r="A67" s="87">
        <v>22</v>
      </c>
      <c r="B67" s="129" t="s">
        <v>189</v>
      </c>
      <c r="C67" s="119">
        <v>12</v>
      </c>
      <c r="D67" s="90">
        <v>107</v>
      </c>
      <c r="E67" s="90">
        <v>7</v>
      </c>
      <c r="F67" s="110">
        <v>34</v>
      </c>
      <c r="G67" s="119">
        <v>12</v>
      </c>
      <c r="H67" s="90">
        <v>107</v>
      </c>
      <c r="I67" s="90">
        <v>7</v>
      </c>
      <c r="J67" s="110">
        <v>34</v>
      </c>
      <c r="K67" s="119">
        <v>12</v>
      </c>
      <c r="L67" s="90">
        <v>107</v>
      </c>
      <c r="M67" s="90">
        <v>7</v>
      </c>
      <c r="N67" s="110">
        <v>34</v>
      </c>
      <c r="O67" s="119">
        <v>12</v>
      </c>
      <c r="P67" s="90">
        <v>107</v>
      </c>
      <c r="Q67" s="90">
        <v>7</v>
      </c>
      <c r="R67" s="110">
        <v>34</v>
      </c>
      <c r="S67" s="119">
        <v>12</v>
      </c>
      <c r="T67" s="90">
        <v>107</v>
      </c>
      <c r="U67" s="90">
        <v>7</v>
      </c>
      <c r="V67" s="110">
        <v>34</v>
      </c>
      <c r="W67" s="119">
        <v>12</v>
      </c>
      <c r="X67" s="90">
        <v>107</v>
      </c>
      <c r="Y67" s="90">
        <v>5</v>
      </c>
      <c r="Z67" s="110">
        <v>34</v>
      </c>
      <c r="AA67" s="89"/>
      <c r="AB67" s="90"/>
      <c r="AC67" s="90"/>
      <c r="AD67" s="110"/>
      <c r="AE67" s="92">
        <f>E67+I67+M67+Q67+U67+Y67+AC67</f>
        <v>40</v>
      </c>
    </row>
    <row r="68" spans="1:34" ht="15.75" thickBot="1" x14ac:dyDescent="0.3">
      <c r="A68" s="94"/>
      <c r="B68" s="111"/>
      <c r="C68" s="96"/>
      <c r="D68" s="97"/>
      <c r="E68" s="97"/>
      <c r="F68" s="112"/>
      <c r="G68" s="96"/>
      <c r="H68" s="97"/>
      <c r="I68" s="97"/>
      <c r="J68" s="112"/>
      <c r="K68" s="96"/>
      <c r="L68" s="97"/>
      <c r="M68" s="97"/>
      <c r="N68" s="112"/>
      <c r="O68" s="96"/>
      <c r="P68" s="97"/>
      <c r="Q68" s="97"/>
      <c r="R68" s="112"/>
      <c r="S68" s="96"/>
      <c r="T68" s="97"/>
      <c r="U68" s="97"/>
      <c r="V68" s="112"/>
      <c r="W68" s="96"/>
      <c r="X68" s="97"/>
      <c r="Y68" s="97"/>
      <c r="Z68" s="112"/>
      <c r="AA68" s="96"/>
      <c r="AB68" s="97"/>
      <c r="AC68" s="97"/>
      <c r="AD68" s="112"/>
      <c r="AE68" s="120">
        <f>E68+I68+M68+Q68+U68+Y68+AC68</f>
        <v>0</v>
      </c>
    </row>
    <row r="69" spans="1:34" ht="16.899999999999999" customHeight="1" thickBot="1" x14ac:dyDescent="0.3">
      <c r="A69" s="94"/>
      <c r="B69" s="124"/>
      <c r="C69" s="102"/>
      <c r="D69" s="103"/>
      <c r="E69" s="103"/>
      <c r="F69" s="105"/>
      <c r="G69" s="102"/>
      <c r="H69" s="103"/>
      <c r="I69" s="103"/>
      <c r="J69" s="105"/>
      <c r="K69" s="102"/>
      <c r="L69" s="103"/>
      <c r="M69" s="103"/>
      <c r="N69" s="105"/>
      <c r="O69" s="102"/>
      <c r="P69" s="103"/>
      <c r="Q69" s="103"/>
      <c r="R69" s="105"/>
      <c r="S69" s="102"/>
      <c r="T69" s="103"/>
      <c r="U69" s="103"/>
      <c r="V69" s="105"/>
      <c r="W69" s="102"/>
      <c r="X69" s="103"/>
      <c r="Y69" s="103"/>
      <c r="Z69" s="105"/>
      <c r="AA69" s="102"/>
      <c r="AB69" s="103"/>
      <c r="AC69" s="103"/>
      <c r="AD69" s="105"/>
      <c r="AE69" s="135"/>
    </row>
    <row r="70" spans="1:34" s="93" customFormat="1" x14ac:dyDescent="0.25">
      <c r="A70" s="87">
        <v>23</v>
      </c>
      <c r="B70" s="134" t="s">
        <v>169</v>
      </c>
      <c r="C70" s="154" t="s">
        <v>193</v>
      </c>
      <c r="D70" s="155"/>
      <c r="E70" s="108"/>
      <c r="F70" s="109"/>
      <c r="G70" s="154" t="s">
        <v>193</v>
      </c>
      <c r="H70" s="155"/>
      <c r="I70" s="108"/>
      <c r="J70" s="109"/>
      <c r="K70" s="154" t="s">
        <v>193</v>
      </c>
      <c r="L70" s="155"/>
      <c r="M70" s="108"/>
      <c r="N70" s="109"/>
      <c r="O70" s="154" t="s">
        <v>193</v>
      </c>
      <c r="P70" s="155"/>
      <c r="Q70" s="108"/>
      <c r="R70" s="109"/>
      <c r="S70" s="154" t="s">
        <v>193</v>
      </c>
      <c r="T70" s="155"/>
      <c r="U70" s="108"/>
      <c r="V70" s="109"/>
      <c r="W70" s="154" t="s">
        <v>193</v>
      </c>
      <c r="X70" s="155"/>
      <c r="Y70" s="108"/>
      <c r="Z70" s="109"/>
      <c r="AA70" s="107"/>
      <c r="AB70" s="108"/>
      <c r="AC70" s="108"/>
      <c r="AD70" s="109"/>
      <c r="AE70" s="125">
        <f>E70+I70+M70+Q70+U70+Y70+AC70</f>
        <v>0</v>
      </c>
    </row>
    <row r="71" spans="1:34" ht="15.75" thickBot="1" x14ac:dyDescent="0.3">
      <c r="A71" s="94"/>
      <c r="B71" s="111"/>
      <c r="C71" s="96"/>
      <c r="D71" s="97"/>
      <c r="E71" s="97"/>
      <c r="F71" s="112"/>
      <c r="G71" s="96"/>
      <c r="H71" s="97"/>
      <c r="I71" s="97"/>
      <c r="J71" s="112"/>
      <c r="K71" s="96"/>
      <c r="L71" s="97"/>
      <c r="M71" s="97"/>
      <c r="N71" s="112"/>
      <c r="O71" s="96"/>
      <c r="P71" s="97"/>
      <c r="Q71" s="97"/>
      <c r="R71" s="112"/>
      <c r="S71" s="96"/>
      <c r="T71" s="97"/>
      <c r="U71" s="97"/>
      <c r="V71" s="112"/>
      <c r="W71" s="96"/>
      <c r="X71" s="97"/>
      <c r="Y71" s="97"/>
      <c r="Z71" s="112"/>
      <c r="AA71" s="96"/>
      <c r="AB71" s="97"/>
      <c r="AC71" s="97"/>
      <c r="AD71" s="112"/>
      <c r="AE71" s="120">
        <f>E71+I71+M71+Q71+U71+Y71+AC71</f>
        <v>0</v>
      </c>
    </row>
    <row r="72" spans="1:34" ht="15.75" thickBot="1" x14ac:dyDescent="0.3">
      <c r="A72" s="100"/>
      <c r="B72" s="124"/>
      <c r="C72" s="102"/>
      <c r="D72" s="103"/>
      <c r="E72" s="103"/>
      <c r="F72" s="105"/>
      <c r="G72" s="102"/>
      <c r="H72" s="103"/>
      <c r="I72" s="103"/>
      <c r="J72" s="105"/>
      <c r="K72" s="102"/>
      <c r="L72" s="103"/>
      <c r="M72" s="103"/>
      <c r="N72" s="105"/>
      <c r="O72" s="102"/>
      <c r="P72" s="103"/>
      <c r="Q72" s="103"/>
      <c r="R72" s="105"/>
      <c r="S72" s="102"/>
      <c r="T72" s="103"/>
      <c r="U72" s="103"/>
      <c r="V72" s="105"/>
      <c r="W72" s="102"/>
      <c r="X72" s="103"/>
      <c r="Y72" s="103"/>
      <c r="Z72" s="105"/>
      <c r="AA72" s="102"/>
      <c r="AB72" s="103"/>
      <c r="AC72" s="103"/>
      <c r="AD72" s="105"/>
    </row>
    <row r="73" spans="1:34" ht="15" customHeight="1" thickBot="1" x14ac:dyDescent="0.3">
      <c r="A73" s="136"/>
      <c r="B73" s="88" t="s">
        <v>187</v>
      </c>
      <c r="C73" s="137">
        <v>12</v>
      </c>
      <c r="D73" s="138">
        <v>221</v>
      </c>
      <c r="E73" s="138">
        <v>5</v>
      </c>
      <c r="F73" s="139">
        <v>37</v>
      </c>
      <c r="G73" s="137">
        <v>12</v>
      </c>
      <c r="H73" s="138">
        <v>221</v>
      </c>
      <c r="I73" s="138">
        <v>5</v>
      </c>
      <c r="J73" s="139">
        <v>37</v>
      </c>
      <c r="K73" s="137">
        <v>12</v>
      </c>
      <c r="L73" s="138">
        <v>221</v>
      </c>
      <c r="M73" s="138">
        <v>5</v>
      </c>
      <c r="N73" s="139">
        <v>37</v>
      </c>
      <c r="O73" s="137">
        <v>12</v>
      </c>
      <c r="P73" s="138">
        <v>221</v>
      </c>
      <c r="Q73" s="138">
        <v>5</v>
      </c>
      <c r="R73" s="139">
        <v>37</v>
      </c>
      <c r="S73" s="137">
        <v>12</v>
      </c>
      <c r="T73" s="138">
        <v>221</v>
      </c>
      <c r="U73" s="138">
        <v>5</v>
      </c>
      <c r="V73" s="139">
        <v>37</v>
      </c>
      <c r="W73" s="137">
        <v>12</v>
      </c>
      <c r="X73" s="138">
        <v>221</v>
      </c>
      <c r="Y73" s="138">
        <v>3</v>
      </c>
      <c r="Z73" s="139">
        <v>37</v>
      </c>
      <c r="AA73" s="140"/>
      <c r="AB73" s="141"/>
      <c r="AC73" s="141"/>
      <c r="AD73" s="142"/>
      <c r="AE73" s="99">
        <f>E73+I73+M73+Q73+U73+Y73+AC73</f>
        <v>28</v>
      </c>
    </row>
    <row r="74" spans="1:34" x14ac:dyDescent="0.25">
      <c r="A74" s="94"/>
      <c r="B74" s="95"/>
      <c r="C74" s="96">
        <v>12</v>
      </c>
      <c r="D74" s="97">
        <v>221</v>
      </c>
      <c r="E74" s="97">
        <v>4</v>
      </c>
      <c r="F74" s="112">
        <v>34</v>
      </c>
      <c r="G74" s="96">
        <v>12</v>
      </c>
      <c r="H74" s="97">
        <v>221</v>
      </c>
      <c r="I74" s="97">
        <v>4</v>
      </c>
      <c r="J74" s="112">
        <v>34</v>
      </c>
      <c r="K74" s="96">
        <v>12</v>
      </c>
      <c r="L74" s="97">
        <v>221</v>
      </c>
      <c r="M74" s="97">
        <v>4</v>
      </c>
      <c r="N74" s="112">
        <v>34</v>
      </c>
      <c r="O74" s="96">
        <v>12</v>
      </c>
      <c r="P74" s="97">
        <v>221</v>
      </c>
      <c r="Q74" s="97">
        <v>4</v>
      </c>
      <c r="R74" s="112">
        <v>34</v>
      </c>
      <c r="S74" s="96">
        <v>12</v>
      </c>
      <c r="T74" s="97">
        <v>221</v>
      </c>
      <c r="U74" s="97">
        <v>4</v>
      </c>
      <c r="V74" s="112">
        <v>34</v>
      </c>
      <c r="W74" s="96">
        <v>12</v>
      </c>
      <c r="X74" s="97">
        <v>221</v>
      </c>
      <c r="Y74" s="97">
        <v>3</v>
      </c>
      <c r="Z74" s="112">
        <v>34</v>
      </c>
      <c r="AA74" s="96"/>
      <c r="AB74" s="97"/>
      <c r="AC74" s="97"/>
      <c r="AD74" s="112"/>
      <c r="AE74" s="99">
        <f>E74+I74+M74+Q74+U74+Y74+AC74</f>
        <v>23</v>
      </c>
    </row>
    <row r="75" spans="1:34" ht="15.75" thickBot="1" x14ac:dyDescent="0.3">
      <c r="A75" s="100"/>
      <c r="B75" s="101"/>
      <c r="C75" s="102"/>
      <c r="D75" s="103"/>
      <c r="E75" s="103"/>
      <c r="F75" s="105"/>
      <c r="G75" s="102"/>
      <c r="H75" s="103"/>
      <c r="I75" s="103"/>
      <c r="J75" s="105"/>
      <c r="K75" s="102"/>
      <c r="L75" s="103"/>
      <c r="M75" s="103"/>
      <c r="N75" s="105"/>
      <c r="O75" s="102"/>
      <c r="P75" s="103"/>
      <c r="Q75" s="103"/>
      <c r="R75" s="105"/>
      <c r="S75" s="102"/>
      <c r="T75" s="103"/>
      <c r="U75" s="103"/>
      <c r="V75" s="105"/>
      <c r="W75" s="102"/>
      <c r="X75" s="103"/>
      <c r="Y75" s="103"/>
      <c r="Z75" s="105"/>
      <c r="AA75" s="102"/>
      <c r="AB75" s="103"/>
      <c r="AC75" s="103"/>
      <c r="AD75" s="105"/>
    </row>
    <row r="76" spans="1:34" x14ac:dyDescent="0.25">
      <c r="B76" s="79"/>
      <c r="C76" s="79"/>
      <c r="AG76" s="1">
        <f>SUM(AE4:AE75)</f>
        <v>884</v>
      </c>
    </row>
    <row r="77" spans="1:34" x14ac:dyDescent="0.25">
      <c r="B77" s="79"/>
      <c r="C77" s="79"/>
      <c r="D77" s="79"/>
      <c r="AH77" s="1">
        <v>417.5</v>
      </c>
    </row>
    <row r="78" spans="1:34" x14ac:dyDescent="0.25">
      <c r="B78" s="79"/>
      <c r="C78" s="79"/>
      <c r="D78" s="79"/>
      <c r="AH78" s="1">
        <f>AG76+AH77</f>
        <v>1301.5</v>
      </c>
    </row>
    <row r="79" spans="1:34" x14ac:dyDescent="0.25">
      <c r="B79" s="79"/>
      <c r="C79" s="79"/>
      <c r="D79" s="79"/>
    </row>
    <row r="80" spans="1:34" x14ac:dyDescent="0.25">
      <c r="B80" s="79"/>
      <c r="C80" s="79"/>
      <c r="D80" s="79"/>
    </row>
    <row r="81" spans="2:4" x14ac:dyDescent="0.25">
      <c r="B81" s="79"/>
      <c r="C81" s="79"/>
      <c r="D81" s="79"/>
    </row>
    <row r="82" spans="2:4" x14ac:dyDescent="0.25">
      <c r="B82" s="79"/>
      <c r="C82" s="79"/>
      <c r="D82" s="79"/>
    </row>
    <row r="83" spans="2:4" x14ac:dyDescent="0.25">
      <c r="B83" s="79"/>
      <c r="C83" s="79"/>
      <c r="D83" s="79"/>
    </row>
    <row r="84" spans="2:4" x14ac:dyDescent="0.25">
      <c r="B84" s="79"/>
      <c r="C84" s="79"/>
      <c r="D84" s="79"/>
    </row>
    <row r="85" spans="2:4" x14ac:dyDescent="0.25">
      <c r="B85" s="79"/>
      <c r="C85" s="79"/>
      <c r="D85" s="79"/>
    </row>
    <row r="86" spans="2:4" x14ac:dyDescent="0.25">
      <c r="B86" s="79"/>
      <c r="C86" s="79"/>
      <c r="D86" s="79"/>
    </row>
    <row r="87" spans="2:4" x14ac:dyDescent="0.25">
      <c r="B87" s="79"/>
      <c r="C87" s="79"/>
      <c r="D87" s="79"/>
    </row>
    <row r="88" spans="2:4" x14ac:dyDescent="0.25">
      <c r="B88" s="79"/>
      <c r="C88" s="79"/>
      <c r="D88" s="79"/>
    </row>
    <row r="89" spans="2:4" x14ac:dyDescent="0.25">
      <c r="B89" s="79"/>
      <c r="C89" s="79"/>
      <c r="D89" s="79"/>
    </row>
    <row r="90" spans="2:4" x14ac:dyDescent="0.25">
      <c r="B90" s="79"/>
      <c r="C90" s="79"/>
      <c r="D90" s="79"/>
    </row>
    <row r="91" spans="2:4" x14ac:dyDescent="0.25">
      <c r="B91" s="79"/>
      <c r="C91" s="79"/>
      <c r="D91" s="79"/>
    </row>
    <row r="92" spans="2:4" x14ac:dyDescent="0.25">
      <c r="B92" s="79"/>
      <c r="C92" s="79"/>
      <c r="D92" s="79"/>
    </row>
    <row r="93" spans="2:4" x14ac:dyDescent="0.25">
      <c r="B93" s="79"/>
      <c r="C93" s="79"/>
      <c r="D93" s="79"/>
    </row>
    <row r="94" spans="2:4" x14ac:dyDescent="0.25">
      <c r="B94" s="79"/>
      <c r="C94" s="79"/>
      <c r="D94" s="79"/>
    </row>
    <row r="95" spans="2:4" x14ac:dyDescent="0.25">
      <c r="B95" s="79"/>
      <c r="C95" s="79"/>
      <c r="D95" s="79"/>
    </row>
    <row r="96" spans="2:4" x14ac:dyDescent="0.25">
      <c r="B96" s="79"/>
      <c r="C96" s="79"/>
      <c r="D96" s="79"/>
    </row>
    <row r="97" spans="2:4" x14ac:dyDescent="0.25">
      <c r="B97" s="79"/>
      <c r="C97" s="79"/>
      <c r="D97" s="79"/>
    </row>
    <row r="98" spans="2:4" x14ac:dyDescent="0.25">
      <c r="B98" s="79"/>
      <c r="C98" s="79"/>
      <c r="D98" s="79"/>
    </row>
    <row r="99" spans="2:4" x14ac:dyDescent="0.25">
      <c r="B99" s="79"/>
      <c r="C99" s="79"/>
      <c r="D99" s="79"/>
    </row>
    <row r="100" spans="2:4" x14ac:dyDescent="0.25">
      <c r="B100" s="79"/>
      <c r="C100" s="79"/>
      <c r="D100" s="79"/>
    </row>
  </sheetData>
  <mergeCells count="18">
    <mergeCell ref="B1:AC1"/>
    <mergeCell ref="B2:B3"/>
    <mergeCell ref="C2:F2"/>
    <mergeCell ref="G2:J2"/>
    <mergeCell ref="K2:N2"/>
    <mergeCell ref="O2:R2"/>
    <mergeCell ref="S2:V2"/>
    <mergeCell ref="W2:Z2"/>
    <mergeCell ref="AA2:AD2"/>
    <mergeCell ref="O28:P28"/>
    <mergeCell ref="S28:T28"/>
    <mergeCell ref="W28:X28"/>
    <mergeCell ref="C70:D70"/>
    <mergeCell ref="G70:H70"/>
    <mergeCell ref="K70:L70"/>
    <mergeCell ref="O70:P70"/>
    <mergeCell ref="S70:T70"/>
    <mergeCell ref="W70:X70"/>
  </mergeCells>
  <conditionalFormatting sqref="AI4:AI34 AJ10:AJ13 AJ7:AJ8 AJ23:AJ32 AJ16:AJ21 AJ34 AJ4">
    <cfRule type="duplicateValues" dxfId="3" priority="3"/>
  </conditionalFormatting>
  <conditionalFormatting sqref="AI4:AI34 AK4:AL34 AJ10:AJ13 AJ7:AJ8 AJ23:AJ32 AJ16:AJ21 AJ34 AJ4">
    <cfRule type="duplicateValues" dxfId="2" priority="4"/>
  </conditionalFormatting>
  <conditionalFormatting sqref="AI4:AI34 AL4:AL14">
    <cfRule type="duplicateValues" dxfId="1" priority="1"/>
  </conditionalFormatting>
  <conditionalFormatting sqref="AJ10:AJ13 AJ7:AJ8 AJ23:AJ32 AJ16:AJ21 AJ34 AJ4 AI4:AI34">
    <cfRule type="duplicateValues" dxfId="0" priority="2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AGOSTO</vt:lpstr>
      <vt:lpstr>JORNADAS</vt:lpstr>
      <vt:lpstr>M8_S2_5a11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2024-08-25T18:02:31Z</dcterms:modified>
</cp:coreProperties>
</file>
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13_ncr:1_{F14C671F-AA32-4D9D-B3DC-224C1A679427}" xr6:coauthVersionLast="47" xr6:coauthVersionMax="47" xr10:uidLastSave="{00000000-0000-0000-0000-000000000000}"/>
  <bookViews>
    <workbookView xWindow="0" yWindow="0" windowWidth="20490" windowHeight="10800" xr2:uid="{73641DE5-E5F5-4ADD-83A8-14AA7BC8FD34}"/>
  </bookViews>
  <sheets>
    <sheet name="NOMINA" sheetId="3" r:id="rId1"/>
    <sheet name="MOBIBUK" sheetId="2" r:id="rId2"/>
  </sheets>
  <definedNames>
    <definedName name="_xleta.DATE" hidden="1" xlm="1">#NAME?</definedName>
    <definedName name="_xleta.LOOKUP" hidden="1" xlm="1">#NAME?</definedName>
    <definedName name="_xleta.N" hidden="1" xlm="1">#NAME?</definedName>
    <definedName name="_xleta.NOT" hidden="1" xlm="1">#NAME?</definedName>
    <definedName name="_xleta.NOW" hidden="1" xlm="1">#NAME?</definedName>
    <definedName name="_xleta.REPLACE" hidden="1" xlm="1">#NAME?</definedName>
    <definedName name="_xleta.TODAY" hidden="1" xlm="1">#NAME?</definedName>
    <definedName name="MOBIBUK">MOBIBUK!$A$2:$N$111</definedName>
    <definedName name="NOMINA_CODIGO">NOMINA!$C$1:$Z$113</definedName>
    <definedName name="NOMINA_DNI">NOMINA!$C$2:$Z$113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3" i="3" l="1"/>
  <c r="J112" i="3"/>
  <c r="J111" i="3"/>
  <c r="J110" i="3"/>
  <c r="J109" i="3"/>
  <c r="J108" i="3"/>
  <c r="L107" i="3"/>
  <c r="J107" i="3"/>
  <c r="L106" i="3"/>
  <c r="J106" i="3"/>
  <c r="L105" i="3"/>
  <c r="J105" i="3"/>
  <c r="L104" i="3"/>
  <c r="J104" i="3"/>
  <c r="L103" i="3"/>
  <c r="J103" i="3"/>
  <c r="L102" i="3"/>
  <c r="J102" i="3"/>
  <c r="J101" i="3"/>
  <c r="L100" i="3"/>
  <c r="J100" i="3"/>
  <c r="K99" i="3"/>
  <c r="J99" i="3"/>
  <c r="K98" i="3"/>
  <c r="J98" i="3"/>
  <c r="L97" i="3"/>
  <c r="J97" i="3"/>
  <c r="L96" i="3"/>
  <c r="J96" i="3"/>
  <c r="L95" i="3"/>
  <c r="J95" i="3"/>
  <c r="K94" i="3"/>
  <c r="J94" i="3"/>
  <c r="L93" i="3"/>
  <c r="J93" i="3"/>
  <c r="L92" i="3"/>
  <c r="J92" i="3"/>
  <c r="L91" i="3"/>
  <c r="J91" i="3"/>
  <c r="K90" i="3"/>
  <c r="J90" i="3"/>
  <c r="K89" i="3"/>
  <c r="J89" i="3"/>
  <c r="L88" i="3"/>
  <c r="J88" i="3"/>
  <c r="L87" i="3"/>
  <c r="J87" i="3"/>
  <c r="L86" i="3"/>
  <c r="J86" i="3"/>
  <c r="L85" i="3"/>
  <c r="J85" i="3"/>
  <c r="L84" i="3"/>
  <c r="J84" i="3"/>
  <c r="L83" i="3"/>
  <c r="J83" i="3"/>
  <c r="J82" i="3"/>
  <c r="L81" i="3"/>
  <c r="K81" i="3"/>
  <c r="J81" i="3"/>
  <c r="L80" i="3"/>
  <c r="K80" i="3"/>
  <c r="J80" i="3"/>
  <c r="L79" i="3"/>
  <c r="J79" i="3"/>
  <c r="L78" i="3"/>
  <c r="J78" i="3"/>
  <c r="J77" i="3"/>
  <c r="L76" i="3"/>
  <c r="J76" i="3"/>
  <c r="L75" i="3"/>
  <c r="J75" i="3"/>
  <c r="L74" i="3"/>
  <c r="J74" i="3"/>
  <c r="L73" i="3"/>
  <c r="J73" i="3"/>
  <c r="L72" i="3"/>
  <c r="J72" i="3"/>
  <c r="L71" i="3"/>
  <c r="J71" i="3"/>
  <c r="L70" i="3"/>
  <c r="J70" i="3"/>
  <c r="L69" i="3"/>
  <c r="J69" i="3"/>
  <c r="L68" i="3"/>
  <c r="K68" i="3"/>
  <c r="J68" i="3"/>
  <c r="J67" i="3"/>
  <c r="L66" i="3"/>
  <c r="J66" i="3"/>
  <c r="L65" i="3"/>
  <c r="J65" i="3"/>
  <c r="L64" i="3"/>
  <c r="J64" i="3"/>
  <c r="L63" i="3"/>
  <c r="K63" i="3"/>
  <c r="J63" i="3"/>
  <c r="L62" i="3"/>
  <c r="J62" i="3"/>
  <c r="L61" i="3"/>
  <c r="J61" i="3"/>
  <c r="L60" i="3"/>
  <c r="J60" i="3"/>
  <c r="L59" i="3"/>
  <c r="K59" i="3"/>
  <c r="J59" i="3"/>
  <c r="L58" i="3"/>
  <c r="K58" i="3"/>
  <c r="J58" i="3"/>
  <c r="L57" i="3"/>
  <c r="K57" i="3"/>
  <c r="J57" i="3"/>
  <c r="L56" i="3"/>
  <c r="J56" i="3"/>
  <c r="Y55" i="3"/>
  <c r="L55" i="3"/>
  <c r="J55" i="3"/>
  <c r="L54" i="3"/>
  <c r="J54" i="3"/>
  <c r="J53" i="3"/>
  <c r="L52" i="3"/>
  <c r="J52" i="3"/>
  <c r="L51" i="3"/>
  <c r="J51" i="3"/>
  <c r="L50" i="3"/>
  <c r="K50" i="3"/>
  <c r="J50" i="3"/>
  <c r="L49" i="3"/>
  <c r="K49" i="3"/>
  <c r="J49" i="3"/>
  <c r="L48" i="3"/>
  <c r="J48" i="3"/>
  <c r="K47" i="3"/>
  <c r="J47" i="3"/>
  <c r="K46" i="3"/>
  <c r="J46" i="3"/>
  <c r="L45" i="3"/>
  <c r="J45" i="3"/>
  <c r="J44" i="3"/>
  <c r="L43" i="3"/>
  <c r="J43" i="3"/>
  <c r="L42" i="3"/>
  <c r="J42" i="3"/>
  <c r="J41" i="3"/>
  <c r="J40" i="3"/>
  <c r="K39" i="3"/>
  <c r="J39" i="3"/>
  <c r="K38" i="3"/>
  <c r="J38" i="3"/>
  <c r="L37" i="3"/>
  <c r="J37" i="3"/>
  <c r="J36" i="3"/>
  <c r="J35" i="3"/>
  <c r="K34" i="3"/>
  <c r="J34" i="3"/>
  <c r="J33" i="3"/>
  <c r="K32" i="3"/>
  <c r="J32" i="3"/>
  <c r="K31" i="3"/>
  <c r="J31" i="3"/>
  <c r="K30" i="3"/>
  <c r="J30" i="3"/>
  <c r="K29" i="3"/>
  <c r="J29" i="3"/>
  <c r="L28" i="3"/>
  <c r="J28" i="3"/>
  <c r="K27" i="3"/>
  <c r="J27" i="3"/>
  <c r="L26" i="3"/>
  <c r="J26" i="3"/>
  <c r="K25" i="3"/>
  <c r="J25" i="3"/>
  <c r="L24" i="3"/>
  <c r="J24" i="3"/>
  <c r="L23" i="3"/>
  <c r="J23" i="3"/>
  <c r="L22" i="3"/>
  <c r="J22" i="3"/>
  <c r="L21" i="3"/>
  <c r="J21" i="3"/>
  <c r="K20" i="3"/>
  <c r="J20" i="3"/>
  <c r="L19" i="3"/>
  <c r="J19" i="3"/>
  <c r="J18" i="3"/>
  <c r="L17" i="3"/>
  <c r="J17" i="3"/>
  <c r="L16" i="3"/>
  <c r="J16" i="3"/>
  <c r="L15" i="3"/>
  <c r="J15" i="3"/>
  <c r="L14" i="3"/>
  <c r="J14" i="3"/>
  <c r="L13" i="3"/>
  <c r="J13" i="3"/>
  <c r="K12" i="3"/>
  <c r="J12" i="3"/>
  <c r="J11" i="3"/>
  <c r="K10" i="3"/>
  <c r="J10" i="3"/>
  <c r="L9" i="3"/>
  <c r="J9" i="3"/>
  <c r="L8" i="3"/>
  <c r="J8" i="3"/>
  <c r="L7" i="3"/>
  <c r="J7" i="3"/>
  <c r="J6" i="3"/>
  <c r="L5" i="3"/>
  <c r="J5" i="3"/>
  <c r="L4" i="3"/>
  <c r="J4" i="3"/>
  <c r="L3" i="3"/>
  <c r="J3" i="3"/>
  <c r="L2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tc={EEB5946C-59E0-4823-AA96-B9B91555C519}</author>
    <author>Noemi</author>
    <author>tc={7522CB72-FC0B-47AB-AE14-671A8E446A59}</author>
    <author>tc={FBE8CE97-9DEC-42DA-AAEC-7FC11FF7C18E}</author>
  </authors>
  <commentList>
    <comment ref="D13" authorId="0" shapeId="0" xr:uid="{EEB5946C-59E0-4823-AA96-B9B91555C51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Dar de baja al finalizar la campaña. Despido. Antes verificar embarazo</t>
      </text>
    </comment>
    <comment ref="I18" authorId="1" shapeId="0" xr:uid="{7AED6521-53BB-41AC-882A-E6BAF0C472A7}">
      <text>
        <r>
          <rPr>
            <b/>
            <sz val="9"/>
            <color indexed="81"/>
            <rFont val="Tahoma"/>
            <family val="2"/>
          </rPr>
          <t>Noemi:</t>
        </r>
        <r>
          <rPr>
            <sz val="9"/>
            <color indexed="81"/>
            <rFont val="Tahoma"/>
            <family val="2"/>
          </rPr>
          <t xml:space="preserve">
Se le deben dos jornadas del mes de abril 2024
</t>
        </r>
      </text>
    </comment>
    <comment ref="D26" authorId="2" shapeId="0" xr:uid="{7522CB72-FC0B-47AB-AE14-671A8E446A5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Baja por IT 345 extendida a 180</t>
      </text>
    </comment>
    <comment ref="D69" authorId="3" shapeId="0" xr:uid="{FBE8CE97-9DEC-42DA-AAEC-7FC11FF7C18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Dar de baja al finalizar la campaña. Despido</t>
      </text>
    </comment>
  </commentList>
</comments>
</file>

<file path=xl/sharedStrings.xml><?xml version="1.0" encoding="utf-8"?>
<sst xmlns="http://schemas.openxmlformats.org/spreadsheetml/2006/main" count="2032" uniqueCount="972">
  <si>
    <t>ID_TRABAJADOR</t>
  </si>
  <si>
    <t>DNI</t>
  </si>
  <si>
    <t>ABDESSAMAD</t>
  </si>
  <si>
    <t>HOUDANE</t>
  </si>
  <si>
    <t>Y4056688P</t>
  </si>
  <si>
    <t>AGUSTINA MERCEDES</t>
  </si>
  <si>
    <t>MENDOZA GUAMAN</t>
  </si>
  <si>
    <t>29596627C</t>
  </si>
  <si>
    <t>ALINDA</t>
  </si>
  <si>
    <t>52766229C</t>
  </si>
  <si>
    <t>ANTONIO</t>
  </si>
  <si>
    <t>CANDIDO</t>
  </si>
  <si>
    <t>74376595T</t>
  </si>
  <si>
    <t>13440711V</t>
  </si>
  <si>
    <t>Y3371101M</t>
  </si>
  <si>
    <t>04767915S</t>
  </si>
  <si>
    <t>PULLAGUARI</t>
  </si>
  <si>
    <t>X9098796L</t>
  </si>
  <si>
    <t>HAWA</t>
  </si>
  <si>
    <t>COULIBARY</t>
  </si>
  <si>
    <t>X7223829N</t>
  </si>
  <si>
    <t>24513616D</t>
  </si>
  <si>
    <t>01888071R</t>
  </si>
  <si>
    <t>74389417B</t>
  </si>
  <si>
    <t>Y8538840N</t>
  </si>
  <si>
    <t>29575524P</t>
  </si>
  <si>
    <t>30302328N</t>
  </si>
  <si>
    <t>78132611R</t>
  </si>
  <si>
    <t>Y4651790P</t>
  </si>
  <si>
    <t>X6694276B</t>
  </si>
  <si>
    <t>29529223Y</t>
  </si>
  <si>
    <t>48752774L</t>
  </si>
  <si>
    <t>MIMOUN</t>
  </si>
  <si>
    <t>X6900497Z</t>
  </si>
  <si>
    <t>X8685493A</t>
  </si>
  <si>
    <t>48358034M</t>
  </si>
  <si>
    <t>12825669H</t>
  </si>
  <si>
    <t>RAUL</t>
  </si>
  <si>
    <t>48566245C</t>
  </si>
  <si>
    <t>78293661M</t>
  </si>
  <si>
    <t>29575369Z</t>
  </si>
  <si>
    <t>BAYAN</t>
  </si>
  <si>
    <t>Y9189028J</t>
  </si>
  <si>
    <t>77953988L</t>
  </si>
  <si>
    <t>X8222694X</t>
  </si>
  <si>
    <t>SITUACION</t>
  </si>
  <si>
    <t>ACTIVO</t>
  </si>
  <si>
    <t>DE BAJA</t>
  </si>
  <si>
    <t>FARES, FATIMA</t>
  </si>
  <si>
    <t>ALMACEN</t>
  </si>
  <si>
    <t>SI</t>
  </si>
  <si>
    <t>X7037372Q</t>
  </si>
  <si>
    <t>ATFA, LAHCEN</t>
  </si>
  <si>
    <t>Y1552978D</t>
  </si>
  <si>
    <t>TAMA SÁNCHEZ, EVELYN JULIANA</t>
  </si>
  <si>
    <t>NO</t>
  </si>
  <si>
    <t>X7638357B</t>
  </si>
  <si>
    <t>CARDONA VIVEROS, DANAY ALEXANDRA</t>
  </si>
  <si>
    <t>74531861Q</t>
  </si>
  <si>
    <t>ZAVALA SANDOVAL, GABRIELA JOHANNA</t>
  </si>
  <si>
    <t>48733747J</t>
  </si>
  <si>
    <t>APOLO APOLO, TANIA DEL CARMEN</t>
  </si>
  <si>
    <t>74533510D</t>
  </si>
  <si>
    <t>ER RAHMOUNI, MANAL</t>
  </si>
  <si>
    <t>X3293241D</t>
  </si>
  <si>
    <t>CUERVA BOIX, IGNACIO</t>
  </si>
  <si>
    <t>53977890H</t>
  </si>
  <si>
    <t>RUIZ GONZALEZ, ANTONIO</t>
  </si>
  <si>
    <t>52512289T</t>
  </si>
  <si>
    <t>KARIM KARIM, NOUREDDINE</t>
  </si>
  <si>
    <t>54959187C</t>
  </si>
  <si>
    <t>CATOTA VALDEZ,ERIKA ESTEFANIA</t>
  </si>
  <si>
    <t>X7182318Q</t>
  </si>
  <si>
    <t>QUEZADA FERNANDEZ, NORMA JULEYSI</t>
  </si>
  <si>
    <t>GOBERNADORA FASE I</t>
  </si>
  <si>
    <t>21466597F</t>
  </si>
  <si>
    <t>CASTILLO SARANGO, CARMEN OLINDA</t>
  </si>
  <si>
    <t>74536075K</t>
  </si>
  <si>
    <t>FIALLOS PARRALES, NEIVA KATALINA</t>
  </si>
  <si>
    <t>X6792357C</t>
  </si>
  <si>
    <t>JAYA FARINANGO, NANCY VERONICA</t>
  </si>
  <si>
    <t>X6760346W</t>
  </si>
  <si>
    <t>NEIRA CAMPOVERDE, ROSA FLORINDA</t>
  </si>
  <si>
    <t>29523006E</t>
  </si>
  <si>
    <t>PANTA ORDOÑEZ, EVELING ELIZABETH</t>
  </si>
  <si>
    <t>X3610498G</t>
  </si>
  <si>
    <t>PEÑARRETA CHACON, JENY MAGALI</t>
  </si>
  <si>
    <t>X3887397Y</t>
  </si>
  <si>
    <t>PINTO MONTAÑO, ALINDA</t>
  </si>
  <si>
    <t>Y0154209P</t>
  </si>
  <si>
    <t>PUMAQUERO AMBO, JESSICA SILVANA</t>
  </si>
  <si>
    <t>29526079J</t>
  </si>
  <si>
    <t>SANTILLAN MONTESDEOCA, MONICA ELISABETH</t>
  </si>
  <si>
    <t>48796665A</t>
  </si>
  <si>
    <t>RODRIGUEZ-BARBERO GARCÍA, ANGEL MANUEL</t>
  </si>
  <si>
    <t xml:space="preserve"> SI</t>
  </si>
  <si>
    <t>CRIOLLO SAQUISILLI, ROSA MARIA</t>
  </si>
  <si>
    <t>GUAMAN YUBI, NUBE MARIELA</t>
  </si>
  <si>
    <t>73405007R</t>
  </si>
  <si>
    <t>SARANGO QUEZADA, BETTY JOSEFINA</t>
  </si>
  <si>
    <t>77043559E</t>
  </si>
  <si>
    <t>GUAMAN YUBI, JENNY SUSANA</t>
  </si>
  <si>
    <t>74040433Y</t>
  </si>
  <si>
    <t>MORAN ENDARA, FATIMA ESTHER</t>
  </si>
  <si>
    <t>X6667355T</t>
  </si>
  <si>
    <t>CURCO OÑA, GENESIS ROSARIO</t>
  </si>
  <si>
    <t>Y0202239Z</t>
  </si>
  <si>
    <t>NIETO MORAN, TANYA MARIA</t>
  </si>
  <si>
    <t>23904300D</t>
  </si>
  <si>
    <t>LEON NIVELO, ROSA ERMELINDA</t>
  </si>
  <si>
    <t>LIMACHI LEMACHE, DIANA ELIZABETH</t>
  </si>
  <si>
    <t>PULLAGUARI CHIRIBOGA, FANNY MARITZA</t>
  </si>
  <si>
    <t>ZHININ MINCHALA, MIRIAN ROSANA</t>
  </si>
  <si>
    <t>14057906F</t>
  </si>
  <si>
    <t>ATTAF, ABDERRAHMANE</t>
  </si>
  <si>
    <t>X3983145M</t>
  </si>
  <si>
    <t>BARAGHDOUCH, MOSTAPHA</t>
  </si>
  <si>
    <t>Y8409957K</t>
  </si>
  <si>
    <t>HDOURI, MOHAMMED</t>
  </si>
  <si>
    <t>LEMHAMDI, ABDELHAMID</t>
  </si>
  <si>
    <t>Y6097231Z</t>
  </si>
  <si>
    <t>SUOKRAT, ABDENABI</t>
  </si>
  <si>
    <t>X3167337F</t>
  </si>
  <si>
    <t>CUERVA CUERVA, JOSE LUIS</t>
  </si>
  <si>
    <t>48567868X</t>
  </si>
  <si>
    <t>HIGUERAS JIMENEZ, ANTONIO</t>
  </si>
  <si>
    <t>48566871W</t>
  </si>
  <si>
    <t>HOUDANE, MUSTAPHA</t>
  </si>
  <si>
    <t>X6408252S</t>
  </si>
  <si>
    <t>TERUEL MENDOZA, CANDIDO</t>
  </si>
  <si>
    <t>26480317A</t>
  </si>
  <si>
    <t>MUÑOZ MUÑOZ, MARIA DOLORES</t>
  </si>
  <si>
    <t>48775540S</t>
  </si>
  <si>
    <t>MONTIEL BARSALLO, MAYRA ALEXANDRA</t>
  </si>
  <si>
    <t>78009181N</t>
  </si>
  <si>
    <t>QUIROS HIGUERAS, RAUL</t>
  </si>
  <si>
    <t>GOBERNADORA FASE II</t>
  </si>
  <si>
    <t>TRAORE, BAYAN</t>
  </si>
  <si>
    <t>VACACELA FERNANDEZ, MARIA MANUELA</t>
  </si>
  <si>
    <t>HOUDANE, ABDESSAMAD</t>
  </si>
  <si>
    <t>MARZOUKI, EL MUSTAPHA</t>
  </si>
  <si>
    <t>X1975594D</t>
  </si>
  <si>
    <t>EL MOUSSAOUI, MIMOUN</t>
  </si>
  <si>
    <t>ASUNCIÓN PEREZ, DORA ALICIA</t>
  </si>
  <si>
    <t>MARTINEZ VILLON, JESSICA TERESA</t>
  </si>
  <si>
    <t>ARMIJOS SANCHEZ, CRISTIAN JORDI</t>
  </si>
  <si>
    <t>CEDEÑO ZAMBRANO, LENNY ARACELY</t>
  </si>
  <si>
    <t>SANCHEZ CEDEÑO, VEMS ARACELY</t>
  </si>
  <si>
    <t>EL AZIZI, YASSINE</t>
  </si>
  <si>
    <t>ROMERO VEGARA, NOELIA</t>
  </si>
  <si>
    <t>MARTINEZ VILLON, JENNY MARILU</t>
  </si>
  <si>
    <t>BENITEZ PULLAGUARI, DAYANA GISELA</t>
  </si>
  <si>
    <t>PALA TENEMAZA, MARIA CATALINA</t>
  </si>
  <si>
    <t>SAQUISILLI SAQUISILLI, MARIA ELVIRA</t>
  </si>
  <si>
    <t>TOAQUIZA CHUGCHILAN, MARIA ERCELINDA</t>
  </si>
  <si>
    <t>MENDOZA TAPAY, MARIA BALTAZARA</t>
  </si>
  <si>
    <t>ILLAPA CORO, MARIA TRANSITO</t>
  </si>
  <si>
    <t>X6462318P</t>
  </si>
  <si>
    <t>COULIBALY, HAWA</t>
  </si>
  <si>
    <t>MENDOZA GUAMAN, AGUSTINA MERCEDES</t>
  </si>
  <si>
    <t>GARCIA TORRES, ALCIRA JUDITH</t>
  </si>
  <si>
    <t>OFICINA</t>
  </si>
  <si>
    <t>02381100W</t>
  </si>
  <si>
    <t>BETHENCOURT MENDOZA, YURENA</t>
  </si>
  <si>
    <t>45704407A</t>
  </si>
  <si>
    <t>CONEJERO MARTINEZ, RAUL</t>
  </si>
  <si>
    <t>44758088L</t>
  </si>
  <si>
    <t>CUERVA GONZALEZ, JOSE IGNACIO</t>
  </si>
  <si>
    <t>GARCIA MONZO, DANIEL</t>
  </si>
  <si>
    <t>48570188F</t>
  </si>
  <si>
    <t>GARCIA MONZO, MARCOS</t>
  </si>
  <si>
    <t>48530501H</t>
  </si>
  <si>
    <t>BOUKHAZMA ENOUCH, HACHIM</t>
  </si>
  <si>
    <t>TORRE</t>
  </si>
  <si>
    <t>78296568Z</t>
  </si>
  <si>
    <t>DRIHIM, EL BACHIR</t>
  </si>
  <si>
    <t>X2341353E</t>
  </si>
  <si>
    <t>TIMZOURA, HICHAM</t>
  </si>
  <si>
    <t>X5255510X</t>
  </si>
  <si>
    <t>SANCHEZ MONREAL, VERONICA</t>
  </si>
  <si>
    <t>48347958A</t>
  </si>
  <si>
    <t>ECHTIYI, RACHID</t>
  </si>
  <si>
    <t>X6609814M</t>
  </si>
  <si>
    <t>QUIRANT MANRIQUE, TRINIDAD</t>
  </si>
  <si>
    <t>52777184G</t>
  </si>
  <si>
    <t>JIMENEZ JIMENEZ, MANUEL</t>
  </si>
  <si>
    <t>21403956H</t>
  </si>
  <si>
    <t>FADLANE,TARIK</t>
  </si>
  <si>
    <t>Y9445497D</t>
  </si>
  <si>
    <t>AYAD, AZZRAF</t>
  </si>
  <si>
    <t>X5935927H</t>
  </si>
  <si>
    <t>CALVILLO HERREY, CATALINA</t>
  </si>
  <si>
    <t>30967295A</t>
  </si>
  <si>
    <t>CUERVA RUIZ, JOSE</t>
  </si>
  <si>
    <t>21499856P</t>
  </si>
  <si>
    <t>ERAHILI, HAMID</t>
  </si>
  <si>
    <t>X5759975Q</t>
  </si>
  <si>
    <t>GUAMAN PINEDA, JEAN PAUL</t>
  </si>
  <si>
    <t>24509517G</t>
  </si>
  <si>
    <t>MAROUF, MBAREK</t>
  </si>
  <si>
    <t>X5069913T</t>
  </si>
  <si>
    <t>HOUDANE, EL HABIBE</t>
  </si>
  <si>
    <t>X7494990A</t>
  </si>
  <si>
    <t>EL AMRANI, RAHHAL</t>
  </si>
  <si>
    <t>X6644077K</t>
  </si>
  <si>
    <t>EL KOUIRA EL KOUIRA, KARIM</t>
  </si>
  <si>
    <t>55176806J</t>
  </si>
  <si>
    <t>ZINEDIN, NOUREDINE</t>
  </si>
  <si>
    <t>X4242863F</t>
  </si>
  <si>
    <t>CAMARA, KORO</t>
  </si>
  <si>
    <t>X4429422J</t>
  </si>
  <si>
    <t>ATYQ, MUSTAPHA</t>
  </si>
  <si>
    <t>X2312405P</t>
  </si>
  <si>
    <t>BIAD, ABDELMAOULA</t>
  </si>
  <si>
    <t>Y2779899H</t>
  </si>
  <si>
    <t>MARZOUK, RADOUNE</t>
  </si>
  <si>
    <t>X9181003R</t>
  </si>
  <si>
    <t>ARREDONDO GONZALEZ, JUAN JOSE</t>
  </si>
  <si>
    <t>74622652A</t>
  </si>
  <si>
    <t>LOPEZ HIDALGO, JOSEFA</t>
  </si>
  <si>
    <t>48352550H</t>
  </si>
  <si>
    <t>BALLESTER MARTINEZ, MARIA CARMEN</t>
  </si>
  <si>
    <t>21459038S</t>
  </si>
  <si>
    <t>ORTIZ GARCIA, JUANA</t>
  </si>
  <si>
    <t>52512184X</t>
  </si>
  <si>
    <t>DRIOUCHE BRHAIBERH, JEMAA</t>
  </si>
  <si>
    <t>13442894S</t>
  </si>
  <si>
    <t>SANCHEZ LOPEZ, RAMON</t>
  </si>
  <si>
    <t>48533589R</t>
  </si>
  <si>
    <t>KADI, FARID</t>
  </si>
  <si>
    <t>Y7096516H</t>
  </si>
  <si>
    <t>LAKRINII, AZ EDDINE</t>
  </si>
  <si>
    <t>Y3961735E</t>
  </si>
  <si>
    <t>THIAM GUEYE, PAPA</t>
  </si>
  <si>
    <t>01888270Q</t>
  </si>
  <si>
    <t>FERNANDEZ FRASES, SUSANA</t>
  </si>
  <si>
    <t>48317653N</t>
  </si>
  <si>
    <t>FARES, ABDELHAK</t>
  </si>
  <si>
    <t>X4532862E</t>
  </si>
  <si>
    <t>HIDALGO LOPEZ, JOSE MANUEL</t>
  </si>
  <si>
    <t>48668858F</t>
  </si>
  <si>
    <t>ESSAADI, ABDERRAZZAK</t>
  </si>
  <si>
    <t>X4154584W</t>
  </si>
  <si>
    <t>DAHHAK,RACHID</t>
  </si>
  <si>
    <t>X3837506W</t>
  </si>
  <si>
    <t>NOMBRE_Y_APELLIDOS</t>
  </si>
  <si>
    <t>LLAVERO_NFC</t>
  </si>
  <si>
    <t>USUARIO</t>
  </si>
  <si>
    <t>CONTRASEÑA</t>
  </si>
  <si>
    <t>PRIVILEGIOS</t>
  </si>
  <si>
    <t>NACIONALIDAD</t>
  </si>
  <si>
    <t>EMAIL</t>
  </si>
  <si>
    <t>DIRECCIÓN</t>
  </si>
  <si>
    <t>TELÉFONO</t>
  </si>
  <si>
    <t>TIPO_DE_CONTRATO</t>
  </si>
  <si>
    <t>FECHA_DE_NACIMIENTO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</si>
  <si>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</si>
  <si>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</si>
  <si>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</si>
  <si>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</si>
  <si>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</si>
  <si>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</si>
  <si>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</si>
  <si>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</si>
  <si>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</si>
  <si>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</si>
  <si>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</si>
  <si>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</si>
  <si>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</si>
  <si>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</si>
  <si>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</si>
  <si>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</si>
  <si>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</si>
  <si>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</si>
  <si>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</si>
  <si>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</si>
  <si>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</si>
  <si>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</si>
  <si>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</si>
  <si>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</si>
  <si>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</si>
  <si>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</si>
  <si>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</si>
  <si>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</si>
  <si>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</si>
  <si>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</si>
  <si>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</si>
  <si>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</si>
  <si>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</si>
  <si>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</si>
  <si>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</si>
  <si>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</si>
  <si>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</si>
  <si>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</si>
  <si>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</si>
  <si>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</si>
  <si>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</si>
  <si>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</si>
  <si>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</si>
  <si>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</si>
  <si>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</si>
  <si>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</si>
  <si>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</si>
  <si>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</si>
  <si>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</si>
  <si>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</si>
  <si>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</si>
  <si>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</si>
  <si>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</si>
  <si>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</si>
  <si>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</si>
  <si>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</si>
  <si>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</si>
  <si>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</si>
  <si>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</si>
  <si>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</si>
  <si>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</si>
  <si>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</si>
  <si>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</si>
  <si>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</si>
  <si>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</si>
  <si>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</si>
  <si>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</si>
  <si>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</si>
  <si>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</si>
  <si>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</si>
  <si>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</si>
  <si>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</si>
  <si>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</si>
  <si>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</si>
  <si>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</si>
  <si>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</si>
  <si>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</si>
  <si>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</si>
  <si>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</si>
  <si>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</si>
  <si>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</si>
  <si>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</si>
  <si>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</si>
  <si>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</si>
  <si>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</si>
  <si>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</si>
  <si>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</si>
  <si>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TANIA MARIA NIETO MORAN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</si>
  <si>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</si>
  <si>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</si>
  <si>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</si>
  <si>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</si>
  <si>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</si>
  <si>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</si>
  <si>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</si>
  <si>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</si>
  <si>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</si>
  <si>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</si>
  <si>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</si>
  <si>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</si>
  <si>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</si>
  <si>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</si>
  <si>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</si>
  <si>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</si>
  <si>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</si>
  <si>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</si>
  <si>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</si>
  <si>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</si>
  <si>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</si>
  <si>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</si>
  <si>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</si>
  <si>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</si>
  <si>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</si>
  <si>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</si>
  <si>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</si>
  <si>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</si>
  <si>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</si>
  <si>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</si>
  <si>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</si>
  <si>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</si>
  <si>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</si>
  <si>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</si>
  <si>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</si>
  <si>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</si>
  <si>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</si>
  <si>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</si>
  <si>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</si>
  <si>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</si>
  <si>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</si>
  <si>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</si>
  <si>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</si>
  <si>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</si>
  <si>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</si>
  <si>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</si>
  <si>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</si>
  <si>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</si>
  <si>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</si>
  <si>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</si>
  <si>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</si>
  <si>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</si>
  <si>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</si>
  <si>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</si>
  <si>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</si>
  <si>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</si>
  <si>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</si>
  <si>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</si>
  <si>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</si>
  <si>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</si>
  <si>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</si>
  <si>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 TERUEL MENDOZA</t>
  </si>
  <si>
    <t>TERUEL</t>
  </si>
  <si>
    <t>Encargado</t>
  </si>
  <si>
    <t>española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</si>
  <si>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</si>
  <si>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</si>
  <si>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</si>
  <si>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</si>
  <si>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</si>
  <si>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</si>
  <si>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</si>
  <si>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</si>
  <si>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</si>
  <si>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</si>
  <si>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</si>
  <si>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 PINTO MONTAÑO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</si>
  <si>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</si>
  <si>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</si>
  <si>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</si>
  <si>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</si>
  <si>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</si>
  <si>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</si>
  <si>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</si>
  <si>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</si>
  <si>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</si>
  <si>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</si>
  <si>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</si>
  <si>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 OLINDA CASTILLO SARANGO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</si>
  <si>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</si>
  <si>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</si>
  <si>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</si>
  <si>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</si>
  <si>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</si>
  <si>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</si>
  <si>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</si>
  <si>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</si>
  <si>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</si>
  <si>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</si>
  <si>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</si>
  <si>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</si>
  <si>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</si>
  <si>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</si>
  <si>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</si>
  <si>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</si>
  <si>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</si>
  <si>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</si>
  <si>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</si>
  <si>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</si>
  <si>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</si>
  <si>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</si>
  <si>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</si>
  <si>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</si>
  <si>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</si>
  <si>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</si>
  <si>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</si>
  <si>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</si>
  <si>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</si>
  <si>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</si>
  <si>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</si>
  <si>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C 12 DE OCTUBRE, 8 P1A</t>
  </si>
  <si>
    <t>FANNY MARITZA PULLAGUARI</t>
  </si>
  <si>
    <t>FANNYMARITZA</t>
  </si>
  <si>
    <t>C NUÑEZ DE BALBOA 2 PTA 2 A</t>
  </si>
  <si>
    <t>DIANA ELISABETH LIMACHI LEMACHE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</si>
  <si>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</si>
  <si>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</si>
  <si>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</si>
  <si>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</si>
  <si>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</si>
  <si>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</si>
  <si>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</si>
  <si>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</si>
  <si>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</si>
  <si>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</si>
  <si>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</si>
  <si>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</si>
  <si>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</si>
  <si>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</si>
  <si>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</si>
  <si>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</si>
  <si>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</si>
  <si>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</si>
  <si>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</si>
  <si>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</si>
  <si>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</si>
  <si>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</si>
  <si>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</si>
  <si>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</si>
  <si>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</si>
  <si>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</si>
  <si>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</si>
  <si>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</si>
  <si>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</si>
  <si>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</si>
  <si>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</si>
  <si>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</si>
  <si>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 GISSELA BENITEZ PULLAGUARI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</si>
  <si>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</si>
  <si>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</si>
  <si>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</si>
  <si>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</si>
  <si>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</si>
  <si>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</si>
  <si>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</si>
  <si>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 CATALINA PALA TENEMAZA</t>
  </si>
  <si>
    <t>MARIACATALINA</t>
  </si>
  <si>
    <t>PALA</t>
  </si>
  <si>
    <t>LABRADOR, 4 P01C</t>
  </si>
  <si>
    <t>MARIA ERCELINDA TOAQUIZA CHUGCHILAN</t>
  </si>
  <si>
    <t>mariae</t>
  </si>
  <si>
    <t>ecelinda</t>
  </si>
  <si>
    <t>ecuatoriana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</si>
  <si>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</si>
  <si>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</si>
  <si>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</si>
  <si>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</si>
  <si>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</si>
  <si>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</si>
  <si>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</si>
  <si>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</si>
  <si>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</si>
  <si>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29577076L</t>
  </si>
  <si>
    <t>CALLE NUÑEZ QUIROS,15X COX</t>
  </si>
  <si>
    <t>MARIA BALTAZARA MENDOZA TAPAY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</si>
  <si>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</si>
  <si>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</si>
  <si>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</si>
  <si>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</si>
  <si>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</si>
  <si>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</si>
  <si>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</si>
  <si>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</si>
  <si>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</si>
  <si>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</si>
  <si>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</si>
  <si>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</si>
  <si>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</si>
  <si>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</si>
  <si>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</si>
  <si>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54208085Y</t>
  </si>
  <si>
    <t>AAAAAAAAAAA@GMAIL.COM</t>
  </si>
  <si>
    <t>RAMON Y CAJAL 19 P01 D</t>
  </si>
  <si>
    <t>Temporal</t>
  </si>
  <si>
    <t>AGUSTINA MERCEDES 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</si>
  <si>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</si>
  <si>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</si>
  <si>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</si>
  <si>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</si>
  <si>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</si>
  <si>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</si>
  <si>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</si>
  <si>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51773552T</t>
  </si>
  <si>
    <t>AAAAAAAAA1AA@GMAIL.COM</t>
  </si>
  <si>
    <t>CRER VALL DE GALLINERA 1 PBJ 0052</t>
  </si>
  <si>
    <t>DANIEL MARTINEZ LOPEZ (de baja)</t>
  </si>
  <si>
    <t>54208086F</t>
  </si>
  <si>
    <t>AAAAAAAAA21AA@GMAIL.COM</t>
  </si>
  <si>
    <t>HAWA COULIBARY</t>
  </si>
  <si>
    <t>MALI</t>
  </si>
  <si>
    <t>AAAAAAAAA121AA@GMAIL.COM</t>
  </si>
  <si>
    <t>JOSE GOMEZ MOMPEAN 27 P01 03</t>
  </si>
  <si>
    <t>MARIO HEREDIA ALCALA (de baja)</t>
  </si>
  <si>
    <t>77040523E</t>
  </si>
  <si>
    <t>AAAAAAA2AAA7AAA22A@GMAIL.COM</t>
  </si>
  <si>
    <t>ASTRONAUTAS 24 P02 1</t>
  </si>
  <si>
    <t>SHERWIN WILLIAM ALARCON CEDEÑO (de baja)</t>
  </si>
  <si>
    <t>74393602X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</si>
  <si>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</si>
  <si>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</si>
  <si>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</si>
  <si>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</si>
  <si>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</si>
  <si>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</si>
  <si>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</si>
  <si>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</si>
  <si>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AAAAAAAA4AAA2AAA@GMAIL.COM</t>
  </si>
  <si>
    <t>AZORIN 15 P02 A</t>
  </si>
  <si>
    <t>DANIEL BERNA GUADALCAZAR (de baja)</t>
  </si>
  <si>
    <t>48373649A</t>
  </si>
  <si>
    <t>A</t>
  </si>
  <si>
    <t>C DE LOS DONANTES 82,P02 PTB</t>
  </si>
  <si>
    <t>MARIA ALEXANDRA MENDOZA TELEMAZA (de baja)</t>
  </si>
  <si>
    <t>Y9944143S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</si>
  <si>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</si>
  <si>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</si>
  <si>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</si>
  <si>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</si>
  <si>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</si>
  <si>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</si>
  <si>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 MANUELA VACACELA FERNANDEZ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</si>
  <si>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</si>
  <si>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</si>
  <si>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</si>
  <si>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</si>
  <si>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</si>
  <si>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</si>
  <si>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</si>
  <si>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</si>
  <si>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</si>
  <si>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</si>
  <si>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AAAAAAAAA51AAAA22A@GMAIL.COM</t>
  </si>
  <si>
    <t>CALLE JOSE GOMEZ MOMPEAN 27 P01 3</t>
  </si>
  <si>
    <t>NORMA JULEYSI QUEZADA FERNANDEZ</t>
  </si>
  <si>
    <t>NORMA</t>
  </si>
  <si>
    <t>QUEZADA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</si>
  <si>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</si>
  <si>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</si>
  <si>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</si>
  <si>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</si>
  <si>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</si>
  <si>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</si>
  <si>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</si>
  <si>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</si>
  <si>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</si>
  <si>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</si>
  <si>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</si>
  <si>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</si>
  <si>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</si>
  <si>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</si>
  <si>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</si>
  <si>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</si>
  <si>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</si>
  <si>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</si>
  <si>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</si>
  <si>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</si>
  <si>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</si>
  <si>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</si>
  <si>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</si>
  <si>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</si>
  <si>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a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</si>
  <si>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</si>
  <si>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</si>
  <si>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</si>
  <si>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</si>
  <si>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</si>
  <si>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</si>
  <si>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</si>
  <si>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</si>
  <si>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</si>
  <si>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</si>
  <si>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</si>
  <si>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</si>
  <si>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</si>
  <si>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</si>
  <si>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</si>
  <si>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</si>
  <si>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</si>
  <si>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</si>
  <si>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</si>
  <si>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</si>
  <si>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</si>
  <si>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</si>
  <si>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</si>
  <si>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</si>
  <si>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</si>
  <si>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</si>
  <si>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</si>
  <si>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</si>
  <si>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</si>
  <si>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</si>
  <si>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</si>
  <si>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</si>
  <si>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</si>
  <si>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</si>
  <si>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</si>
  <si>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</si>
  <si>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</si>
  <si>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</si>
  <si>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</si>
  <si>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</si>
  <si>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</si>
  <si>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</si>
  <si>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</si>
  <si>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</si>
  <si>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</si>
  <si>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</si>
  <si>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</si>
  <si>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</si>
  <si>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</si>
  <si>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</si>
  <si>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</si>
  <si>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 QUIROS HIGUERAS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</si>
  <si>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</si>
  <si>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</si>
  <si>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</si>
  <si>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</si>
  <si>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</si>
  <si>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</si>
  <si>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</si>
  <si>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</si>
  <si>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</si>
  <si>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</si>
  <si>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</si>
  <si>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</si>
  <si>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</si>
  <si>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</si>
  <si>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NUM</t>
  </si>
  <si>
    <t>ID</t>
  </si>
  <si>
    <t>NOMBRE Y APELLIDOS</t>
  </si>
  <si>
    <t>FINCA</t>
  </si>
  <si>
    <t>TIPO DE CONTRATO</t>
  </si>
  <si>
    <t>ANTIGÜEDAD</t>
  </si>
  <si>
    <t>ALTA</t>
  </si>
  <si>
    <t>BAJA</t>
  </si>
  <si>
    <t>ACTIVOS</t>
  </si>
  <si>
    <t>PREVISION ALTA</t>
  </si>
  <si>
    <t>PREVISION BAJA</t>
  </si>
  <si>
    <t>ULT. FORMACION</t>
  </si>
  <si>
    <t>RECO</t>
  </si>
  <si>
    <t>DNI/NIE</t>
  </si>
  <si>
    <t>VIGENCIA NIE</t>
  </si>
  <si>
    <t>CATEGORIA PROFESIONAL</t>
  </si>
  <si>
    <t>F. DE NACIMIENTO</t>
  </si>
  <si>
    <t>TELEFONO</t>
  </si>
  <si>
    <t>CORREO ELECTRONICO</t>
  </si>
  <si>
    <t>JOSE LUIS CUERVA CUERVA (de baja)ddd</t>
  </si>
  <si>
    <t>48628134Q</t>
  </si>
  <si>
    <t>TENEMAZA MENDOZA, MARIA DOLORES</t>
  </si>
  <si>
    <t>SS</t>
  </si>
  <si>
    <t>SEXO</t>
  </si>
  <si>
    <t>EDAD</t>
  </si>
  <si>
    <t>MUNICIPIO</t>
  </si>
  <si>
    <t>CP</t>
  </si>
  <si>
    <t>PERIODO DE PRUEBA</t>
  </si>
  <si>
    <t>03/10437187/36</t>
  </si>
  <si>
    <t>PEÓN AGRICOLA</t>
  </si>
  <si>
    <t>M</t>
  </si>
  <si>
    <t>Tania.apolo75@gmail.com</t>
  </si>
  <si>
    <t>V</t>
  </si>
  <si>
    <t>hibatollah2010@gmail.com</t>
  </si>
  <si>
    <t>C/ROSA DE LOS VIENTOS, 22-1A</t>
  </si>
  <si>
    <t>Estefaniacatota1998@gmail.com</t>
  </si>
  <si>
    <t>MONSERRATE GUILABERT VALERO, Nº 43 03205 ELCHE</t>
  </si>
  <si>
    <t>ELCHE</t>
  </si>
  <si>
    <t>03/10919652-23</t>
  </si>
  <si>
    <t>ADMINISTRATIVO</t>
  </si>
  <si>
    <t>nachocuervaags@gmail.com</t>
  </si>
  <si>
    <t xml:space="preserve">C/CERDÁ,40-ÁTICO A </t>
  </si>
  <si>
    <t>manalerrahmouny98@gmail.com</t>
  </si>
  <si>
    <t>C/ROSA DE LOS VIENTOS, 22-4A</t>
  </si>
  <si>
    <t>30/10838678-00</t>
  </si>
  <si>
    <t>noureddinekarimkarim@gmail.com</t>
  </si>
  <si>
    <t>CL JUANITO EL MEJORANO 21 ESC B. MURCIA</t>
  </si>
  <si>
    <t>CALASPARRA</t>
  </si>
  <si>
    <t>030420</t>
  </si>
  <si>
    <t>C/CORREOS,14</t>
  </si>
  <si>
    <t>03/00824414-45</t>
  </si>
  <si>
    <t>aruizgonzalezlis@gmail.com</t>
  </si>
  <si>
    <t>C/NIEVES PINON,8-1ªA</t>
  </si>
  <si>
    <t>ALICANTE</t>
  </si>
  <si>
    <t>03000</t>
  </si>
  <si>
    <t>nikasm12@hotmail.com</t>
  </si>
  <si>
    <t xml:space="preserve">C/PABLO PICASSO,12 </t>
  </si>
  <si>
    <t>elcheemi@gmail.com</t>
  </si>
  <si>
    <t>CALLE AUSIAS MARCH 25 P05 1 CP 03206</t>
  </si>
  <si>
    <t>03/10387578-91</t>
  </si>
  <si>
    <t>karen-castleo98@gmail.com</t>
  </si>
  <si>
    <t>C/poeta miguel hernandez,69 5º</t>
  </si>
  <si>
    <t>03/10714096-10</t>
  </si>
  <si>
    <t>C/GABRIEL PEREZ,23 2-4</t>
  </si>
  <si>
    <t>ALBATERA</t>
  </si>
  <si>
    <t>03014</t>
  </si>
  <si>
    <t>CUERVA BOIX, HÉCTOR</t>
  </si>
  <si>
    <t>CARRETILLERO</t>
  </si>
  <si>
    <t xml:space="preserve">C LOS ALAMOS 2 E4 P02 J </t>
  </si>
  <si>
    <t>SAN JUAN DE ALICANTE</t>
  </si>
  <si>
    <t>REGADOR</t>
  </si>
  <si>
    <t>BAJA VOLUNTARIA</t>
  </si>
  <si>
    <t>03/10525770-58</t>
  </si>
  <si>
    <t>KATYY509P@GMAIL.COM</t>
  </si>
  <si>
    <t>C/POETA FERMIN LIMORT, 19 2G</t>
  </si>
  <si>
    <t>XX/XX/1969</t>
  </si>
  <si>
    <t>03/10314640-00</t>
  </si>
  <si>
    <t>REGADOR-APLICADOR</t>
  </si>
  <si>
    <t>antonioh537@hotmail.com</t>
  </si>
  <si>
    <t>C/NOVELDA,12 2ºD</t>
  </si>
  <si>
    <t>MUCHAMIEL</t>
  </si>
  <si>
    <t>03110</t>
  </si>
  <si>
    <t>03/10584809-24</t>
  </si>
  <si>
    <t>CL JOAQUIN GARCIA MORA 39 P6, 3</t>
  </si>
  <si>
    <t>03/10612350-17</t>
  </si>
  <si>
    <t>verojaya34@gmail.com</t>
  </si>
  <si>
    <t>C/JOSE BERNAD AMOROS,26</t>
  </si>
  <si>
    <t>03205</t>
  </si>
  <si>
    <t>03/10595203-39</t>
  </si>
  <si>
    <t>rosaleon201@gmail.com</t>
  </si>
  <si>
    <t>CL MANUEL DE LA MORENA 8 P02 01</t>
  </si>
  <si>
    <t>03/10656951-95</t>
  </si>
  <si>
    <t>dianalemache46@gmail.com</t>
  </si>
  <si>
    <t>PLAZA OBISPO ALMARCHA,8</t>
  </si>
  <si>
    <t>MENDOZA MENDOZA, MARIA GEORGINA</t>
  </si>
  <si>
    <t>03/11203773-31</t>
  </si>
  <si>
    <t xml:space="preserve">C/ FORTUNA 22 P03 D </t>
  </si>
  <si>
    <t>03/10626612/20</t>
  </si>
  <si>
    <t xml:space="preserve">CRER FRA PERE BALAGUER 0030 P05 ELCHE </t>
  </si>
  <si>
    <t>03/10816431-10</t>
  </si>
  <si>
    <t xml:space="preserve">C/PEDRO CANO IZQUIERDO, 43A </t>
  </si>
  <si>
    <t>03/10426322-35</t>
  </si>
  <si>
    <t>florindaneira3@gmail.com</t>
  </si>
  <si>
    <t>C/JUAN 23,6BAJO</t>
  </si>
  <si>
    <t>03/10606926-25</t>
  </si>
  <si>
    <t>nietomorantanya@gmail.com</t>
  </si>
  <si>
    <t>C/ALTOS MOROS,27</t>
  </si>
  <si>
    <t>LORQUI</t>
  </si>
  <si>
    <t>030003</t>
  </si>
  <si>
    <t>10/10086458-44</t>
  </si>
  <si>
    <t>evelingpanta@gmail.com</t>
  </si>
  <si>
    <t>C/MARIO PASTOR SEMPERE,74</t>
  </si>
  <si>
    <t>03206</t>
  </si>
  <si>
    <t>03/10433345-74</t>
  </si>
  <si>
    <t>jenypenarreta@gmail.com</t>
  </si>
  <si>
    <t>C/LUGO,10P.1</t>
  </si>
  <si>
    <t>03/11128441-68</t>
  </si>
  <si>
    <t>alinda.pinto2986@gmail.com</t>
  </si>
  <si>
    <t>C/NUEVA,10-3H</t>
  </si>
  <si>
    <t>03112</t>
  </si>
  <si>
    <t>03/10493721-19</t>
  </si>
  <si>
    <t>pullaguarifanny@gmail.com</t>
  </si>
  <si>
    <t>C/NUÑEZ BALBOA,2-2ºA</t>
  </si>
  <si>
    <t>SAN VICENTE DEL RASPEIG</t>
  </si>
  <si>
    <t>03690</t>
  </si>
  <si>
    <t>03/10778265-62</t>
  </si>
  <si>
    <t>pumaqueroambo@gmail.com</t>
  </si>
  <si>
    <t>C/ALFONSO,12 BAJO IZQ</t>
  </si>
  <si>
    <t>03340</t>
  </si>
  <si>
    <t>03/10778471/74</t>
  </si>
  <si>
    <t xml:space="preserve">CMNO. MULAGAR 2 P01 G. </t>
  </si>
  <si>
    <t>REDOVAN</t>
  </si>
  <si>
    <t>03/10078116-59</t>
  </si>
  <si>
    <t>1977angelrodriguez@gmail.com</t>
  </si>
  <si>
    <t>C/DE LA HUERTA 144 P3-A</t>
  </si>
  <si>
    <t>03102</t>
  </si>
  <si>
    <t>03/10580115-83</t>
  </si>
  <si>
    <t xml:space="preserve">C/FORCAL,6 </t>
  </si>
  <si>
    <t>03560</t>
  </si>
  <si>
    <t>XX/XX/1973</t>
  </si>
  <si>
    <t>03/10688227/40</t>
  </si>
  <si>
    <t xml:space="preserve">C SAN JUAN 33 ALBATERA </t>
  </si>
  <si>
    <t>03/00967111-55</t>
  </si>
  <si>
    <t>ENCARGADO</t>
  </si>
  <si>
    <t>teruelcandido@gmail.com</t>
  </si>
  <si>
    <t>C/SAN JOSE,64 1ºA</t>
  </si>
  <si>
    <t>03/10847273-06</t>
  </si>
  <si>
    <t>rosanamichala2016@gmail.com</t>
  </si>
  <si>
    <t>C/ 12 DE OCTUBRE,8 1ºA</t>
  </si>
  <si>
    <t>ORIHUELA</t>
  </si>
  <si>
    <t>03300</t>
  </si>
  <si>
    <t>03/10819465-37</t>
  </si>
  <si>
    <t>cristiansanchez5@gmail.com</t>
  </si>
  <si>
    <t>C/MARIO PASTOR SEMPERE 14 P04</t>
  </si>
  <si>
    <t>03/11538290-92</t>
  </si>
  <si>
    <t>asuncionali78@gmail.com</t>
  </si>
  <si>
    <t>C/VICARI SAMUEL RIQUELME,16 P03D</t>
  </si>
  <si>
    <t>03/11358962-20</t>
  </si>
  <si>
    <t>CL DOCTOR FLEMING 64 3B</t>
  </si>
  <si>
    <t>03/10369531-86</t>
  </si>
  <si>
    <t>lennyara63@gmail.com</t>
  </si>
  <si>
    <t>C/ANTONIO MORA FERNANDEZ,38</t>
  </si>
  <si>
    <t>03202</t>
  </si>
  <si>
    <t>03/10891423-21</t>
  </si>
  <si>
    <t>CL JOSE GOMEZ MOMPEAN 27 P01 03</t>
  </si>
  <si>
    <t xml:space="preserve">DAQUILEMA AUCACAMA MARIA ESCOLASTICA </t>
  </si>
  <si>
    <t>yassinoda11361@gmail.com</t>
  </si>
  <si>
    <t>C/GRANADA,26 B-D</t>
  </si>
  <si>
    <t>mimounelmousaoui218@gmail.com</t>
  </si>
  <si>
    <t>C/CARMELO SERRANO GAIZLIA B44P.1</t>
  </si>
  <si>
    <t>03/11153958-74</t>
  </si>
  <si>
    <t>APLICADOR</t>
  </si>
  <si>
    <t>houdaneabdessamad2408@gmail.com</t>
  </si>
  <si>
    <t>C/JOSE GOMEZ MOMPARI,76 P12 P13</t>
  </si>
  <si>
    <t>30/10297252-28</t>
  </si>
  <si>
    <t xml:space="preserve">CL SAN JUAN 35 BJ </t>
  </si>
  <si>
    <t>03/10585007-28</t>
  </si>
  <si>
    <t>CL URUGUAY 18 P02 IZ</t>
  </si>
  <si>
    <t>SAX</t>
  </si>
  <si>
    <t>03/10585009-30</t>
  </si>
  <si>
    <t>misschikillojeanca2008@gmail.com</t>
  </si>
  <si>
    <t>C/VICARI SAMUEL RIQUELME,16 2D</t>
  </si>
  <si>
    <t>03/10414641-91</t>
  </si>
  <si>
    <t>elaouiiman786@gmail.com</t>
  </si>
  <si>
    <t>C/ROMAN BONO MARIN,14 P03 P.1</t>
  </si>
  <si>
    <t>03/10589907-78</t>
  </si>
  <si>
    <t>CL SAN MIGUEL 3 P01 DR</t>
  </si>
  <si>
    <t>03/11462220-70</t>
  </si>
  <si>
    <t>CL RUIZ CAPDEPON 2 P05A</t>
  </si>
  <si>
    <t>03/10604071-80</t>
  </si>
  <si>
    <t>paquimen76@gmail.com</t>
  </si>
  <si>
    <t>CL LABRADOR 4 P01C</t>
  </si>
  <si>
    <t>CALLE MARIA GUERRERO 46 P1 C. ALICANTE</t>
  </si>
  <si>
    <t>03/10227540-06</t>
  </si>
  <si>
    <t>noeliaromaerovergara@gmail.com</t>
  </si>
  <si>
    <t>C/MUSICO MAESTRO GUERRERO,35</t>
  </si>
  <si>
    <t>03/10540387-28</t>
  </si>
  <si>
    <t>venus_nohamy@hotmail.com</t>
  </si>
  <si>
    <t>C/MARIO PASTOR SEMPERE,14 3ºIZQ</t>
  </si>
  <si>
    <t>03/10595376-18</t>
  </si>
  <si>
    <t>marisaquisilli1981@gmail.com</t>
  </si>
  <si>
    <t>C/SAN PANCRACIO,1 P.1-DERCH</t>
  </si>
  <si>
    <t>03/10612287-51</t>
  </si>
  <si>
    <t>03/11587149-63</t>
  </si>
  <si>
    <t>C/JOSE GOMEZ MOMPEAN, 27 P01-3</t>
  </si>
  <si>
    <t>30/10438047-76</t>
  </si>
  <si>
    <t xml:space="preserve">CL ALFONSO XIII LA MURA 28 BJ </t>
  </si>
  <si>
    <t>03315</t>
  </si>
  <si>
    <t>38/10182383-73</t>
  </si>
  <si>
    <t>DIRECTOR FINANCIERO</t>
  </si>
  <si>
    <t>03/00869472-95</t>
  </si>
  <si>
    <t>GERENTE</t>
  </si>
  <si>
    <t>03/10368686-17</t>
  </si>
  <si>
    <t>TECNICO DE CALIDAD</t>
  </si>
  <si>
    <t xml:space="preserve">CL ECUADOR  13 </t>
  </si>
  <si>
    <t>03/10183868-81</t>
  </si>
  <si>
    <t>TECNICO DE CULTIVO</t>
  </si>
  <si>
    <t>TÉCNICO RRHH Y PRL</t>
  </si>
  <si>
    <t>alciragarcia@gmail.com</t>
  </si>
  <si>
    <t>CAMINO COLONIA ROMANA 20 3B</t>
  </si>
  <si>
    <t>03016</t>
  </si>
  <si>
    <t>C/ALMIRANTE,15 (REBOLLEDO)</t>
  </si>
  <si>
    <t>04/10071817-49</t>
  </si>
  <si>
    <t>C/OBISPO CUBERO 6E /2-7-1</t>
  </si>
  <si>
    <t>ayadazraf@icloud.com</t>
  </si>
  <si>
    <t>C/MUSICO ALFONEA,3 BAJO PTA,C</t>
  </si>
  <si>
    <t>C/VIRGUEN DE AFFRICA,35 B-D</t>
  </si>
  <si>
    <t>29/11114163-21</t>
  </si>
  <si>
    <t>C/PINTOR PEREZ PIZARRO,12-5B</t>
  </si>
  <si>
    <t>03/10359583-32</t>
  </si>
  <si>
    <t>C/LA HIGUERA,10 2ºD</t>
  </si>
  <si>
    <t>04/10373739-10</t>
  </si>
  <si>
    <t>C/ESPERIDION 118 PO4</t>
  </si>
  <si>
    <t>03/00960300-34</t>
  </si>
  <si>
    <t>C/AGUILAS,43-1D</t>
  </si>
  <si>
    <t>04/1037952573T</t>
  </si>
  <si>
    <t>CALLE DOCTOR SAPENA  31 P04. ELCHE</t>
  </si>
  <si>
    <t>03204</t>
  </si>
  <si>
    <t>drihimebachir@gmail.com</t>
  </si>
  <si>
    <t>C/MANUEL RUIZ MAGRO,19 P.3</t>
  </si>
  <si>
    <t>03/10430957-14</t>
  </si>
  <si>
    <t>CL TRAVERTINO 1 P04D</t>
  </si>
  <si>
    <t>03/10597115-11</t>
  </si>
  <si>
    <t>C/ANTONIOBROTONSPASTOR,8 P.04</t>
  </si>
  <si>
    <t>C/SIRPENTENA,3 C2-D</t>
  </si>
  <si>
    <t>C/PUBLICISTA JOSE TARI,9-4D</t>
  </si>
  <si>
    <t>13/10159756-59</t>
  </si>
  <si>
    <t>C/MUSICO JUAN MOLINA,3 -2ºA</t>
  </si>
  <si>
    <t>03/10776744-93</t>
  </si>
  <si>
    <t>C/velazquez, 9 -3A (monovar)</t>
  </si>
  <si>
    <t>MONOVAR</t>
  </si>
  <si>
    <t>03/10764956-42</t>
  </si>
  <si>
    <t>C/CONDE DE TORRELLANO,73 1ºA</t>
  </si>
  <si>
    <t>45/10229826-68</t>
  </si>
  <si>
    <t>C/JOSE GOMEZ MONPEAN,79 PO42</t>
  </si>
  <si>
    <t>jimenezmullormariabegona@gmail.com</t>
  </si>
  <si>
    <t>C/MAESTRO ALONSO, 96 P.3, 3A</t>
  </si>
  <si>
    <t>faridkad85@gmail.com</t>
  </si>
  <si>
    <t>C/JACINTO BENAVENTE,12 B.D.</t>
  </si>
  <si>
    <t>03/10543347-78</t>
  </si>
  <si>
    <t>C/TRAVERTINO,1- 4D</t>
  </si>
  <si>
    <t>50/10404400-59</t>
  </si>
  <si>
    <t>CL ARTURO SALVETTI PARD 32 3-2</t>
  </si>
  <si>
    <t>03201</t>
  </si>
  <si>
    <t>AVDA SEGARRA</t>
  </si>
  <si>
    <t>º</t>
  </si>
  <si>
    <t>hichamaymene2@gmail.com</t>
  </si>
  <si>
    <t>C/TENIENTEGANGA,25 P5-1</t>
  </si>
  <si>
    <t>03/10643554-84</t>
  </si>
  <si>
    <t>C/FELIPE PEDRELLE 11 P02-1</t>
  </si>
  <si>
    <t>PEÓN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</si>
</sst>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6"/>
      </top>
      <bottom style="thin">
        <color theme="6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33">
    <xf numFmtId="0" fontId="0" fillId="0" borderId="0" xfId="0"/>
    <xf numFmtId="0" fontId="19" fillId="0" borderId="0" xfId="0" applyFont="1" applyAlignment="1">
      <alignment horizontal="center" vertical="center" wrapText="1"/>
    </xf>
    <xf numFmtId="14" fontId="18" fillId="0" borderId="0" xfId="0" applyNumberFormat="1" applyFont="1" applyAlignment="1">
      <alignment wrapText="1"/>
    </xf>
    <xf numFmtId="0" fontId="18" fillId="0" borderId="0" xfId="0" applyFont="1" applyAlignment="1">
      <alignment wrapText="1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shrinkToFi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shrinkToFit="1"/>
    </xf>
    <xf numFmtId="49" fontId="0" fillId="0" borderId="0" xfId="0" applyNumberFormat="1" applyAlignment="1">
      <alignment horizontal="left" vertical="center" shrinkToFit="1"/>
    </xf>
    <xf numFmtId="14" fontId="0" fillId="0" borderId="0" xfId="0" applyNumberFormat="1" applyAlignment="1">
      <alignment horizontal="left" vertical="center" shrinkToFit="1"/>
    </xf>
    <xf numFmtId="14" fontId="0" fillId="0" borderId="0" xfId="0" applyNumberFormat="1" applyAlignment="1">
      <alignment vertical="center"/>
    </xf>
    <xf numFmtId="0" fontId="21" fillId="0" borderId="0" xfId="42" applyAlignment="1">
      <alignment horizontal="center" vertical="center"/>
    </xf>
    <xf numFmtId="0" fontId="21" fillId="0" borderId="0" xfId="42" applyAlignment="1">
      <alignment horizontal="center" vertical="center" wrapText="1"/>
    </xf>
    <xf numFmtId="0" fontId="22" fillId="33" borderId="0" xfId="0" applyFont="1" applyFill="1" applyAlignment="1">
      <alignment horizontal="center" vertical="center"/>
    </xf>
    <xf numFmtId="0" fontId="0" fillId="0" borderId="0" xfId="42" applyFont="1" applyFill="1" applyBorder="1" applyAlignment="1">
      <alignment horizontal="center" vertical="center" wrapText="1"/>
    </xf>
    <xf numFmtId="0" fontId="0" fillId="33" borderId="0" xfId="0" applyFill="1"/>
    <xf numFmtId="14" fontId="18" fillId="0" borderId="0" xfId="0" applyNumberFormat="1" applyFont="1" applyAlignment="1">
      <alignment horizontal="center" vertical="center"/>
    </xf>
    <xf numFmtId="0" fontId="21" fillId="0" borderId="0" xfId="42" applyFill="1" applyBorder="1" applyAlignment="1">
      <alignment horizontal="center" vertical="center" wrapText="1"/>
    </xf>
    <xf numFmtId="0" fontId="0" fillId="0" borderId="0" xfId="42" applyFont="1" applyFill="1" applyBorder="1" applyAlignment="1">
      <alignment horizontal="center" vertic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rhhlis" id="{72FAA94A-712C-45D3-BE10-D836D88A3740}" userId="S::rrhhlis@tomateslis.com::adda7ccd-b145-4400-a167-8ec21466a379" providerId="AD"/>
  <person displayName="noemi" id="{5180CD60-4953-423A-80AB-7F288E4B18E5}" userId="S::noemi@1tomateslis.onmicrosoft.com::1aea7a2d-356a-4bcc-9930-823f190dc1f3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3" dT="2024-09-17T13:45:13.39" personId="{5180CD60-4953-423A-80AB-7F288E4B18E5}" id="{EEB5946C-59E0-4823-AA96-B9B91555C519}">
    <text>Dar de baja al finalizar la campaña. Despido. Antes verificar embarazo</text>
  </threadedComment>
  <threadedComment ref="D26" dT="2024-08-22T09:07:57.30" personId="{72FAA94A-712C-45D3-BE10-D836D88A3740}" id="{7522CB72-FC0B-47AB-AE14-671A8E446A59}">
    <text>Baja por IT 345 extendida a 180</text>
  </threadedComment>
  <threadedComment ref="D69" dT="2024-08-22T09:06:55.91" personId="{72FAA94A-712C-45D3-BE10-D836D88A3740}" id="{FBE8CE97-9DEC-42DA-AAEC-7FC11FF7C18E}">
    <text>Dar de baja al finalizar la campaña. Despido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guamanpinedajeanpaul@gmail.com" TargetMode="External"/><Relationship Id="rId13" Type="http://schemas.openxmlformats.org/officeDocument/2006/relationships/hyperlink" Target="mailto:1977angelrodriguez@gmail.com" TargetMode="External"/><Relationship Id="rId18" Type="http://schemas.openxmlformats.org/officeDocument/2006/relationships/comments" Target="../comments1.xml"/><Relationship Id="rId3" Type="http://schemas.openxmlformats.org/officeDocument/2006/relationships/hyperlink" Target="mailto:Tania.apolo75@gmail.com" TargetMode="External"/><Relationship Id="rId7" Type="http://schemas.openxmlformats.org/officeDocument/2006/relationships/hyperlink" Target="mailto:katcalher@gmail.com" TargetMode="External"/><Relationship Id="rId12" Type="http://schemas.openxmlformats.org/officeDocument/2006/relationships/hyperlink" Target="mailto:alciragarcia@gmail.com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mailto:Estefaniacatota1998@gmail.com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mailto:noureddinekarimkarim@gmail.com" TargetMode="External"/><Relationship Id="rId6" Type="http://schemas.openxmlformats.org/officeDocument/2006/relationships/hyperlink" Target="mailto:okk629123@gmail.com" TargetMode="External"/><Relationship Id="rId11" Type="http://schemas.openxmlformats.org/officeDocument/2006/relationships/hyperlink" Target="mailto:marisaquisilli1981@gmail.com" TargetMode="External"/><Relationship Id="rId5" Type="http://schemas.openxmlformats.org/officeDocument/2006/relationships/hyperlink" Target="mailto:houdaneelhabibe40@gmail.com" TargetMode="External"/><Relationship Id="rId15" Type="http://schemas.openxmlformats.org/officeDocument/2006/relationships/hyperlink" Target="mailto:teruelcandido@gmail.com" TargetMode="External"/><Relationship Id="rId10" Type="http://schemas.openxmlformats.org/officeDocument/2006/relationships/hyperlink" Target="mailto:elcheemi@gmail.com" TargetMode="External"/><Relationship Id="rId19" Type="http://schemas.microsoft.com/office/2017/10/relationships/threadedComment" Target="../threadedComments/threadedComment1.xml"/><Relationship Id="rId4" Type="http://schemas.openxmlformats.org/officeDocument/2006/relationships/hyperlink" Target="mailto:aruizgonzalezlis@gmail.com" TargetMode="External"/><Relationship Id="rId9" Type="http://schemas.openxmlformats.org/officeDocument/2006/relationships/hyperlink" Target="mailto:raulqh84@gmail.com" TargetMode="External"/><Relationship Id="rId14" Type="http://schemas.openxmlformats.org/officeDocument/2006/relationships/hyperlink" Target="mailto:josemanuel@hot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B219C-9D52-4B92-94F6-691D77735F97}">
  <sheetPr codeName="Sheet3"/>
  <dimension ref="A1:Z113"/>
  <sheetViews>
    <sheetView tabSelected="1" topLeftCell="C1" workbookViewId="0">
      <selection activeCell="D2" sqref="D2"/>
    </sheetView>
  </sheetViews>
  <sheetFormatPr baseColWidth="10" defaultColWidth="9.140625" defaultRowHeight="15" x14ac:dyDescent="0.25"/>
  <cols>
    <col min="1" max="1" width="5.28515625" bestFit="1" customWidth="1"/>
    <col min="2" max="2" width="16.85546875" bestFit="1" customWidth="1"/>
    <col min="3" max="3" width="6.7109375" bestFit="1" customWidth="1"/>
    <col min="4" max="4" width="42.85546875" bestFit="1" customWidth="1"/>
    <col min="5" max="5" width="20.85546875" bestFit="1" customWidth="1"/>
    <col min="6" max="6" width="18.140625" bestFit="1" customWidth="1"/>
    <col min="7" max="7" width="12.42578125" bestFit="1" customWidth="1"/>
    <col min="8" max="9" width="10.42578125" bestFit="1" customWidth="1"/>
    <col min="10" max="10" width="8.42578125" bestFit="1" customWidth="1"/>
    <col min="11" max="12" width="15" bestFit="1" customWidth="1"/>
    <col min="13" max="13" width="16.140625" bestFit="1" customWidth="1"/>
    <col min="14" max="14" width="5.7109375" bestFit="1" customWidth="1"/>
    <col min="15" max="15" width="14.7109375" bestFit="1" customWidth="1"/>
    <col min="16" max="16" width="12.7109375" bestFit="1" customWidth="1"/>
    <col min="17" max="17" width="23.7109375" bestFit="1" customWidth="1"/>
    <col min="18" max="18" width="17.140625" style="14" bestFit="1" customWidth="1"/>
    <col min="19" max="19" width="28.5703125" bestFit="1" customWidth="1"/>
    <col min="20" max="20" width="20.28515625" bestFit="1" customWidth="1"/>
    <col min="21" max="21" width="10.140625" bestFit="1" customWidth="1"/>
    <col min="22" max="22" width="37.42578125" bestFit="1" customWidth="1"/>
    <col min="23" max="23" width="47.7109375" bestFit="1" customWidth="1"/>
    <col min="24" max="24" width="21.42578125" bestFit="1" customWidth="1"/>
    <col min="25" max="25" width="7" bestFit="1" customWidth="1"/>
    <col min="26" max="26" width="19.140625" bestFit="1" customWidth="1"/>
  </cols>
  <sheetData>
    <row r="1" spans="1:26" ht="25.5" customHeight="1" x14ac:dyDescent="0.25">
      <c r="A1" s="5" t="s">
        <v>701</v>
      </c>
      <c r="B1" s="10" t="s">
        <v>714</v>
      </c>
      <c r="C1" s="5" t="s">
        <v>702</v>
      </c>
      <c r="D1" s="10" t="s">
        <v>703</v>
      </c>
      <c r="E1" s="10" t="s">
        <v>704</v>
      </c>
      <c r="F1" s="10" t="s">
        <v>705</v>
      </c>
      <c r="G1" s="10" t="s">
        <v>706</v>
      </c>
      <c r="H1" s="10" t="s">
        <v>707</v>
      </c>
      <c r="I1" s="10" t="s">
        <v>708</v>
      </c>
      <c r="J1" s="10" t="s">
        <v>709</v>
      </c>
      <c r="K1" s="10" t="s">
        <v>710</v>
      </c>
      <c r="L1" s="10" t="s">
        <v>711</v>
      </c>
      <c r="M1" s="10" t="s">
        <v>712</v>
      </c>
      <c r="N1" s="10" t="s">
        <v>713</v>
      </c>
      <c r="O1" s="10" t="s">
        <v>723</v>
      </c>
      <c r="P1" s="10" t="s">
        <v>715</v>
      </c>
      <c r="Q1" s="11" t="s">
        <v>716</v>
      </c>
      <c r="R1" s="12" t="s">
        <v>717</v>
      </c>
      <c r="S1" s="10" t="s">
        <v>724</v>
      </c>
      <c r="T1" s="5" t="s">
        <v>725</v>
      </c>
      <c r="U1" t="s">
        <v>718</v>
      </c>
      <c r="V1" t="s">
        <v>719</v>
      </c>
      <c r="W1" t="s">
        <v>252</v>
      </c>
      <c r="X1" t="s">
        <v>726</v>
      </c>
      <c r="Y1" t="s">
        <v>727</v>
      </c>
      <c r="Z1" t="s">
        <v>728</v>
      </c>
    </row>
    <row r="2" spans="1:26" s="27" customFormat="1" ht="16.5" customHeight="1" x14ac:dyDescent="0.25">
      <c r="A2" s="5">
        <v>6</v>
      </c>
      <c r="B2" s="8" t="s">
        <v>62</v>
      </c>
      <c r="C2" s="5">
        <v>11488</v>
      </c>
      <c r="D2" s="7" t="s">
        <v>61</v>
      </c>
      <c r="E2" s="5" t="s">
        <v>49</v>
      </c>
      <c r="F2" s="15">
        <v>300</v>
      </c>
      <c r="G2" s="8">
        <v>45376</v>
      </c>
      <c r="H2" s="8">
        <v>45376</v>
      </c>
      <c r="I2" s="8">
        <v>45541</v>
      </c>
      <c r="J2" s="8" t="str">
        <f t="shared" ref="J2:J67" si="0">IF(I2&lt;&gt;0,"","ACTIVO")</f>
        <v/>
      </c>
      <c r="K2" s="8"/>
      <c r="L2" s="8">
        <f>SUM(H2+300)</f>
        <v>45676</v>
      </c>
      <c r="M2" s="8" t="s">
        <v>55</v>
      </c>
      <c r="N2" s="8" t="s">
        <v>55</v>
      </c>
      <c r="O2" s="8" t="s">
        <v>729</v>
      </c>
      <c r="P2" s="8"/>
      <c r="Q2" s="5" t="s">
        <v>730</v>
      </c>
      <c r="R2" s="11">
        <v>27504</v>
      </c>
      <c r="S2" s="11" t="s">
        <v>731</v>
      </c>
      <c r="T2" s="16" t="e">
        <v>#REF!</v>
      </c>
      <c r="U2" s="16">
        <v>667207852</v>
      </c>
      <c r="V2" s="10" t="s">
        <v>732</v>
      </c>
      <c r="W2" s="10"/>
      <c r="X2" s="17"/>
      <c r="Y2" s="10"/>
      <c r="Z2" s="5"/>
    </row>
    <row r="3" spans="1:26" s="27" customFormat="1" ht="16.5" customHeight="1" x14ac:dyDescent="0.25">
      <c r="A3" s="5">
        <v>2</v>
      </c>
      <c r="B3" s="8" t="s">
        <v>53</v>
      </c>
      <c r="C3" s="5">
        <v>11467</v>
      </c>
      <c r="D3" s="7" t="s">
        <v>52</v>
      </c>
      <c r="E3" s="5" t="s">
        <v>49</v>
      </c>
      <c r="F3" s="15">
        <v>300</v>
      </c>
      <c r="G3" s="8">
        <v>45160</v>
      </c>
      <c r="H3" s="8">
        <v>45537</v>
      </c>
      <c r="I3" s="8"/>
      <c r="J3" s="8" t="str">
        <f t="shared" si="0"/>
        <v>ACTIVO</v>
      </c>
      <c r="K3" s="8"/>
      <c r="L3" s="8">
        <f>SUM(H3+300)</f>
        <v>45837</v>
      </c>
      <c r="M3" s="8">
        <v>45259</v>
      </c>
      <c r="N3" s="8" t="s">
        <v>50</v>
      </c>
      <c r="O3" s="8"/>
      <c r="P3" s="8"/>
      <c r="Q3" s="5" t="s">
        <v>730</v>
      </c>
      <c r="R3" s="11">
        <v>28719</v>
      </c>
      <c r="S3" s="11" t="s">
        <v>733</v>
      </c>
      <c r="T3" s="16" t="e">
        <v>#REF!</v>
      </c>
      <c r="U3" s="16">
        <v>697272787</v>
      </c>
      <c r="V3" s="10" t="s">
        <v>734</v>
      </c>
      <c r="W3" s="10" t="s">
        <v>735</v>
      </c>
      <c r="X3" s="17"/>
      <c r="Y3" s="18"/>
      <c r="Z3" s="5"/>
    </row>
    <row r="4" spans="1:26" s="27" customFormat="1" ht="16.5" customHeight="1" x14ac:dyDescent="0.25">
      <c r="A4" s="5">
        <v>4</v>
      </c>
      <c r="B4" s="8" t="s">
        <v>58</v>
      </c>
      <c r="C4" s="5">
        <v>11482</v>
      </c>
      <c r="D4" s="7" t="s">
        <v>57</v>
      </c>
      <c r="E4" s="5" t="s">
        <v>49</v>
      </c>
      <c r="F4" s="15">
        <v>300</v>
      </c>
      <c r="G4" s="8">
        <v>45369</v>
      </c>
      <c r="H4" s="8">
        <v>45369</v>
      </c>
      <c r="I4" s="8">
        <v>45541</v>
      </c>
      <c r="J4" s="8" t="str">
        <f t="shared" si="0"/>
        <v/>
      </c>
      <c r="K4" s="8"/>
      <c r="L4" s="8">
        <f>SUM(H4+300)</f>
        <v>45669</v>
      </c>
      <c r="M4" s="8" t="s">
        <v>55</v>
      </c>
      <c r="N4" s="8" t="s">
        <v>55</v>
      </c>
      <c r="O4" s="8"/>
      <c r="P4" s="8"/>
      <c r="Q4" s="5" t="s">
        <v>730</v>
      </c>
      <c r="R4" s="11">
        <v>33940</v>
      </c>
      <c r="S4" s="11" t="s">
        <v>731</v>
      </c>
      <c r="T4" s="16" t="e">
        <v>#REF!</v>
      </c>
      <c r="U4" s="16"/>
      <c r="V4" s="10"/>
      <c r="W4" s="10"/>
      <c r="X4" s="17"/>
      <c r="Y4" s="10"/>
      <c r="Z4" s="5"/>
    </row>
    <row r="5" spans="1:26" s="27" customFormat="1" ht="16.5" customHeight="1" x14ac:dyDescent="0.25">
      <c r="A5" s="5">
        <v>13</v>
      </c>
      <c r="B5" s="8" t="s">
        <v>72</v>
      </c>
      <c r="C5" s="5">
        <v>11490</v>
      </c>
      <c r="D5" s="7" t="s">
        <v>71</v>
      </c>
      <c r="E5" s="5" t="s">
        <v>49</v>
      </c>
      <c r="F5" s="15">
        <v>300</v>
      </c>
      <c r="G5" s="8">
        <v>45384</v>
      </c>
      <c r="H5" s="8">
        <v>45384</v>
      </c>
      <c r="I5" s="8">
        <v>45541</v>
      </c>
      <c r="J5" s="8" t="str">
        <f t="shared" si="0"/>
        <v/>
      </c>
      <c r="K5" s="8"/>
      <c r="L5" s="8">
        <f>SUM(H5+300)</f>
        <v>45684</v>
      </c>
      <c r="M5" s="8" t="s">
        <v>55</v>
      </c>
      <c r="N5" s="8" t="s">
        <v>55</v>
      </c>
      <c r="O5" s="8"/>
      <c r="P5" s="8">
        <v>46637</v>
      </c>
      <c r="Q5" s="5" t="s">
        <v>730</v>
      </c>
      <c r="R5" s="11">
        <v>35891</v>
      </c>
      <c r="S5" s="11" t="s">
        <v>731</v>
      </c>
      <c r="T5" s="16" t="e">
        <v>#REF!</v>
      </c>
      <c r="U5" s="16">
        <v>687192228</v>
      </c>
      <c r="V5" s="10" t="s">
        <v>736</v>
      </c>
      <c r="W5" s="10" t="s">
        <v>737</v>
      </c>
      <c r="X5" s="17" t="s">
        <v>738</v>
      </c>
      <c r="Y5" s="10"/>
      <c r="Z5" s="5"/>
    </row>
    <row r="6" spans="1:26" s="27" customFormat="1" ht="16.5" customHeight="1" x14ac:dyDescent="0.25">
      <c r="A6" s="5">
        <v>8</v>
      </c>
      <c r="B6" s="8" t="s">
        <v>66</v>
      </c>
      <c r="C6" s="5">
        <v>11438</v>
      </c>
      <c r="D6" s="7" t="s">
        <v>65</v>
      </c>
      <c r="E6" s="5" t="s">
        <v>49</v>
      </c>
      <c r="F6" s="15">
        <v>100</v>
      </c>
      <c r="G6" s="8">
        <v>44166</v>
      </c>
      <c r="H6" s="8">
        <v>45166</v>
      </c>
      <c r="I6" s="8"/>
      <c r="J6" s="8" t="str">
        <f t="shared" si="0"/>
        <v>ACTIVO</v>
      </c>
      <c r="K6" s="8"/>
      <c r="L6" s="8"/>
      <c r="M6" s="8">
        <v>45259</v>
      </c>
      <c r="N6" s="8" t="s">
        <v>50</v>
      </c>
      <c r="O6" s="8" t="s">
        <v>739</v>
      </c>
      <c r="P6" s="8"/>
      <c r="Q6" s="5" t="s">
        <v>740</v>
      </c>
      <c r="R6" s="11">
        <v>35627</v>
      </c>
      <c r="S6" s="11" t="s">
        <v>733</v>
      </c>
      <c r="T6" s="16" t="e">
        <v>#REF!</v>
      </c>
      <c r="U6" s="16">
        <v>650718003</v>
      </c>
      <c r="V6" s="10" t="s">
        <v>741</v>
      </c>
      <c r="W6" s="10" t="s">
        <v>742</v>
      </c>
      <c r="X6" s="17"/>
      <c r="Y6" s="18"/>
      <c r="Z6" s="5"/>
    </row>
    <row r="7" spans="1:26" s="27" customFormat="1" ht="16.5" customHeight="1" x14ac:dyDescent="0.25">
      <c r="A7" s="5">
        <v>7</v>
      </c>
      <c r="B7" s="8" t="s">
        <v>64</v>
      </c>
      <c r="C7" s="5">
        <v>11375</v>
      </c>
      <c r="D7" s="7" t="s">
        <v>63</v>
      </c>
      <c r="E7" s="5" t="s">
        <v>49</v>
      </c>
      <c r="F7" s="15">
        <v>300</v>
      </c>
      <c r="G7" s="8">
        <v>45040</v>
      </c>
      <c r="H7" s="8">
        <v>45440</v>
      </c>
      <c r="I7" s="8">
        <v>45541</v>
      </c>
      <c r="J7" s="8" t="str">
        <f t="shared" si="0"/>
        <v/>
      </c>
      <c r="K7" s="8"/>
      <c r="L7" s="8">
        <f>SUM(H7+300)</f>
        <v>45740</v>
      </c>
      <c r="M7" s="8">
        <v>45259</v>
      </c>
      <c r="N7" s="8" t="s">
        <v>50</v>
      </c>
      <c r="O7" s="8"/>
      <c r="P7" s="8"/>
      <c r="Q7" s="5" t="s">
        <v>730</v>
      </c>
      <c r="R7" s="11">
        <v>36666</v>
      </c>
      <c r="S7" s="11" t="s">
        <v>733</v>
      </c>
      <c r="T7" s="16" t="e">
        <v>#REF!</v>
      </c>
      <c r="U7" s="16">
        <v>633831592</v>
      </c>
      <c r="V7" s="10" t="s">
        <v>743</v>
      </c>
      <c r="W7" s="10" t="s">
        <v>744</v>
      </c>
      <c r="X7" s="17"/>
      <c r="Y7" s="10"/>
      <c r="Z7" s="5"/>
    </row>
    <row r="8" spans="1:26" s="27" customFormat="1" ht="16.5" customHeight="1" x14ac:dyDescent="0.25">
      <c r="A8" s="5">
        <v>1</v>
      </c>
      <c r="B8" s="8" t="s">
        <v>51</v>
      </c>
      <c r="C8" s="5">
        <v>11505</v>
      </c>
      <c r="D8" s="7" t="s">
        <v>48</v>
      </c>
      <c r="E8" s="5" t="s">
        <v>49</v>
      </c>
      <c r="F8" s="15">
        <v>300</v>
      </c>
      <c r="G8" s="8">
        <v>45033</v>
      </c>
      <c r="H8" s="8">
        <v>45418</v>
      </c>
      <c r="I8" s="8">
        <v>45541</v>
      </c>
      <c r="J8" s="8" t="str">
        <f t="shared" si="0"/>
        <v/>
      </c>
      <c r="K8" s="8"/>
      <c r="L8" s="8">
        <f>SUM(H8+300)</f>
        <v>45718</v>
      </c>
      <c r="M8" s="8">
        <v>45259</v>
      </c>
      <c r="N8" s="8" t="s">
        <v>50</v>
      </c>
      <c r="O8" s="8"/>
      <c r="P8" s="8"/>
      <c r="Q8" s="5" t="s">
        <v>730</v>
      </c>
      <c r="R8" s="11">
        <v>28651</v>
      </c>
      <c r="S8" s="11" t="s">
        <v>731</v>
      </c>
      <c r="T8" s="16" t="e">
        <v>#REF!</v>
      </c>
      <c r="U8" s="16">
        <v>631272218</v>
      </c>
      <c r="V8" s="10" t="s">
        <v>734</v>
      </c>
      <c r="W8" s="10" t="s">
        <v>735</v>
      </c>
      <c r="X8" s="17"/>
      <c r="Y8" s="10"/>
      <c r="Z8" s="5"/>
    </row>
    <row r="9" spans="1:26" s="27" customFormat="1" ht="16.5" customHeight="1" x14ac:dyDescent="0.25">
      <c r="A9" s="5">
        <v>12</v>
      </c>
      <c r="B9" s="8" t="s">
        <v>70</v>
      </c>
      <c r="C9" s="5">
        <v>11525</v>
      </c>
      <c r="D9" s="7" t="s">
        <v>69</v>
      </c>
      <c r="E9" s="5" t="s">
        <v>49</v>
      </c>
      <c r="F9" s="15">
        <v>300</v>
      </c>
      <c r="G9" s="8">
        <v>45478</v>
      </c>
      <c r="H9" s="8">
        <v>45478</v>
      </c>
      <c r="I9" s="8">
        <v>45551</v>
      </c>
      <c r="J9" s="8" t="str">
        <f t="shared" si="0"/>
        <v/>
      </c>
      <c r="K9" s="8"/>
      <c r="L9" s="8">
        <f>SUM(H9+300)</f>
        <v>45778</v>
      </c>
      <c r="M9" s="8"/>
      <c r="N9" s="8"/>
      <c r="O9" s="8" t="s">
        <v>745</v>
      </c>
      <c r="P9" s="8"/>
      <c r="Q9" s="5" t="s">
        <v>730</v>
      </c>
      <c r="R9" s="11">
        <v>32143</v>
      </c>
      <c r="S9" s="11" t="s">
        <v>733</v>
      </c>
      <c r="T9" s="16" t="e">
        <v>#REF!</v>
      </c>
      <c r="U9" s="16">
        <v>643907581</v>
      </c>
      <c r="V9" s="10" t="s">
        <v>746</v>
      </c>
      <c r="W9" s="10" t="s">
        <v>747</v>
      </c>
      <c r="X9" s="17" t="s">
        <v>748</v>
      </c>
      <c r="Y9" s="18" t="s">
        <v>749</v>
      </c>
      <c r="Z9" s="11"/>
    </row>
    <row r="10" spans="1:26" s="27" customFormat="1" ht="16.5" customHeight="1" x14ac:dyDescent="0.25">
      <c r="A10" s="5">
        <v>82</v>
      </c>
      <c r="B10" s="8" t="s">
        <v>184</v>
      </c>
      <c r="C10" s="5">
        <v>11459</v>
      </c>
      <c r="D10" s="7" t="s">
        <v>183</v>
      </c>
      <c r="E10" s="5" t="s">
        <v>49</v>
      </c>
      <c r="F10" s="15">
        <v>300</v>
      </c>
      <c r="G10" s="8">
        <v>36404</v>
      </c>
      <c r="H10" s="8">
        <v>45217</v>
      </c>
      <c r="I10" s="8">
        <v>45513</v>
      </c>
      <c r="J10" s="8" t="str">
        <f t="shared" si="0"/>
        <v/>
      </c>
      <c r="K10" s="8">
        <f>I10+45</f>
        <v>45558</v>
      </c>
      <c r="L10" s="8"/>
      <c r="M10" s="8">
        <v>45259</v>
      </c>
      <c r="N10" s="8" t="s">
        <v>50</v>
      </c>
      <c r="O10" s="8"/>
      <c r="P10" s="8"/>
      <c r="Q10" s="5" t="s">
        <v>730</v>
      </c>
      <c r="R10" s="11">
        <v>27465</v>
      </c>
      <c r="S10" s="11" t="s">
        <v>731</v>
      </c>
      <c r="T10" s="16" t="e">
        <v>#REF!</v>
      </c>
      <c r="U10" s="16">
        <v>660395241</v>
      </c>
      <c r="V10" s="10"/>
      <c r="W10" s="10" t="s">
        <v>750</v>
      </c>
      <c r="X10" s="17"/>
      <c r="Y10" s="10"/>
      <c r="Z10"/>
    </row>
    <row r="11" spans="1:26" s="27" customFormat="1" ht="16.5" customHeight="1" x14ac:dyDescent="0.25">
      <c r="A11" s="5">
        <v>9</v>
      </c>
      <c r="B11" s="8" t="s">
        <v>68</v>
      </c>
      <c r="C11" s="5">
        <v>2096</v>
      </c>
      <c r="D11" s="7" t="s">
        <v>67</v>
      </c>
      <c r="E11" s="5" t="s">
        <v>49</v>
      </c>
      <c r="F11" s="15">
        <v>100</v>
      </c>
      <c r="G11" s="8">
        <v>32722</v>
      </c>
      <c r="H11" s="8">
        <v>44621</v>
      </c>
      <c r="I11" s="8"/>
      <c r="J11" s="8" t="str">
        <f t="shared" si="0"/>
        <v>ACTIVO</v>
      </c>
      <c r="K11" s="8"/>
      <c r="L11" s="8"/>
      <c r="M11" s="8">
        <v>45259</v>
      </c>
      <c r="N11" s="8" t="s">
        <v>50</v>
      </c>
      <c r="O11" s="8" t="s">
        <v>751</v>
      </c>
      <c r="P11" s="8"/>
      <c r="Q11" s="5" t="s">
        <v>730</v>
      </c>
      <c r="R11" s="11">
        <v>23933</v>
      </c>
      <c r="S11" s="11" t="s">
        <v>733</v>
      </c>
      <c r="T11" s="16" t="e">
        <v>#REF!</v>
      </c>
      <c r="U11" s="16">
        <v>691137993</v>
      </c>
      <c r="V11" s="10" t="s">
        <v>752</v>
      </c>
      <c r="W11" s="10" t="s">
        <v>753</v>
      </c>
      <c r="X11" s="17" t="s">
        <v>754</v>
      </c>
      <c r="Y11" s="18" t="s">
        <v>755</v>
      </c>
      <c r="Z11" s="5"/>
    </row>
    <row r="12" spans="1:26" s="27" customFormat="1" ht="16.5" customHeight="1" x14ac:dyDescent="0.25">
      <c r="A12" s="5">
        <v>80</v>
      </c>
      <c r="B12" s="8" t="s">
        <v>180</v>
      </c>
      <c r="C12" s="5">
        <v>11461</v>
      </c>
      <c r="D12" s="7" t="s">
        <v>179</v>
      </c>
      <c r="E12" s="5" t="s">
        <v>49</v>
      </c>
      <c r="F12" s="15">
        <v>300</v>
      </c>
      <c r="G12" s="8">
        <v>36161</v>
      </c>
      <c r="H12" s="8">
        <v>45218</v>
      </c>
      <c r="I12" s="8">
        <v>45513</v>
      </c>
      <c r="J12" s="8" t="str">
        <f t="shared" si="0"/>
        <v/>
      </c>
      <c r="K12" s="8">
        <f>I12+45</f>
        <v>45558</v>
      </c>
      <c r="L12" s="8"/>
      <c r="M12" s="8">
        <v>45259</v>
      </c>
      <c r="N12" s="8" t="s">
        <v>50</v>
      </c>
      <c r="O12" s="8"/>
      <c r="P12" s="8"/>
      <c r="Q12" s="5" t="s">
        <v>730</v>
      </c>
      <c r="R12" s="11">
        <v>28707</v>
      </c>
      <c r="S12" s="11" t="s">
        <v>731</v>
      </c>
      <c r="T12" s="16" t="e">
        <v>#REF!</v>
      </c>
      <c r="U12" s="16">
        <v>654327459</v>
      </c>
      <c r="V12" s="10" t="s">
        <v>756</v>
      </c>
      <c r="W12" s="10" t="s">
        <v>757</v>
      </c>
      <c r="X12" s="17"/>
      <c r="Y12" s="10"/>
      <c r="Z12"/>
    </row>
    <row r="13" spans="1:26" s="27" customFormat="1" ht="16.5" customHeight="1" x14ac:dyDescent="0.25">
      <c r="A13" s="5">
        <v>3</v>
      </c>
      <c r="B13" s="8" t="s">
        <v>56</v>
      </c>
      <c r="C13" s="5">
        <v>11483</v>
      </c>
      <c r="D13" s="7" t="s">
        <v>54</v>
      </c>
      <c r="E13" s="5" t="s">
        <v>49</v>
      </c>
      <c r="F13" s="15">
        <v>300</v>
      </c>
      <c r="G13" s="8">
        <v>45369</v>
      </c>
      <c r="H13" s="8">
        <v>45369</v>
      </c>
      <c r="I13" s="8">
        <v>45541</v>
      </c>
      <c r="J13" s="8" t="str">
        <f t="shared" si="0"/>
        <v/>
      </c>
      <c r="K13" s="8"/>
      <c r="L13" s="8">
        <f t="shared" ref="L13:L52" si="1">SUM(H13+300)</f>
        <v>45669</v>
      </c>
      <c r="M13" s="8" t="s">
        <v>55</v>
      </c>
      <c r="N13" s="8" t="s">
        <v>55</v>
      </c>
      <c r="O13" s="8"/>
      <c r="P13" s="8"/>
      <c r="Q13" s="5" t="s">
        <v>730</v>
      </c>
      <c r="R13" s="11">
        <v>32997</v>
      </c>
      <c r="S13" s="11" t="s">
        <v>731</v>
      </c>
      <c r="T13" s="16" t="e">
        <v>#REF!</v>
      </c>
      <c r="U13" s="16">
        <v>663697756</v>
      </c>
      <c r="V13" s="28" t="s">
        <v>758</v>
      </c>
      <c r="W13" s="10" t="s">
        <v>759</v>
      </c>
      <c r="X13" s="17"/>
      <c r="Y13" s="10"/>
      <c r="Z13" s="5"/>
    </row>
    <row r="14" spans="1:26" s="27" customFormat="1" ht="16.5" customHeight="1" x14ac:dyDescent="0.25">
      <c r="A14" s="5">
        <v>5</v>
      </c>
      <c r="B14" s="8" t="s">
        <v>60</v>
      </c>
      <c r="C14" s="5">
        <v>11487</v>
      </c>
      <c r="D14" s="7" t="s">
        <v>59</v>
      </c>
      <c r="E14" s="5" t="s">
        <v>49</v>
      </c>
      <c r="F14" s="15">
        <v>300</v>
      </c>
      <c r="G14" s="8">
        <v>45376</v>
      </c>
      <c r="H14" s="8">
        <v>45376</v>
      </c>
      <c r="I14" s="8">
        <v>45541</v>
      </c>
      <c r="J14" s="8" t="str">
        <f t="shared" si="0"/>
        <v/>
      </c>
      <c r="K14" s="8"/>
      <c r="L14" s="8">
        <f t="shared" si="1"/>
        <v>45676</v>
      </c>
      <c r="M14" s="8" t="s">
        <v>55</v>
      </c>
      <c r="N14" s="8" t="s">
        <v>55</v>
      </c>
      <c r="O14" s="8"/>
      <c r="P14" s="8"/>
      <c r="Q14" s="5" t="s">
        <v>730</v>
      </c>
      <c r="R14" s="11">
        <v>33903</v>
      </c>
      <c r="S14" s="11" t="s">
        <v>731</v>
      </c>
      <c r="T14" s="16" t="e">
        <v>#REF!</v>
      </c>
      <c r="U14" s="16"/>
      <c r="V14" s="10"/>
      <c r="W14" s="10"/>
      <c r="X14" s="17"/>
      <c r="Y14" s="10"/>
      <c r="Z14" s="5"/>
    </row>
    <row r="15" spans="1:26" ht="16.5" customHeight="1" x14ac:dyDescent="0.25">
      <c r="A15" s="5">
        <v>99</v>
      </c>
      <c r="B15" s="8" t="s">
        <v>218</v>
      </c>
      <c r="C15" s="5">
        <v>11411</v>
      </c>
      <c r="D15" s="7" t="s">
        <v>217</v>
      </c>
      <c r="E15" s="5" t="s">
        <v>173</v>
      </c>
      <c r="F15" s="15">
        <v>389</v>
      </c>
      <c r="G15" s="8">
        <v>44105</v>
      </c>
      <c r="H15" s="8">
        <v>45505</v>
      </c>
      <c r="I15" s="8"/>
      <c r="J15" s="8" t="str">
        <f t="shared" si="0"/>
        <v>ACTIVO</v>
      </c>
      <c r="K15" s="8"/>
      <c r="L15" s="8">
        <f>SUM(H15+300)</f>
        <v>45805</v>
      </c>
      <c r="M15" s="8">
        <v>45259</v>
      </c>
      <c r="N15" s="8" t="s">
        <v>50</v>
      </c>
      <c r="O15" s="8"/>
      <c r="P15" s="8"/>
      <c r="Q15" s="5" t="s">
        <v>872</v>
      </c>
      <c r="R15" s="11">
        <v>22311</v>
      </c>
      <c r="S15" s="11" t="s">
        <v>733</v>
      </c>
      <c r="T15" s="16" t="e">
        <v>#REF!</v>
      </c>
      <c r="U15" s="16">
        <v>618531701</v>
      </c>
      <c r="V15" s="10"/>
      <c r="W15" s="10" t="s">
        <v>922</v>
      </c>
      <c r="X15" s="17"/>
      <c r="Y15" s="18"/>
    </row>
    <row r="16" spans="1:26" ht="16.5" customHeight="1" x14ac:dyDescent="0.25">
      <c r="A16" s="5">
        <v>96</v>
      </c>
      <c r="B16" s="8" t="s">
        <v>212</v>
      </c>
      <c r="C16" s="5">
        <v>11414</v>
      </c>
      <c r="D16" s="7" t="s">
        <v>211</v>
      </c>
      <c r="E16" s="5" t="s">
        <v>173</v>
      </c>
      <c r="F16" s="15">
        <v>389</v>
      </c>
      <c r="G16" s="8">
        <v>44417</v>
      </c>
      <c r="H16" s="8">
        <v>45505</v>
      </c>
      <c r="I16" s="8"/>
      <c r="J16" s="8" t="str">
        <f t="shared" si="0"/>
        <v>ACTIVO</v>
      </c>
      <c r="K16" s="8"/>
      <c r="L16" s="8">
        <f>SUM(H16+300)</f>
        <v>45805</v>
      </c>
      <c r="M16" s="8">
        <v>45259</v>
      </c>
      <c r="N16" s="8" t="s">
        <v>50</v>
      </c>
      <c r="O16" s="8" t="s">
        <v>923</v>
      </c>
      <c r="P16" s="8"/>
      <c r="Q16" s="5" t="s">
        <v>730</v>
      </c>
      <c r="R16" s="11">
        <v>26355</v>
      </c>
      <c r="S16" s="11" t="s">
        <v>733</v>
      </c>
      <c r="T16" s="16" t="e">
        <v>#REF!</v>
      </c>
      <c r="U16" s="16">
        <v>632488407</v>
      </c>
      <c r="V16" s="10"/>
      <c r="W16" s="10" t="s">
        <v>924</v>
      </c>
      <c r="X16" s="17" t="s">
        <v>738</v>
      </c>
      <c r="Y16" s="18" t="s">
        <v>755</v>
      </c>
    </row>
    <row r="17" spans="1:26" ht="16.5" customHeight="1" x14ac:dyDescent="0.25">
      <c r="A17" s="5">
        <v>85</v>
      </c>
      <c r="B17" s="8" t="s">
        <v>190</v>
      </c>
      <c r="C17" s="5">
        <v>11453</v>
      </c>
      <c r="D17" s="7" t="s">
        <v>189</v>
      </c>
      <c r="E17" s="5" t="s">
        <v>173</v>
      </c>
      <c r="F17" s="15">
        <v>300</v>
      </c>
      <c r="G17" s="8">
        <v>44652</v>
      </c>
      <c r="H17" s="8">
        <v>45505</v>
      </c>
      <c r="I17" s="8"/>
      <c r="J17" s="8" t="str">
        <f t="shared" si="0"/>
        <v>ACTIVO</v>
      </c>
      <c r="K17" s="8"/>
      <c r="L17" s="8">
        <f>SUM(H17+300)</f>
        <v>45805</v>
      </c>
      <c r="M17" s="8" t="s">
        <v>50</v>
      </c>
      <c r="N17" s="8" t="s">
        <v>50</v>
      </c>
      <c r="O17" s="8"/>
      <c r="P17" s="8"/>
      <c r="Q17" s="5" t="s">
        <v>730</v>
      </c>
      <c r="R17" s="11">
        <v>27760</v>
      </c>
      <c r="S17" s="11" t="s">
        <v>733</v>
      </c>
      <c r="T17" s="16" t="e">
        <v>#REF!</v>
      </c>
      <c r="U17" s="16">
        <v>632331217</v>
      </c>
      <c r="V17" s="10" t="s">
        <v>925</v>
      </c>
      <c r="W17" s="10" t="s">
        <v>926</v>
      </c>
      <c r="X17" s="17"/>
      <c r="Y17" s="18"/>
    </row>
    <row r="18" spans="1:26" ht="16.5" customHeight="1" x14ac:dyDescent="0.25">
      <c r="A18" s="5">
        <v>83</v>
      </c>
      <c r="B18" s="8" t="s">
        <v>222</v>
      </c>
      <c r="C18" s="5">
        <v>11451</v>
      </c>
      <c r="D18" s="7" t="s">
        <v>221</v>
      </c>
      <c r="E18" s="5" t="s">
        <v>173</v>
      </c>
      <c r="F18" s="15">
        <v>300</v>
      </c>
      <c r="G18" s="8">
        <v>32005</v>
      </c>
      <c r="H18" s="8">
        <v>45566</v>
      </c>
      <c r="I18" s="8"/>
      <c r="J18" s="8" t="str">
        <f t="shared" si="0"/>
        <v>ACTIVO</v>
      </c>
      <c r="K18" s="8"/>
      <c r="L18" s="8">
        <v>45866</v>
      </c>
      <c r="M18" s="8">
        <v>45259</v>
      </c>
      <c r="N18" s="8" t="s">
        <v>50</v>
      </c>
      <c r="O18" s="8"/>
      <c r="P18" s="8"/>
      <c r="Q18" s="5" t="s">
        <v>730</v>
      </c>
      <c r="R18" s="11">
        <v>23019</v>
      </c>
      <c r="S18" s="11" t="s">
        <v>731</v>
      </c>
      <c r="T18" s="16" t="e">
        <v>#REF!</v>
      </c>
      <c r="U18" s="16">
        <v>646442809</v>
      </c>
      <c r="V18" s="28"/>
      <c r="W18" s="10" t="s">
        <v>927</v>
      </c>
      <c r="X18" s="17"/>
      <c r="Y18" s="10"/>
    </row>
    <row r="19" spans="1:26" ht="16.5" customHeight="1" x14ac:dyDescent="0.25">
      <c r="A19" s="5">
        <v>97</v>
      </c>
      <c r="B19" s="8" t="s">
        <v>214</v>
      </c>
      <c r="C19" s="5">
        <v>11415</v>
      </c>
      <c r="D19" s="7" t="s">
        <v>213</v>
      </c>
      <c r="E19" s="5" t="s">
        <v>173</v>
      </c>
      <c r="F19" s="15">
        <v>300</v>
      </c>
      <c r="G19" s="8">
        <v>44774</v>
      </c>
      <c r="H19" s="8">
        <v>45505</v>
      </c>
      <c r="I19" s="8"/>
      <c r="J19" s="8" t="str">
        <f t="shared" si="0"/>
        <v>ACTIVO</v>
      </c>
      <c r="K19" s="8"/>
      <c r="L19" s="8">
        <f>SUM(H19+300)</f>
        <v>45805</v>
      </c>
      <c r="M19" s="8">
        <v>45259</v>
      </c>
      <c r="N19" s="8" t="s">
        <v>50</v>
      </c>
      <c r="O19" s="8" t="s">
        <v>928</v>
      </c>
      <c r="P19" s="8"/>
      <c r="Q19" s="5" t="s">
        <v>730</v>
      </c>
      <c r="R19" s="11">
        <v>29952</v>
      </c>
      <c r="S19" s="11" t="s">
        <v>733</v>
      </c>
      <c r="T19" s="16" t="e">
        <v>#REF!</v>
      </c>
      <c r="U19" s="16">
        <v>612572316</v>
      </c>
      <c r="V19" s="28" t="s">
        <v>643</v>
      </c>
      <c r="W19" s="10" t="s">
        <v>929</v>
      </c>
      <c r="X19" s="17"/>
      <c r="Y19" s="18"/>
    </row>
    <row r="20" spans="1:26" s="29" customFormat="1" ht="16.5" customHeight="1" x14ac:dyDescent="0.25">
      <c r="A20" s="5">
        <v>108</v>
      </c>
      <c r="B20" s="8" t="s">
        <v>174</v>
      </c>
      <c r="C20" s="5">
        <v>11360</v>
      </c>
      <c r="D20" s="7" t="s">
        <v>172</v>
      </c>
      <c r="E20" s="5" t="s">
        <v>173</v>
      </c>
      <c r="F20" s="15">
        <v>300</v>
      </c>
      <c r="G20" s="8">
        <v>44652</v>
      </c>
      <c r="H20" s="8">
        <v>44998</v>
      </c>
      <c r="I20" s="8">
        <v>45352</v>
      </c>
      <c r="J20" s="8" t="str">
        <f t="shared" si="0"/>
        <v/>
      </c>
      <c r="K20" s="8">
        <f>I20+45</f>
        <v>45397</v>
      </c>
      <c r="L20" s="8"/>
      <c r="M20" s="8"/>
      <c r="N20" s="8"/>
      <c r="O20" s="8"/>
      <c r="P20" s="8"/>
      <c r="Q20" s="5" t="s">
        <v>730</v>
      </c>
      <c r="R20" s="11"/>
      <c r="S20" s="11" t="s">
        <v>733</v>
      </c>
      <c r="T20" s="16">
        <v>0</v>
      </c>
      <c r="U20" s="16"/>
      <c r="V20" s="10"/>
      <c r="W20" s="10"/>
      <c r="X20" s="17"/>
      <c r="Y20" s="10"/>
      <c r="Z20"/>
    </row>
    <row r="21" spans="1:26" s="29" customFormat="1" ht="16.5" customHeight="1" x14ac:dyDescent="0.25">
      <c r="A21" s="5">
        <v>86</v>
      </c>
      <c r="B21" s="8" t="s">
        <v>192</v>
      </c>
      <c r="C21" s="5">
        <v>11503</v>
      </c>
      <c r="D21" s="7" t="s">
        <v>191</v>
      </c>
      <c r="E21" s="5" t="s">
        <v>173</v>
      </c>
      <c r="F21" s="15">
        <v>300</v>
      </c>
      <c r="G21" s="8">
        <v>37956</v>
      </c>
      <c r="H21" s="8">
        <v>45516</v>
      </c>
      <c r="I21" s="8"/>
      <c r="J21" s="8" t="str">
        <f t="shared" si="0"/>
        <v>ACTIVO</v>
      </c>
      <c r="K21" s="8"/>
      <c r="L21" s="8">
        <f>SUM(H21+300)</f>
        <v>45816</v>
      </c>
      <c r="M21" s="8">
        <v>45259</v>
      </c>
      <c r="N21" s="8" t="s">
        <v>50</v>
      </c>
      <c r="O21" s="8" t="s">
        <v>930</v>
      </c>
      <c r="P21" s="8"/>
      <c r="Q21" s="5" t="s">
        <v>730</v>
      </c>
      <c r="R21" s="11">
        <v>29407</v>
      </c>
      <c r="S21" s="11" t="s">
        <v>731</v>
      </c>
      <c r="T21" s="16" t="e">
        <v>#REF!</v>
      </c>
      <c r="U21" s="16">
        <v>619287255</v>
      </c>
      <c r="V21" s="28" t="s">
        <v>655</v>
      </c>
      <c r="W21" s="10" t="s">
        <v>931</v>
      </c>
      <c r="X21" s="17"/>
      <c r="Y21" s="18"/>
      <c r="Z21"/>
    </row>
    <row r="22" spans="1:26" ht="16.5" customHeight="1" x14ac:dyDescent="0.25">
      <c r="A22" s="5">
        <v>95</v>
      </c>
      <c r="B22" s="8" t="s">
        <v>210</v>
      </c>
      <c r="C22" s="5">
        <v>11413</v>
      </c>
      <c r="D22" s="7" t="s">
        <v>209</v>
      </c>
      <c r="E22" s="5" t="s">
        <v>173</v>
      </c>
      <c r="F22" s="15">
        <v>300</v>
      </c>
      <c r="G22" s="8">
        <v>44166</v>
      </c>
      <c r="H22" s="8">
        <v>45505</v>
      </c>
      <c r="I22" s="8"/>
      <c r="J22" s="8" t="str">
        <f t="shared" si="0"/>
        <v>ACTIVO</v>
      </c>
      <c r="K22" s="8"/>
      <c r="L22" s="8">
        <f>SUM(H22+300)</f>
        <v>45805</v>
      </c>
      <c r="M22" s="8">
        <v>45259</v>
      </c>
      <c r="N22" s="8" t="s">
        <v>50</v>
      </c>
      <c r="O22" s="8" t="s">
        <v>932</v>
      </c>
      <c r="P22" s="8"/>
      <c r="Q22" s="5" t="s">
        <v>730</v>
      </c>
      <c r="R22" s="11">
        <v>29586</v>
      </c>
      <c r="S22" s="11" t="s">
        <v>733</v>
      </c>
      <c r="T22" s="16" t="e">
        <v>#REF!</v>
      </c>
      <c r="U22" s="16">
        <v>631462118</v>
      </c>
      <c r="V22" s="10"/>
      <c r="W22" s="10" t="s">
        <v>933</v>
      </c>
      <c r="X22" s="17" t="s">
        <v>738</v>
      </c>
      <c r="Y22" s="18" t="s">
        <v>755</v>
      </c>
    </row>
    <row r="23" spans="1:26" ht="16.5" customHeight="1" x14ac:dyDescent="0.25">
      <c r="A23" s="5">
        <v>87</v>
      </c>
      <c r="B23" s="8" t="s">
        <v>194</v>
      </c>
      <c r="C23" s="5">
        <v>11450</v>
      </c>
      <c r="D23" s="7" t="s">
        <v>193</v>
      </c>
      <c r="E23" s="5" t="s">
        <v>173</v>
      </c>
      <c r="F23" s="15">
        <v>300</v>
      </c>
      <c r="G23" s="8">
        <v>37956</v>
      </c>
      <c r="H23" s="8">
        <v>45524</v>
      </c>
      <c r="I23" s="8"/>
      <c r="J23" s="8" t="str">
        <f t="shared" si="0"/>
        <v>ACTIVO</v>
      </c>
      <c r="K23" s="8"/>
      <c r="L23" s="8">
        <f>SUM(H23+300)</f>
        <v>45824</v>
      </c>
      <c r="M23" s="8">
        <v>45259</v>
      </c>
      <c r="N23" s="8" t="s">
        <v>50</v>
      </c>
      <c r="O23" s="8" t="s">
        <v>934</v>
      </c>
      <c r="P23" s="8"/>
      <c r="Q23" s="5" t="s">
        <v>872</v>
      </c>
      <c r="R23" s="11">
        <v>25965</v>
      </c>
      <c r="S23" s="11" t="s">
        <v>733</v>
      </c>
      <c r="T23" s="16" t="e">
        <v>#REF!</v>
      </c>
      <c r="U23" s="16">
        <v>616460839</v>
      </c>
      <c r="V23" s="10"/>
      <c r="W23" s="10" t="s">
        <v>935</v>
      </c>
      <c r="X23" s="17" t="s">
        <v>738</v>
      </c>
      <c r="Y23" s="18" t="s">
        <v>755</v>
      </c>
    </row>
    <row r="24" spans="1:26" s="29" customFormat="1" ht="16.5" customHeight="1" x14ac:dyDescent="0.25">
      <c r="A24" s="5">
        <v>112</v>
      </c>
      <c r="B24" s="8" t="s">
        <v>244</v>
      </c>
      <c r="C24" s="5">
        <v>11473</v>
      </c>
      <c r="D24" s="7" t="s">
        <v>243</v>
      </c>
      <c r="E24" s="5" t="s">
        <v>173</v>
      </c>
      <c r="F24" s="15">
        <v>300</v>
      </c>
      <c r="G24" s="8">
        <v>45362</v>
      </c>
      <c r="H24" s="8">
        <v>45505</v>
      </c>
      <c r="I24" s="8"/>
      <c r="J24" s="8" t="str">
        <f t="shared" si="0"/>
        <v>ACTIVO</v>
      </c>
      <c r="K24" s="8"/>
      <c r="L24" s="8">
        <f>SUM(H24+300)</f>
        <v>45805</v>
      </c>
      <c r="M24" s="8" t="s">
        <v>55</v>
      </c>
      <c r="N24" s="8" t="s">
        <v>55</v>
      </c>
      <c r="O24" s="8" t="s">
        <v>936</v>
      </c>
      <c r="P24" s="8">
        <v>47115</v>
      </c>
      <c r="Q24" s="5" t="s">
        <v>730</v>
      </c>
      <c r="R24" s="11">
        <v>28525</v>
      </c>
      <c r="S24" s="11" t="s">
        <v>733</v>
      </c>
      <c r="T24" s="16" t="e">
        <v>#REF!</v>
      </c>
      <c r="U24" s="16"/>
      <c r="V24" s="10"/>
      <c r="W24" s="10" t="s">
        <v>937</v>
      </c>
      <c r="X24" s="17"/>
      <c r="Y24" s="18" t="s">
        <v>938</v>
      </c>
      <c r="Z24" s="8"/>
    </row>
    <row r="25" spans="1:26" s="29" customFormat="1" ht="16.5" customHeight="1" x14ac:dyDescent="0.25">
      <c r="A25" s="5">
        <v>107</v>
      </c>
      <c r="B25" s="8" t="s">
        <v>176</v>
      </c>
      <c r="C25" s="5">
        <v>11454</v>
      </c>
      <c r="D25" s="7" t="s">
        <v>175</v>
      </c>
      <c r="E25" s="5" t="s">
        <v>173</v>
      </c>
      <c r="F25" s="15">
        <v>300</v>
      </c>
      <c r="G25" s="8">
        <v>44844</v>
      </c>
      <c r="H25" s="8">
        <v>45187</v>
      </c>
      <c r="I25" s="8">
        <v>45418</v>
      </c>
      <c r="J25" s="8" t="str">
        <f t="shared" si="0"/>
        <v/>
      </c>
      <c r="K25" s="8">
        <f>I25+45</f>
        <v>45463</v>
      </c>
      <c r="L25" s="8"/>
      <c r="M25" s="8">
        <v>45259</v>
      </c>
      <c r="N25" s="8" t="s">
        <v>50</v>
      </c>
      <c r="O25" s="8"/>
      <c r="P25" s="8"/>
      <c r="Q25" s="5" t="s">
        <v>730</v>
      </c>
      <c r="R25" s="11">
        <v>24108</v>
      </c>
      <c r="S25" s="11" t="s">
        <v>733</v>
      </c>
      <c r="T25" s="16" t="e">
        <v>#REF!</v>
      </c>
      <c r="U25" s="16">
        <v>632559062</v>
      </c>
      <c r="V25" s="10" t="s">
        <v>939</v>
      </c>
      <c r="W25" s="10" t="s">
        <v>940</v>
      </c>
      <c r="X25" s="17"/>
      <c r="Y25" s="10"/>
      <c r="Z25"/>
    </row>
    <row r="26" spans="1:26" ht="16.5" customHeight="1" x14ac:dyDescent="0.25">
      <c r="A26" s="5">
        <v>103</v>
      </c>
      <c r="B26" s="8" t="s">
        <v>226</v>
      </c>
      <c r="C26" s="5">
        <v>11479</v>
      </c>
      <c r="D26" s="6" t="s">
        <v>225</v>
      </c>
      <c r="E26" s="5" t="s">
        <v>173</v>
      </c>
      <c r="F26" s="15">
        <v>300</v>
      </c>
      <c r="G26" s="8">
        <v>44872</v>
      </c>
      <c r="H26" s="8">
        <v>45362</v>
      </c>
      <c r="I26" s="8"/>
      <c r="J26" s="8" t="str">
        <f t="shared" si="0"/>
        <v>ACTIVO</v>
      </c>
      <c r="K26" s="8"/>
      <c r="L26" s="8">
        <f>SUM(H26+300)</f>
        <v>45662</v>
      </c>
      <c r="M26" s="8">
        <v>45259</v>
      </c>
      <c r="N26" s="8" t="s">
        <v>50</v>
      </c>
      <c r="O26" s="8" t="s">
        <v>941</v>
      </c>
      <c r="P26" s="8"/>
      <c r="Q26" s="5" t="s">
        <v>730</v>
      </c>
      <c r="R26" s="11">
        <v>23377</v>
      </c>
      <c r="S26" s="11" t="s">
        <v>731</v>
      </c>
      <c r="T26" s="16" t="e">
        <v>#REF!</v>
      </c>
      <c r="U26" s="16"/>
      <c r="V26" s="10"/>
      <c r="W26" s="10" t="s">
        <v>942</v>
      </c>
      <c r="X26" s="17" t="s">
        <v>754</v>
      </c>
      <c r="Y26" s="18" t="s">
        <v>755</v>
      </c>
    </row>
    <row r="27" spans="1:26" s="29" customFormat="1" ht="16.5" customHeight="1" x14ac:dyDescent="0.25">
      <c r="A27" s="5">
        <v>105</v>
      </c>
      <c r="B27" s="8" t="s">
        <v>182</v>
      </c>
      <c r="C27" s="5">
        <v>11489</v>
      </c>
      <c r="D27" s="7" t="s">
        <v>181</v>
      </c>
      <c r="E27" s="5" t="s">
        <v>173</v>
      </c>
      <c r="F27" s="15">
        <v>300</v>
      </c>
      <c r="G27" s="8">
        <v>45378</v>
      </c>
      <c r="H27" s="8">
        <v>45378</v>
      </c>
      <c r="I27" s="8">
        <v>45443</v>
      </c>
      <c r="J27" s="8" t="str">
        <f t="shared" si="0"/>
        <v/>
      </c>
      <c r="K27" s="8">
        <f>I27+45</f>
        <v>45488</v>
      </c>
      <c r="L27" s="8"/>
      <c r="M27" s="8" t="s">
        <v>55</v>
      </c>
      <c r="N27" s="8" t="s">
        <v>55</v>
      </c>
      <c r="O27" s="8"/>
      <c r="P27" s="8"/>
      <c r="Q27" s="5" t="s">
        <v>730</v>
      </c>
      <c r="R27" s="11"/>
      <c r="S27" s="11" t="s">
        <v>733</v>
      </c>
      <c r="T27" s="16" t="e">
        <v>#REF!</v>
      </c>
      <c r="U27" s="16"/>
      <c r="V27" s="10"/>
      <c r="W27" s="10"/>
      <c r="X27" s="17"/>
      <c r="Y27" s="10"/>
      <c r="Z27"/>
    </row>
    <row r="28" spans="1:26" s="29" customFormat="1" ht="16.5" customHeight="1" x14ac:dyDescent="0.25">
      <c r="A28" s="5">
        <v>92</v>
      </c>
      <c r="B28" s="8" t="s">
        <v>204</v>
      </c>
      <c r="C28" s="5">
        <v>11423</v>
      </c>
      <c r="D28" s="7" t="s">
        <v>203</v>
      </c>
      <c r="E28" s="5" t="s">
        <v>173</v>
      </c>
      <c r="F28" s="15">
        <v>389</v>
      </c>
      <c r="G28" s="8">
        <v>44166</v>
      </c>
      <c r="H28" s="8">
        <v>45505</v>
      </c>
      <c r="I28" s="8"/>
      <c r="J28" s="8" t="str">
        <f t="shared" si="0"/>
        <v>ACTIVO</v>
      </c>
      <c r="K28" s="8"/>
      <c r="L28" s="8">
        <f>SUM(H28+300)</f>
        <v>45805</v>
      </c>
      <c r="M28" s="8">
        <v>45259</v>
      </c>
      <c r="N28" s="8" t="s">
        <v>50</v>
      </c>
      <c r="O28" s="8" t="s">
        <v>943</v>
      </c>
      <c r="P28" s="8"/>
      <c r="Q28" s="5" t="s">
        <v>730</v>
      </c>
      <c r="R28" s="11">
        <v>25569</v>
      </c>
      <c r="S28" s="11" t="s">
        <v>733</v>
      </c>
      <c r="T28" s="16" t="e">
        <v>#REF!</v>
      </c>
      <c r="U28" s="16">
        <v>625299612</v>
      </c>
      <c r="V28" s="10"/>
      <c r="W28" s="10" t="s">
        <v>944</v>
      </c>
      <c r="X28" s="17" t="s">
        <v>738</v>
      </c>
      <c r="Y28" s="18" t="s">
        <v>755</v>
      </c>
      <c r="Z28"/>
    </row>
    <row r="29" spans="1:26" s="29" customFormat="1" ht="16.5" customHeight="1" x14ac:dyDescent="0.25">
      <c r="A29" s="5">
        <v>78</v>
      </c>
      <c r="B29" s="8" t="s">
        <v>206</v>
      </c>
      <c r="C29" s="5">
        <v>11464</v>
      </c>
      <c r="D29" s="7" t="s">
        <v>205</v>
      </c>
      <c r="E29" s="5" t="s">
        <v>173</v>
      </c>
      <c r="F29" s="15">
        <v>300</v>
      </c>
      <c r="G29" s="8">
        <v>44641</v>
      </c>
      <c r="H29" s="8">
        <v>45224</v>
      </c>
      <c r="I29" s="8">
        <v>45476</v>
      </c>
      <c r="J29" s="8" t="str">
        <f t="shared" si="0"/>
        <v/>
      </c>
      <c r="K29" s="8">
        <f>I29+45</f>
        <v>45521</v>
      </c>
      <c r="L29" s="8"/>
      <c r="M29" s="8">
        <v>45259</v>
      </c>
      <c r="N29" s="8" t="s">
        <v>50</v>
      </c>
      <c r="O29" s="8"/>
      <c r="P29" s="8"/>
      <c r="Q29" s="5" t="s">
        <v>730</v>
      </c>
      <c r="R29" s="11">
        <v>28889</v>
      </c>
      <c r="S29" s="11" t="s">
        <v>733</v>
      </c>
      <c r="T29" s="16" t="e">
        <v>#REF!</v>
      </c>
      <c r="U29" s="16">
        <v>657038855</v>
      </c>
      <c r="V29" s="10"/>
      <c r="W29" s="10" t="s">
        <v>945</v>
      </c>
      <c r="X29" s="17"/>
      <c r="Y29" s="10"/>
      <c r="Z29"/>
    </row>
    <row r="30" spans="1:26" s="29" customFormat="1" ht="16.5" customHeight="1" x14ac:dyDescent="0.25">
      <c r="A30" s="5">
        <v>106</v>
      </c>
      <c r="B30" s="8" t="s">
        <v>196</v>
      </c>
      <c r="C30" s="5">
        <v>11492</v>
      </c>
      <c r="D30" s="7" t="s">
        <v>195</v>
      </c>
      <c r="E30" s="5" t="s">
        <v>173</v>
      </c>
      <c r="F30" s="15">
        <v>300</v>
      </c>
      <c r="G30" s="8">
        <v>45384</v>
      </c>
      <c r="H30" s="8">
        <v>45384</v>
      </c>
      <c r="I30" s="8">
        <v>45450</v>
      </c>
      <c r="J30" s="8" t="str">
        <f t="shared" si="0"/>
        <v/>
      </c>
      <c r="K30" s="8">
        <f>I30+45</f>
        <v>45495</v>
      </c>
      <c r="L30" s="8"/>
      <c r="M30" s="8"/>
      <c r="N30" s="8"/>
      <c r="O30" s="8"/>
      <c r="P30" s="8"/>
      <c r="Q30" s="5" t="s">
        <v>730</v>
      </c>
      <c r="R30" s="11">
        <v>29181</v>
      </c>
      <c r="S30" s="11" t="s">
        <v>733</v>
      </c>
      <c r="T30" s="16" t="e">
        <v>#REF!</v>
      </c>
      <c r="U30" s="16"/>
      <c r="V30" s="10"/>
      <c r="W30" s="10"/>
      <c r="X30" s="17"/>
      <c r="Y30" s="10"/>
      <c r="Z30"/>
    </row>
    <row r="31" spans="1:26" s="29" customFormat="1" ht="16.5" customHeight="1" x14ac:dyDescent="0.25">
      <c r="A31" s="5">
        <v>77</v>
      </c>
      <c r="B31" s="8" t="s">
        <v>242</v>
      </c>
      <c r="C31" s="5">
        <v>11465</v>
      </c>
      <c r="D31" s="7" t="s">
        <v>241</v>
      </c>
      <c r="E31" s="5" t="s">
        <v>173</v>
      </c>
      <c r="F31" s="15">
        <v>300</v>
      </c>
      <c r="G31" s="8">
        <v>44652</v>
      </c>
      <c r="H31" s="8">
        <v>45229</v>
      </c>
      <c r="I31" s="8">
        <v>45512</v>
      </c>
      <c r="J31" s="8" t="str">
        <f t="shared" si="0"/>
        <v/>
      </c>
      <c r="K31" s="8">
        <f>I31+45</f>
        <v>45557</v>
      </c>
      <c r="L31" s="8"/>
      <c r="M31" s="8">
        <v>45259</v>
      </c>
      <c r="N31" s="8" t="s">
        <v>50</v>
      </c>
      <c r="O31" s="8"/>
      <c r="P31" s="8"/>
      <c r="Q31" s="5" t="s">
        <v>872</v>
      </c>
      <c r="R31" s="11">
        <v>25542</v>
      </c>
      <c r="S31" s="11" t="s">
        <v>733</v>
      </c>
      <c r="T31" s="16" t="e">
        <v>#REF!</v>
      </c>
      <c r="U31" s="16">
        <v>631014935</v>
      </c>
      <c r="V31" s="10"/>
      <c r="W31" s="10" t="s">
        <v>946</v>
      </c>
      <c r="X31" s="17"/>
      <c r="Y31" s="10"/>
      <c r="Z31"/>
    </row>
    <row r="32" spans="1:26" s="29" customFormat="1" ht="16.5" customHeight="1" x14ac:dyDescent="0.25">
      <c r="A32" s="5">
        <v>104</v>
      </c>
      <c r="B32" s="8" t="s">
        <v>188</v>
      </c>
      <c r="C32" s="5">
        <v>11474</v>
      </c>
      <c r="D32" s="7" t="s">
        <v>187</v>
      </c>
      <c r="E32" s="5" t="s">
        <v>173</v>
      </c>
      <c r="F32" s="15">
        <v>300</v>
      </c>
      <c r="G32" s="8">
        <v>45362</v>
      </c>
      <c r="H32" s="8">
        <v>45362</v>
      </c>
      <c r="I32" s="8">
        <v>45446</v>
      </c>
      <c r="J32" s="8" t="str">
        <f t="shared" si="0"/>
        <v/>
      </c>
      <c r="K32" s="8">
        <f>I32+45</f>
        <v>45491</v>
      </c>
      <c r="L32" s="8"/>
      <c r="M32" s="8" t="s">
        <v>55</v>
      </c>
      <c r="N32" s="8" t="s">
        <v>55</v>
      </c>
      <c r="O32" s="8"/>
      <c r="P32" s="8"/>
      <c r="Q32" s="5" t="s">
        <v>730</v>
      </c>
      <c r="R32" s="11">
        <v>30233</v>
      </c>
      <c r="S32" s="11" t="s">
        <v>733</v>
      </c>
      <c r="T32" s="16" t="e">
        <v>#REF!</v>
      </c>
      <c r="U32" s="16"/>
      <c r="V32" s="10"/>
      <c r="W32" s="10"/>
      <c r="X32" s="17"/>
      <c r="Y32" s="10"/>
      <c r="Z32"/>
    </row>
    <row r="33" spans="1:26" s="29" customFormat="1" ht="16.5" customHeight="1" x14ac:dyDescent="0.25">
      <c r="A33" s="5">
        <v>109</v>
      </c>
      <c r="B33" s="8" t="s">
        <v>238</v>
      </c>
      <c r="C33" s="5">
        <v>11292</v>
      </c>
      <c r="D33" s="7" t="s">
        <v>237</v>
      </c>
      <c r="E33" s="5" t="s">
        <v>173</v>
      </c>
      <c r="F33" s="15">
        <v>100</v>
      </c>
      <c r="G33" s="8">
        <v>43318</v>
      </c>
      <c r="H33" s="8">
        <v>44768</v>
      </c>
      <c r="I33" s="8"/>
      <c r="J33" s="8" t="str">
        <f t="shared" si="0"/>
        <v>ACTIVO</v>
      </c>
      <c r="K33" s="8"/>
      <c r="L33" s="8"/>
      <c r="M33" s="8">
        <v>45259</v>
      </c>
      <c r="N33" s="8" t="s">
        <v>50</v>
      </c>
      <c r="O33" s="8" t="s">
        <v>947</v>
      </c>
      <c r="P33" s="8"/>
      <c r="Q33" s="5" t="s">
        <v>844</v>
      </c>
      <c r="R33" s="11">
        <v>30666</v>
      </c>
      <c r="S33" s="11" t="s">
        <v>733</v>
      </c>
      <c r="T33" s="16" t="e">
        <v>#REF!</v>
      </c>
      <c r="U33" s="16">
        <v>628771861</v>
      </c>
      <c r="V33" s="10" t="s">
        <v>671</v>
      </c>
      <c r="W33" s="10" t="s">
        <v>931</v>
      </c>
      <c r="X33" s="17"/>
      <c r="Y33" s="18"/>
      <c r="Z33"/>
    </row>
    <row r="34" spans="1:26" s="29" customFormat="1" ht="16.5" customHeight="1" x14ac:dyDescent="0.25">
      <c r="A34" s="5">
        <v>79</v>
      </c>
      <c r="B34" s="8" t="s">
        <v>236</v>
      </c>
      <c r="C34" s="5">
        <v>11462</v>
      </c>
      <c r="D34" s="7" t="s">
        <v>235</v>
      </c>
      <c r="E34" s="5" t="s">
        <v>173</v>
      </c>
      <c r="F34" s="15">
        <v>300</v>
      </c>
      <c r="G34" s="8">
        <v>36404</v>
      </c>
      <c r="H34" s="8">
        <v>45222</v>
      </c>
      <c r="I34" s="8">
        <v>45504</v>
      </c>
      <c r="J34" s="8" t="str">
        <f t="shared" si="0"/>
        <v/>
      </c>
      <c r="K34" s="8">
        <f>I34+45</f>
        <v>45549</v>
      </c>
      <c r="L34" s="8"/>
      <c r="M34" s="8">
        <v>45259</v>
      </c>
      <c r="N34" s="8" t="s">
        <v>50</v>
      </c>
      <c r="O34" s="8"/>
      <c r="P34" s="8"/>
      <c r="Q34" s="5" t="s">
        <v>730</v>
      </c>
      <c r="R34" s="11">
        <v>27608</v>
      </c>
      <c r="S34" s="11" t="s">
        <v>731</v>
      </c>
      <c r="T34" s="16" t="e">
        <v>#REF!</v>
      </c>
      <c r="U34" s="16">
        <v>666644240</v>
      </c>
      <c r="V34" s="10"/>
      <c r="W34" s="10" t="s">
        <v>948</v>
      </c>
      <c r="X34" s="17"/>
      <c r="Y34" s="10"/>
      <c r="Z34" s="5"/>
    </row>
    <row r="35" spans="1:26" s="29" customFormat="1" ht="16.5" customHeight="1" x14ac:dyDescent="0.25">
      <c r="A35" s="5">
        <v>89</v>
      </c>
      <c r="B35" s="8" t="s">
        <v>198</v>
      </c>
      <c r="C35" s="5">
        <v>11441</v>
      </c>
      <c r="D35" s="7" t="s">
        <v>197</v>
      </c>
      <c r="E35" s="5" t="s">
        <v>173</v>
      </c>
      <c r="F35" s="15">
        <v>300</v>
      </c>
      <c r="G35" s="8">
        <v>44623</v>
      </c>
      <c r="H35" s="8">
        <v>45524</v>
      </c>
      <c r="I35" s="8"/>
      <c r="J35" s="8" t="str">
        <f t="shared" si="0"/>
        <v>ACTIVO</v>
      </c>
      <c r="K35" s="8"/>
      <c r="L35" s="8">
        <v>45824</v>
      </c>
      <c r="M35" s="8">
        <v>45259</v>
      </c>
      <c r="N35" s="8" t="s">
        <v>50</v>
      </c>
      <c r="O35" s="8" t="s">
        <v>949</v>
      </c>
      <c r="P35" s="8"/>
      <c r="Q35" s="5" t="s">
        <v>730</v>
      </c>
      <c r="R35" s="11">
        <v>35958</v>
      </c>
      <c r="S35" s="11" t="s">
        <v>733</v>
      </c>
      <c r="T35" s="16" t="e">
        <v>#REF!</v>
      </c>
      <c r="U35" s="16">
        <v>609465446</v>
      </c>
      <c r="V35" s="28" t="s">
        <v>664</v>
      </c>
      <c r="W35" s="10" t="s">
        <v>950</v>
      </c>
      <c r="X35" s="17" t="s">
        <v>951</v>
      </c>
      <c r="Y35" s="18" t="s">
        <v>755</v>
      </c>
      <c r="Z35"/>
    </row>
    <row r="36" spans="1:26" s="29" customFormat="1" ht="16.5" customHeight="1" x14ac:dyDescent="0.25">
      <c r="A36" s="5">
        <v>110</v>
      </c>
      <c r="B36" s="8" t="s">
        <v>240</v>
      </c>
      <c r="C36" s="5">
        <v>11376</v>
      </c>
      <c r="D36" s="7" t="s">
        <v>239</v>
      </c>
      <c r="E36" s="5" t="s">
        <v>173</v>
      </c>
      <c r="F36" s="15">
        <v>100</v>
      </c>
      <c r="G36" s="8">
        <v>45048</v>
      </c>
      <c r="H36" s="8">
        <v>45048</v>
      </c>
      <c r="I36" s="8"/>
      <c r="J36" s="8" t="str">
        <f t="shared" si="0"/>
        <v>ACTIVO</v>
      </c>
      <c r="K36" s="8"/>
      <c r="L36" s="8">
        <v>45348</v>
      </c>
      <c r="M36" s="8">
        <v>45259</v>
      </c>
      <c r="N36" s="8" t="s">
        <v>50</v>
      </c>
      <c r="O36" s="8" t="s">
        <v>952</v>
      </c>
      <c r="P36" s="8"/>
      <c r="Q36" s="5" t="s">
        <v>778</v>
      </c>
      <c r="R36" s="11">
        <v>34438</v>
      </c>
      <c r="S36" s="11" t="s">
        <v>733</v>
      </c>
      <c r="T36" s="16" t="e">
        <v>#REF!</v>
      </c>
      <c r="U36" s="16">
        <v>615349753</v>
      </c>
      <c r="V36" s="26" t="s">
        <v>676</v>
      </c>
      <c r="W36" s="10" t="s">
        <v>953</v>
      </c>
      <c r="X36" s="17" t="s">
        <v>738</v>
      </c>
      <c r="Y36" s="18" t="s">
        <v>755</v>
      </c>
      <c r="Z36"/>
    </row>
    <row r="37" spans="1:26" s="29" customFormat="1" ht="16.5" customHeight="1" x14ac:dyDescent="0.25">
      <c r="A37" s="5">
        <v>91</v>
      </c>
      <c r="B37" s="8" t="s">
        <v>202</v>
      </c>
      <c r="C37" s="5">
        <v>11420</v>
      </c>
      <c r="D37" s="7" t="s">
        <v>201</v>
      </c>
      <c r="E37" s="5" t="s">
        <v>173</v>
      </c>
      <c r="F37" s="15">
        <v>300</v>
      </c>
      <c r="G37" s="8">
        <v>44795</v>
      </c>
      <c r="H37" s="8">
        <v>45505</v>
      </c>
      <c r="I37" s="8"/>
      <c r="J37" s="8" t="str">
        <f t="shared" si="0"/>
        <v>ACTIVO</v>
      </c>
      <c r="K37" s="8"/>
      <c r="L37" s="8">
        <f>SUM(H37+300)</f>
        <v>45805</v>
      </c>
      <c r="M37" s="8">
        <v>45259</v>
      </c>
      <c r="N37" s="8" t="s">
        <v>50</v>
      </c>
      <c r="O37" s="8" t="s">
        <v>954</v>
      </c>
      <c r="P37" s="8"/>
      <c r="Q37" s="5" t="s">
        <v>730</v>
      </c>
      <c r="R37" s="11">
        <v>24838</v>
      </c>
      <c r="S37" s="11" t="s">
        <v>733</v>
      </c>
      <c r="T37" s="16" t="e">
        <v>#REF!</v>
      </c>
      <c r="U37" s="16"/>
      <c r="V37" s="28" t="s">
        <v>625</v>
      </c>
      <c r="W37" s="10" t="s">
        <v>955</v>
      </c>
      <c r="X37" s="17"/>
      <c r="Y37" s="18"/>
      <c r="Z37"/>
    </row>
    <row r="38" spans="1:26" ht="16.5" customHeight="1" x14ac:dyDescent="0.25">
      <c r="A38" s="5">
        <v>88</v>
      </c>
      <c r="B38" s="8" t="s">
        <v>186</v>
      </c>
      <c r="C38" s="5">
        <v>11442</v>
      </c>
      <c r="D38" s="7" t="s">
        <v>185</v>
      </c>
      <c r="E38" s="5" t="s">
        <v>173</v>
      </c>
      <c r="F38" s="15">
        <v>300</v>
      </c>
      <c r="G38" s="8">
        <v>37956</v>
      </c>
      <c r="H38" s="8">
        <v>45566</v>
      </c>
      <c r="I38" s="8"/>
      <c r="J38" s="8" t="str">
        <f t="shared" si="0"/>
        <v>ACTIVO</v>
      </c>
      <c r="K38" s="8">
        <f>I38+45</f>
        <v>45</v>
      </c>
      <c r="L38" s="8">
        <v>45866</v>
      </c>
      <c r="M38" s="8">
        <v>45259</v>
      </c>
      <c r="N38" s="8" t="s">
        <v>55</v>
      </c>
      <c r="O38" s="8"/>
      <c r="P38" s="8"/>
      <c r="Q38" s="5" t="s">
        <v>730</v>
      </c>
      <c r="R38" s="11">
        <v>21287</v>
      </c>
      <c r="S38" s="11" t="s">
        <v>733</v>
      </c>
      <c r="T38" s="16" t="e">
        <v>#REF!</v>
      </c>
      <c r="U38" s="16">
        <v>658926735</v>
      </c>
      <c r="V38" s="10" t="s">
        <v>956</v>
      </c>
      <c r="W38" s="10" t="s">
        <v>957</v>
      </c>
      <c r="X38" s="17"/>
      <c r="Y38" s="10"/>
    </row>
    <row r="39" spans="1:26" s="29" customFormat="1" ht="16.5" customHeight="1" x14ac:dyDescent="0.25">
      <c r="A39" s="5">
        <v>101</v>
      </c>
      <c r="B39" s="8" t="s">
        <v>230</v>
      </c>
      <c r="C39" s="5">
        <v>11471</v>
      </c>
      <c r="D39" s="7" t="s">
        <v>229</v>
      </c>
      <c r="E39" s="5" t="s">
        <v>173</v>
      </c>
      <c r="F39" s="15">
        <v>300</v>
      </c>
      <c r="G39" s="8">
        <v>45054</v>
      </c>
      <c r="H39" s="8">
        <v>45355</v>
      </c>
      <c r="I39" s="8">
        <v>45476</v>
      </c>
      <c r="J39" s="8" t="str">
        <f t="shared" si="0"/>
        <v/>
      </c>
      <c r="K39" s="8">
        <f>I39+45</f>
        <v>45521</v>
      </c>
      <c r="L39" s="8"/>
      <c r="M39" s="8">
        <v>45259</v>
      </c>
      <c r="N39" s="8" t="s">
        <v>55</v>
      </c>
      <c r="O39" s="8"/>
      <c r="P39" s="8"/>
      <c r="Q39" s="5" t="s">
        <v>730</v>
      </c>
      <c r="R39" s="11">
        <v>31117</v>
      </c>
      <c r="S39" s="11" t="s">
        <v>733</v>
      </c>
      <c r="T39" s="16" t="e">
        <v>#REF!</v>
      </c>
      <c r="U39" s="16">
        <v>698229394</v>
      </c>
      <c r="V39" s="10" t="s">
        <v>958</v>
      </c>
      <c r="W39" s="10" t="s">
        <v>959</v>
      </c>
      <c r="X39" s="17"/>
      <c r="Y39" s="10"/>
      <c r="Z39"/>
    </row>
    <row r="40" spans="1:26" ht="16.5" customHeight="1" x14ac:dyDescent="0.25">
      <c r="A40" s="5">
        <v>102</v>
      </c>
      <c r="B40" s="8" t="s">
        <v>232</v>
      </c>
      <c r="C40" s="5">
        <v>11472</v>
      </c>
      <c r="D40" s="7" t="s">
        <v>231</v>
      </c>
      <c r="E40" s="5" t="s">
        <v>173</v>
      </c>
      <c r="F40" s="15">
        <v>300</v>
      </c>
      <c r="G40" s="8">
        <v>44844</v>
      </c>
      <c r="H40" s="8">
        <v>45551</v>
      </c>
      <c r="I40" s="8"/>
      <c r="J40" s="8" t="str">
        <f t="shared" si="0"/>
        <v>ACTIVO</v>
      </c>
      <c r="K40" s="8"/>
      <c r="L40" s="8"/>
      <c r="M40" s="8" t="s">
        <v>50</v>
      </c>
      <c r="N40" s="8" t="s">
        <v>55</v>
      </c>
      <c r="O40" s="8"/>
      <c r="P40" s="8"/>
      <c r="Q40" s="5" t="s">
        <v>730</v>
      </c>
      <c r="R40" s="11">
        <v>29587</v>
      </c>
      <c r="S40" s="11" t="s">
        <v>733</v>
      </c>
      <c r="T40" s="16" t="e">
        <v>#REF!</v>
      </c>
      <c r="U40" s="16"/>
      <c r="V40" s="10"/>
      <c r="W40" s="10"/>
      <c r="X40" s="17"/>
      <c r="Y40" s="10"/>
    </row>
    <row r="41" spans="1:26" ht="16.5" customHeight="1" x14ac:dyDescent="0.25">
      <c r="A41" s="5">
        <v>81</v>
      </c>
      <c r="B41" s="8" t="s">
        <v>220</v>
      </c>
      <c r="C41" s="5">
        <v>11460</v>
      </c>
      <c r="D41" s="7" t="s">
        <v>219</v>
      </c>
      <c r="E41" s="5" t="s">
        <v>173</v>
      </c>
      <c r="F41" s="15">
        <v>300</v>
      </c>
      <c r="G41" s="8">
        <v>36404</v>
      </c>
      <c r="H41" s="8">
        <v>45566</v>
      </c>
      <c r="I41" s="8"/>
      <c r="J41" s="8" t="str">
        <f t="shared" si="0"/>
        <v>ACTIVO</v>
      </c>
      <c r="K41" s="8"/>
      <c r="L41" s="8">
        <v>45866</v>
      </c>
      <c r="M41" s="8">
        <v>45259</v>
      </c>
      <c r="N41" s="8" t="s">
        <v>50</v>
      </c>
      <c r="O41" s="8"/>
      <c r="P41" s="8"/>
      <c r="Q41" s="5" t="s">
        <v>730</v>
      </c>
      <c r="R41" s="11">
        <v>28589</v>
      </c>
      <c r="S41" s="11" t="s">
        <v>731</v>
      </c>
      <c r="T41" s="16" t="e">
        <v>#REF!</v>
      </c>
      <c r="U41" s="16"/>
      <c r="V41" s="10"/>
      <c r="W41" s="10"/>
      <c r="X41" s="17"/>
      <c r="Y41" s="10"/>
    </row>
    <row r="42" spans="1:26" s="27" customFormat="1" ht="16.5" customHeight="1" x14ac:dyDescent="0.25">
      <c r="A42" s="5">
        <v>90</v>
      </c>
      <c r="B42" s="8" t="s">
        <v>200</v>
      </c>
      <c r="C42" s="5">
        <v>11419</v>
      </c>
      <c r="D42" s="7" t="s">
        <v>199</v>
      </c>
      <c r="E42" s="5" t="s">
        <v>173</v>
      </c>
      <c r="F42" s="15">
        <v>300</v>
      </c>
      <c r="G42" s="8">
        <v>44105</v>
      </c>
      <c r="H42" s="8">
        <v>45506</v>
      </c>
      <c r="I42" s="8"/>
      <c r="J42" s="8" t="str">
        <f t="shared" si="0"/>
        <v>ACTIVO</v>
      </c>
      <c r="K42" s="8"/>
      <c r="L42" s="8">
        <f>SUM(H42+300)</f>
        <v>45806</v>
      </c>
      <c r="M42" s="8">
        <v>45259</v>
      </c>
      <c r="N42" s="8" t="s">
        <v>50</v>
      </c>
      <c r="O42" s="8" t="s">
        <v>960</v>
      </c>
      <c r="P42" s="8"/>
      <c r="Q42" s="5" t="s">
        <v>730</v>
      </c>
      <c r="R42" s="11">
        <v>24488</v>
      </c>
      <c r="S42" s="11" t="s">
        <v>733</v>
      </c>
      <c r="T42" s="16" t="e">
        <v>#REF!</v>
      </c>
      <c r="U42" s="16">
        <v>651751807</v>
      </c>
      <c r="V42" s="10"/>
      <c r="W42" s="10" t="s">
        <v>961</v>
      </c>
      <c r="X42" s="17" t="s">
        <v>754</v>
      </c>
      <c r="Y42" s="18" t="s">
        <v>755</v>
      </c>
      <c r="Z42"/>
    </row>
    <row r="43" spans="1:26" s="27" customFormat="1" ht="16.5" customHeight="1" x14ac:dyDescent="0.25">
      <c r="A43" s="5">
        <v>98</v>
      </c>
      <c r="B43" s="8" t="s">
        <v>216</v>
      </c>
      <c r="C43" s="5">
        <v>11416</v>
      </c>
      <c r="D43" s="7" t="s">
        <v>215</v>
      </c>
      <c r="E43" s="5" t="s">
        <v>173</v>
      </c>
      <c r="F43" s="15">
        <v>300</v>
      </c>
      <c r="G43" s="8">
        <v>44774</v>
      </c>
      <c r="H43" s="8">
        <v>45505</v>
      </c>
      <c r="I43" s="8"/>
      <c r="J43" s="8" t="str">
        <f t="shared" si="0"/>
        <v>ACTIVO</v>
      </c>
      <c r="K43" s="8"/>
      <c r="L43" s="8">
        <f>SUM(H43+300)</f>
        <v>45805</v>
      </c>
      <c r="M43" s="8">
        <v>45259</v>
      </c>
      <c r="N43" s="8" t="s">
        <v>50</v>
      </c>
      <c r="O43" s="8" t="s">
        <v>962</v>
      </c>
      <c r="P43" s="8"/>
      <c r="Q43" s="5" t="s">
        <v>730</v>
      </c>
      <c r="R43" s="11">
        <v>27897</v>
      </c>
      <c r="S43" s="11" t="s">
        <v>733</v>
      </c>
      <c r="T43" s="16" t="e">
        <v>#REF!</v>
      </c>
      <c r="U43" s="16"/>
      <c r="V43" s="10"/>
      <c r="W43" s="10" t="s">
        <v>963</v>
      </c>
      <c r="X43" s="17" t="s">
        <v>738</v>
      </c>
      <c r="Y43" s="18" t="s">
        <v>964</v>
      </c>
      <c r="Z43"/>
    </row>
    <row r="44" spans="1:26" ht="16.5" customHeight="1" x14ac:dyDescent="0.25">
      <c r="A44" s="5">
        <v>84</v>
      </c>
      <c r="B44" s="8" t="s">
        <v>224</v>
      </c>
      <c r="C44" s="5">
        <v>11452</v>
      </c>
      <c r="D44" s="7" t="s">
        <v>223</v>
      </c>
      <c r="E44" s="5" t="s">
        <v>173</v>
      </c>
      <c r="F44" s="15">
        <v>300</v>
      </c>
      <c r="G44" s="8">
        <v>37672</v>
      </c>
      <c r="H44" s="8">
        <v>45566</v>
      </c>
      <c r="I44" s="8"/>
      <c r="J44" s="8" t="str">
        <f t="shared" si="0"/>
        <v>ACTIVO</v>
      </c>
      <c r="K44" s="8"/>
      <c r="L44" s="8">
        <v>45866</v>
      </c>
      <c r="M44" s="8">
        <v>45259</v>
      </c>
      <c r="N44" s="8" t="s">
        <v>50</v>
      </c>
      <c r="O44" s="8"/>
      <c r="P44" s="8"/>
      <c r="Q44" s="5" t="s">
        <v>730</v>
      </c>
      <c r="R44" s="11">
        <v>24038</v>
      </c>
      <c r="S44" s="11" t="s">
        <v>731</v>
      </c>
      <c r="T44" s="16" t="e">
        <v>#REF!</v>
      </c>
      <c r="U44" s="16">
        <v>620788461</v>
      </c>
      <c r="V44" s="28"/>
      <c r="W44" s="10" t="s">
        <v>965</v>
      </c>
      <c r="X44" s="17"/>
      <c r="Y44" s="10"/>
    </row>
    <row r="45" spans="1:26" ht="16.5" customHeight="1" x14ac:dyDescent="0.25">
      <c r="A45" s="5">
        <v>100</v>
      </c>
      <c r="B45" s="8" t="s">
        <v>228</v>
      </c>
      <c r="C45" s="5">
        <v>11470</v>
      </c>
      <c r="D45" s="7" t="s">
        <v>227</v>
      </c>
      <c r="E45" s="5" t="s">
        <v>173</v>
      </c>
      <c r="F45" s="15">
        <v>300</v>
      </c>
      <c r="G45" s="8">
        <v>44796</v>
      </c>
      <c r="H45" s="8">
        <v>45558</v>
      </c>
      <c r="I45" s="8"/>
      <c r="J45" s="8" t="str">
        <f t="shared" si="0"/>
        <v>ACTIVO</v>
      </c>
      <c r="K45" s="8"/>
      <c r="L45" s="8">
        <f>SUM(H45+300)</f>
        <v>45858</v>
      </c>
      <c r="M45" s="8">
        <v>45259</v>
      </c>
      <c r="N45" s="8" t="s">
        <v>50</v>
      </c>
      <c r="O45" s="8"/>
      <c r="P45" s="8"/>
      <c r="Q45" s="5" t="s">
        <v>730</v>
      </c>
      <c r="R45" s="11">
        <v>29418</v>
      </c>
      <c r="S45" s="11" t="s">
        <v>733</v>
      </c>
      <c r="T45" s="16" t="e">
        <v>#REF!</v>
      </c>
      <c r="U45" s="16">
        <v>622846149</v>
      </c>
      <c r="V45" s="10"/>
      <c r="W45" s="10" t="s">
        <v>966</v>
      </c>
      <c r="X45" s="17"/>
      <c r="Y45" s="10"/>
    </row>
    <row r="46" spans="1:26" ht="16.5" customHeight="1" x14ac:dyDescent="0.25">
      <c r="A46" s="5">
        <v>111</v>
      </c>
      <c r="B46" s="8" t="s">
        <v>234</v>
      </c>
      <c r="C46" s="5">
        <v>11491</v>
      </c>
      <c r="D46" s="7" t="s">
        <v>233</v>
      </c>
      <c r="E46" s="5" t="s">
        <v>173</v>
      </c>
      <c r="F46" s="15">
        <v>300</v>
      </c>
      <c r="G46" s="8">
        <v>45384</v>
      </c>
      <c r="H46" s="8">
        <v>45384</v>
      </c>
      <c r="I46" s="8">
        <v>45476</v>
      </c>
      <c r="J46" s="8" t="str">
        <f t="shared" si="0"/>
        <v/>
      </c>
      <c r="K46" s="8">
        <f>I46+45</f>
        <v>45521</v>
      </c>
      <c r="L46" s="8"/>
      <c r="M46" s="8" t="s">
        <v>55</v>
      </c>
      <c r="N46" s="8"/>
      <c r="O46" s="8"/>
      <c r="P46" s="8"/>
      <c r="Q46" s="5" t="s">
        <v>730</v>
      </c>
      <c r="R46" s="11">
        <v>23351</v>
      </c>
      <c r="S46" s="11" t="s">
        <v>733</v>
      </c>
      <c r="T46" s="16" t="e">
        <v>#REF!</v>
      </c>
      <c r="U46" s="16"/>
      <c r="V46" s="10"/>
      <c r="W46" s="10"/>
      <c r="X46" s="17"/>
      <c r="Y46" s="10"/>
      <c r="Z46" s="5"/>
    </row>
    <row r="47" spans="1:26" ht="16.5" customHeight="1" x14ac:dyDescent="0.25">
      <c r="A47" s="5">
        <v>93</v>
      </c>
      <c r="B47" s="8" t="s">
        <v>178</v>
      </c>
      <c r="C47" s="5">
        <v>11412</v>
      </c>
      <c r="D47" s="7" t="s">
        <v>177</v>
      </c>
      <c r="E47" s="5" t="s">
        <v>173</v>
      </c>
      <c r="F47" s="15">
        <v>300</v>
      </c>
      <c r="G47" s="8">
        <v>44013</v>
      </c>
      <c r="H47" s="8">
        <v>45146</v>
      </c>
      <c r="I47" s="8">
        <v>45436</v>
      </c>
      <c r="J47" s="8" t="str">
        <f t="shared" si="0"/>
        <v/>
      </c>
      <c r="K47" s="8">
        <f>I47+45</f>
        <v>45481</v>
      </c>
      <c r="L47" s="8"/>
      <c r="M47" s="8">
        <v>45259</v>
      </c>
      <c r="N47" s="8" t="s">
        <v>50</v>
      </c>
      <c r="O47" s="8"/>
      <c r="P47" s="8"/>
      <c r="Q47" s="5" t="s">
        <v>730</v>
      </c>
      <c r="R47" s="11">
        <v>28387</v>
      </c>
      <c r="S47" s="11" t="s">
        <v>733</v>
      </c>
      <c r="T47" s="16" t="e">
        <v>#REF!</v>
      </c>
      <c r="U47" s="16">
        <v>631007873</v>
      </c>
      <c r="V47" s="10" t="s">
        <v>967</v>
      </c>
      <c r="W47" s="10" t="s">
        <v>968</v>
      </c>
      <c r="X47" s="17"/>
      <c r="Y47" s="10"/>
    </row>
    <row r="48" spans="1:26" ht="16.5" customHeight="1" x14ac:dyDescent="0.25">
      <c r="A48" s="5">
        <v>94</v>
      </c>
      <c r="B48" s="8" t="s">
        <v>208</v>
      </c>
      <c r="C48" s="5">
        <v>11418</v>
      </c>
      <c r="D48" s="7" t="s">
        <v>207</v>
      </c>
      <c r="E48" s="5" t="s">
        <v>173</v>
      </c>
      <c r="F48" s="15">
        <v>300</v>
      </c>
      <c r="G48" s="8">
        <v>44774</v>
      </c>
      <c r="H48" s="8">
        <v>45530</v>
      </c>
      <c r="I48" s="8"/>
      <c r="J48" s="8" t="str">
        <f t="shared" si="0"/>
        <v>ACTIVO</v>
      </c>
      <c r="K48" s="8"/>
      <c r="L48" s="8">
        <f>SUM(H48+300)</f>
        <v>45830</v>
      </c>
      <c r="M48" s="8">
        <v>45259</v>
      </c>
      <c r="N48" s="8" t="s">
        <v>50</v>
      </c>
      <c r="O48" s="8" t="s">
        <v>969</v>
      </c>
      <c r="P48" s="8"/>
      <c r="Q48" s="5" t="s">
        <v>730</v>
      </c>
      <c r="R48" s="11">
        <v>27809</v>
      </c>
      <c r="S48" s="11" t="s">
        <v>733</v>
      </c>
      <c r="T48" s="16" t="e">
        <v>#REF!</v>
      </c>
      <c r="U48" s="16">
        <v>678222333</v>
      </c>
      <c r="V48" s="10"/>
      <c r="W48" s="10" t="s">
        <v>970</v>
      </c>
      <c r="X48" s="17" t="s">
        <v>738</v>
      </c>
      <c r="Y48" s="18" t="s">
        <v>755</v>
      </c>
    </row>
    <row r="49" spans="1:26" s="27" customFormat="1" ht="16.5" customHeight="1" x14ac:dyDescent="0.25">
      <c r="A49" s="5">
        <v>36</v>
      </c>
      <c r="B49" s="8" t="s">
        <v>115</v>
      </c>
      <c r="C49" s="5">
        <v>11323</v>
      </c>
      <c r="D49" s="6" t="s">
        <v>114</v>
      </c>
      <c r="E49" s="5" t="s">
        <v>74</v>
      </c>
      <c r="F49" s="15">
        <v>300</v>
      </c>
      <c r="G49" s="8">
        <v>44805</v>
      </c>
      <c r="H49" s="8">
        <v>44805</v>
      </c>
      <c r="I49" s="8">
        <v>45058</v>
      </c>
      <c r="J49" s="8" t="str">
        <f t="shared" si="0"/>
        <v/>
      </c>
      <c r="K49" s="8">
        <f>I49+45</f>
        <v>45103</v>
      </c>
      <c r="L49" s="8">
        <f t="shared" si="1"/>
        <v>45105</v>
      </c>
      <c r="M49" s="8"/>
      <c r="N49" s="8"/>
      <c r="O49" s="19"/>
      <c r="P49" s="8"/>
      <c r="Q49" s="5" t="s">
        <v>730</v>
      </c>
      <c r="R49" s="8">
        <v>28158</v>
      </c>
      <c r="S49" s="8" t="s">
        <v>733</v>
      </c>
      <c r="T49" s="16" t="e">
        <v>#REF!</v>
      </c>
      <c r="U49" s="12"/>
      <c r="V49" s="5"/>
      <c r="W49" s="5"/>
      <c r="X49" s="17"/>
      <c r="Y49" s="5"/>
      <c r="Z49" s="5"/>
    </row>
    <row r="50" spans="1:26" s="27" customFormat="1" ht="16.5" customHeight="1" x14ac:dyDescent="0.25">
      <c r="A50" s="5">
        <v>37</v>
      </c>
      <c r="B50" s="8" t="s">
        <v>117</v>
      </c>
      <c r="C50" s="5">
        <v>11350</v>
      </c>
      <c r="D50" s="7" t="s">
        <v>116</v>
      </c>
      <c r="E50" s="5" t="s">
        <v>74</v>
      </c>
      <c r="F50" s="15">
        <v>300</v>
      </c>
      <c r="G50" s="8">
        <v>44873</v>
      </c>
      <c r="H50" s="8">
        <v>44873</v>
      </c>
      <c r="I50" s="8">
        <v>45107</v>
      </c>
      <c r="J50" s="8" t="str">
        <f t="shared" si="0"/>
        <v/>
      </c>
      <c r="K50" s="8">
        <f>I50+45</f>
        <v>45152</v>
      </c>
      <c r="L50" s="8">
        <f t="shared" si="1"/>
        <v>45173</v>
      </c>
      <c r="M50" s="8"/>
      <c r="N50" s="8"/>
      <c r="O50" s="19"/>
      <c r="P50" s="8"/>
      <c r="Q50" s="5" t="s">
        <v>730</v>
      </c>
      <c r="R50" s="8">
        <v>29879</v>
      </c>
      <c r="S50" s="8" t="s">
        <v>733</v>
      </c>
      <c r="T50" s="16" t="e">
        <v>#REF!</v>
      </c>
      <c r="U50" s="12"/>
      <c r="V50" s="5"/>
      <c r="W50" s="5"/>
      <c r="X50" s="17"/>
      <c r="Y50" s="5"/>
      <c r="Z50" s="10"/>
    </row>
    <row r="51" spans="1:26" s="27" customFormat="1" ht="16.5" customHeight="1" x14ac:dyDescent="0.25">
      <c r="A51" s="5">
        <v>15</v>
      </c>
      <c r="B51" s="8" t="s">
        <v>77</v>
      </c>
      <c r="C51" s="5">
        <v>11494</v>
      </c>
      <c r="D51" s="7" t="s">
        <v>76</v>
      </c>
      <c r="E51" s="5" t="s">
        <v>74</v>
      </c>
      <c r="F51" s="15">
        <v>300</v>
      </c>
      <c r="G51" s="8">
        <v>45104</v>
      </c>
      <c r="H51" s="8">
        <v>45397</v>
      </c>
      <c r="I51" s="8"/>
      <c r="J51" s="8" t="str">
        <f t="shared" si="0"/>
        <v>ACTIVO</v>
      </c>
      <c r="K51" s="8"/>
      <c r="L51" s="8">
        <f t="shared" si="1"/>
        <v>45697</v>
      </c>
      <c r="M51" s="8">
        <v>45224</v>
      </c>
      <c r="N51" s="8" t="s">
        <v>50</v>
      </c>
      <c r="O51" s="19" t="s">
        <v>760</v>
      </c>
      <c r="P51" s="8"/>
      <c r="Q51" s="5" t="s">
        <v>730</v>
      </c>
      <c r="R51" s="8">
        <v>28704</v>
      </c>
      <c r="S51" s="8" t="s">
        <v>731</v>
      </c>
      <c r="T51" s="16" t="e">
        <v>#REF!</v>
      </c>
      <c r="U51" s="12">
        <v>666674006</v>
      </c>
      <c r="V51" s="5" t="s">
        <v>761</v>
      </c>
      <c r="W51" s="5" t="s">
        <v>762</v>
      </c>
      <c r="X51" s="17" t="s">
        <v>738</v>
      </c>
      <c r="Y51" s="15" t="s">
        <v>755</v>
      </c>
      <c r="Z51" s="10"/>
    </row>
    <row r="52" spans="1:26" s="27" customFormat="1" ht="16.5" customHeight="1" x14ac:dyDescent="0.25">
      <c r="A52" s="5">
        <v>25</v>
      </c>
      <c r="B52" s="8" t="s">
        <v>40</v>
      </c>
      <c r="C52" s="5">
        <v>11449</v>
      </c>
      <c r="D52" s="6" t="s">
        <v>96</v>
      </c>
      <c r="E52" s="5" t="s">
        <v>74</v>
      </c>
      <c r="F52" s="15">
        <v>300</v>
      </c>
      <c r="G52" s="8">
        <v>45170</v>
      </c>
      <c r="H52" s="8">
        <v>45525</v>
      </c>
      <c r="I52" s="8"/>
      <c r="J52" s="8" t="str">
        <f t="shared" si="0"/>
        <v>ACTIVO</v>
      </c>
      <c r="K52" s="8"/>
      <c r="L52" s="8">
        <f t="shared" si="1"/>
        <v>45825</v>
      </c>
      <c r="M52" s="8">
        <v>45224</v>
      </c>
      <c r="N52" s="8" t="s">
        <v>50</v>
      </c>
      <c r="O52" s="19" t="s">
        <v>763</v>
      </c>
      <c r="P52" s="8"/>
      <c r="Q52" s="5" t="s">
        <v>730</v>
      </c>
      <c r="R52" s="8">
        <v>30876</v>
      </c>
      <c r="S52" s="8" t="s">
        <v>731</v>
      </c>
      <c r="T52" s="16" t="e">
        <v>#REF!</v>
      </c>
      <c r="U52" s="12">
        <v>631715588</v>
      </c>
      <c r="V52" s="5"/>
      <c r="W52" s="5" t="s">
        <v>764</v>
      </c>
      <c r="X52" s="17" t="s">
        <v>765</v>
      </c>
      <c r="Y52" s="15" t="s">
        <v>766</v>
      </c>
      <c r="Z52" s="5"/>
    </row>
    <row r="53" spans="1:26" s="27" customFormat="1" ht="16.5" customHeight="1" x14ac:dyDescent="0.25">
      <c r="A53" s="5">
        <v>115</v>
      </c>
      <c r="B53" s="9" t="s">
        <v>721</v>
      </c>
      <c r="C53" s="20">
        <v>11536</v>
      </c>
      <c r="D53" s="7" t="s">
        <v>767</v>
      </c>
      <c r="E53" s="5" t="s">
        <v>74</v>
      </c>
      <c r="F53" s="21">
        <v>300</v>
      </c>
      <c r="G53" s="8">
        <v>45551</v>
      </c>
      <c r="H53" s="8">
        <v>45551</v>
      </c>
      <c r="I53" s="7"/>
      <c r="J53" s="9" t="str">
        <f t="shared" si="0"/>
        <v>ACTIVO</v>
      </c>
      <c r="K53" s="7"/>
      <c r="L53" s="7"/>
      <c r="M53" s="9"/>
      <c r="N53" s="7"/>
      <c r="O53" s="22"/>
      <c r="P53" s="23">
        <v>48907</v>
      </c>
      <c r="Q53" s="9" t="s">
        <v>768</v>
      </c>
      <c r="R53" s="11">
        <v>33659</v>
      </c>
      <c r="S53" s="11" t="s">
        <v>733</v>
      </c>
      <c r="T53" s="16" t="e">
        <v>#REF!</v>
      </c>
      <c r="U53" s="16"/>
      <c r="V53" s="28"/>
      <c r="W53" s="10" t="s">
        <v>769</v>
      </c>
      <c r="X53" s="17" t="s">
        <v>770</v>
      </c>
      <c r="Y53" s="18"/>
      <c r="Z53" s="8">
        <v>45612</v>
      </c>
    </row>
    <row r="54" spans="1:26" s="27" customFormat="1" ht="16.5" customHeight="1" x14ac:dyDescent="0.25">
      <c r="A54" s="5">
        <v>41</v>
      </c>
      <c r="B54" s="8" t="s">
        <v>124</v>
      </c>
      <c r="C54" s="5">
        <v>11290</v>
      </c>
      <c r="D54" s="7" t="s">
        <v>123</v>
      </c>
      <c r="E54" s="5" t="s">
        <v>74</v>
      </c>
      <c r="F54" s="15">
        <v>100</v>
      </c>
      <c r="G54" s="8">
        <v>44105</v>
      </c>
      <c r="H54" s="8">
        <v>44743</v>
      </c>
      <c r="I54" s="8"/>
      <c r="J54" s="8" t="str">
        <f t="shared" si="0"/>
        <v>ACTIVO</v>
      </c>
      <c r="K54" s="8"/>
      <c r="L54" s="8">
        <f t="shared" ref="L54:L66" si="2">SUM(H54+300)</f>
        <v>45043</v>
      </c>
      <c r="M54" s="8" t="s">
        <v>55</v>
      </c>
      <c r="N54" s="8"/>
      <c r="O54" s="19"/>
      <c r="P54" s="8"/>
      <c r="Q54" s="5" t="s">
        <v>771</v>
      </c>
      <c r="R54" s="11">
        <v>30900</v>
      </c>
      <c r="S54" s="11" t="s">
        <v>733</v>
      </c>
      <c r="T54" s="16" t="e">
        <v>#REF!</v>
      </c>
      <c r="U54" s="16"/>
      <c r="V54" s="10"/>
      <c r="W54" s="10"/>
      <c r="X54" s="17"/>
      <c r="Y54" s="18"/>
      <c r="Z54" s="8"/>
    </row>
    <row r="55" spans="1:26" s="27" customFormat="1" ht="16.5" customHeight="1" x14ac:dyDescent="0.25">
      <c r="A55" s="5">
        <v>30</v>
      </c>
      <c r="B55" s="24" t="s">
        <v>772</v>
      </c>
      <c r="C55" s="5">
        <v>11401</v>
      </c>
      <c r="D55" s="6" t="s">
        <v>105</v>
      </c>
      <c r="E55" s="5" t="s">
        <v>74</v>
      </c>
      <c r="F55" s="5">
        <v>300</v>
      </c>
      <c r="G55" s="8">
        <v>45579</v>
      </c>
      <c r="H55" s="8"/>
      <c r="I55" s="8"/>
      <c r="J55" s="8" t="str">
        <f t="shared" si="0"/>
        <v>ACTIVO</v>
      </c>
      <c r="K55" s="8"/>
      <c r="L55" s="8">
        <f t="shared" si="2"/>
        <v>300</v>
      </c>
      <c r="M55" s="8">
        <v>45224</v>
      </c>
      <c r="N55" s="8" t="s">
        <v>55</v>
      </c>
      <c r="O55" s="8" t="s">
        <v>106</v>
      </c>
      <c r="P55" s="5" t="s">
        <v>971</v>
      </c>
      <c r="Q55" s="5">
        <v>30</v>
      </c>
      <c r="R55" s="5">
        <v>11401</v>
      </c>
      <c r="S55" s="6" t="s">
        <v>105</v>
      </c>
      <c r="T55" s="5" t="s">
        <v>74</v>
      </c>
      <c r="U55" s="5">
        <v>300</v>
      </c>
      <c r="V55" s="8">
        <v>45104</v>
      </c>
      <c r="W55" s="8">
        <v>45461</v>
      </c>
      <c r="X55" s="8">
        <v>45545</v>
      </c>
      <c r="Y55" s="8" t="str">
        <f>IF(X55&lt;&gt;0,"","ACTIVO")</f>
        <v/>
      </c>
      <c r="Z55" s="8"/>
    </row>
    <row r="56" spans="1:26" s="27" customFormat="1" ht="16.5" customHeight="1" x14ac:dyDescent="0.25">
      <c r="A56" s="5">
        <v>16</v>
      </c>
      <c r="B56" s="8" t="s">
        <v>79</v>
      </c>
      <c r="C56" s="5">
        <v>11499</v>
      </c>
      <c r="D56" s="7" t="s">
        <v>78</v>
      </c>
      <c r="E56" s="5" t="s">
        <v>74</v>
      </c>
      <c r="F56" s="15">
        <v>300</v>
      </c>
      <c r="G56" s="8">
        <v>45091</v>
      </c>
      <c r="H56" s="8">
        <v>45397</v>
      </c>
      <c r="I56" s="8"/>
      <c r="J56" s="8" t="str">
        <f t="shared" si="0"/>
        <v>ACTIVO</v>
      </c>
      <c r="K56" s="8"/>
      <c r="L56" s="8">
        <f t="shared" si="2"/>
        <v>45697</v>
      </c>
      <c r="M56" s="8">
        <v>45224</v>
      </c>
      <c r="N56" s="8" t="s">
        <v>50</v>
      </c>
      <c r="O56" s="19" t="s">
        <v>773</v>
      </c>
      <c r="P56" s="8"/>
      <c r="Q56" s="5" t="s">
        <v>730</v>
      </c>
      <c r="R56" s="8">
        <v>31966</v>
      </c>
      <c r="S56" s="8" t="s">
        <v>731</v>
      </c>
      <c r="T56" s="16" t="e">
        <v>#REF!</v>
      </c>
      <c r="U56" s="12">
        <v>631810246</v>
      </c>
      <c r="V56" s="5" t="s">
        <v>774</v>
      </c>
      <c r="W56" s="5" t="s">
        <v>775</v>
      </c>
      <c r="X56" s="17" t="s">
        <v>765</v>
      </c>
      <c r="Y56" s="15" t="s">
        <v>766</v>
      </c>
      <c r="Z56" s="10"/>
    </row>
    <row r="57" spans="1:26" s="27" customFormat="1" ht="16.5" customHeight="1" x14ac:dyDescent="0.25">
      <c r="A57" s="5">
        <v>28</v>
      </c>
      <c r="B57" s="8" t="s">
        <v>102</v>
      </c>
      <c r="C57" s="5">
        <v>11426</v>
      </c>
      <c r="D57" s="7" t="s">
        <v>101</v>
      </c>
      <c r="E57" s="5" t="s">
        <v>74</v>
      </c>
      <c r="F57" s="15">
        <v>300</v>
      </c>
      <c r="G57" s="8">
        <v>45159</v>
      </c>
      <c r="H57" s="8">
        <v>45159</v>
      </c>
      <c r="I57" s="8">
        <v>45253</v>
      </c>
      <c r="J57" s="8" t="str">
        <f t="shared" si="0"/>
        <v/>
      </c>
      <c r="K57" s="8">
        <f>I57+45</f>
        <v>45298</v>
      </c>
      <c r="L57" s="8">
        <f t="shared" si="2"/>
        <v>45459</v>
      </c>
      <c r="M57" s="8">
        <v>45224</v>
      </c>
      <c r="N57" s="8"/>
      <c r="O57" s="19"/>
      <c r="P57" s="8"/>
      <c r="Q57" s="5" t="s">
        <v>730</v>
      </c>
      <c r="R57" s="8">
        <v>35494</v>
      </c>
      <c r="S57" s="8" t="s">
        <v>731</v>
      </c>
      <c r="T57" s="16" t="e">
        <v>#REF!</v>
      </c>
      <c r="U57" s="12"/>
      <c r="V57" s="5"/>
      <c r="W57" s="5"/>
      <c r="X57" s="17"/>
      <c r="Y57" s="5"/>
      <c r="Z57" s="5"/>
    </row>
    <row r="58" spans="1:26" s="27" customFormat="1" ht="16.5" customHeight="1" x14ac:dyDescent="0.25">
      <c r="A58" s="5">
        <v>26</v>
      </c>
      <c r="B58" s="8" t="s">
        <v>98</v>
      </c>
      <c r="C58" s="5">
        <v>11427</v>
      </c>
      <c r="D58" s="7" t="s">
        <v>97</v>
      </c>
      <c r="E58" s="5" t="s">
        <v>74</v>
      </c>
      <c r="F58" s="15">
        <v>300</v>
      </c>
      <c r="G58" s="8">
        <v>45159</v>
      </c>
      <c r="H58" s="8">
        <v>45159</v>
      </c>
      <c r="I58" s="8">
        <v>45247</v>
      </c>
      <c r="J58" s="8" t="str">
        <f t="shared" si="0"/>
        <v/>
      </c>
      <c r="K58" s="8">
        <f>I58+45</f>
        <v>45292</v>
      </c>
      <c r="L58" s="8">
        <f t="shared" si="2"/>
        <v>45459</v>
      </c>
      <c r="M58" s="8" t="s">
        <v>50</v>
      </c>
      <c r="N58" s="8"/>
      <c r="O58" s="19"/>
      <c r="P58" s="8"/>
      <c r="Q58" s="5" t="s">
        <v>730</v>
      </c>
      <c r="R58" s="8">
        <v>36212</v>
      </c>
      <c r="S58" s="8" t="s">
        <v>731</v>
      </c>
      <c r="T58" s="16" t="e">
        <v>#REF!</v>
      </c>
      <c r="U58" s="12"/>
      <c r="V58" s="5"/>
      <c r="W58" s="5"/>
      <c r="X58" s="17"/>
      <c r="Y58" s="5"/>
      <c r="Z58" s="10"/>
    </row>
    <row r="59" spans="1:26" s="27" customFormat="1" ht="16.5" customHeight="1" x14ac:dyDescent="0.25">
      <c r="A59" s="5">
        <v>38</v>
      </c>
      <c r="B59" s="8" t="s">
        <v>286</v>
      </c>
      <c r="C59" s="5">
        <v>11342</v>
      </c>
      <c r="D59" s="7" t="s">
        <v>118</v>
      </c>
      <c r="E59" s="5" t="s">
        <v>74</v>
      </c>
      <c r="F59" s="15">
        <v>300</v>
      </c>
      <c r="G59" s="8">
        <v>44847</v>
      </c>
      <c r="H59" s="8">
        <v>44847</v>
      </c>
      <c r="I59" s="8">
        <v>45058</v>
      </c>
      <c r="J59" s="8" t="str">
        <f t="shared" si="0"/>
        <v/>
      </c>
      <c r="K59" s="8">
        <f>I59+45</f>
        <v>45103</v>
      </c>
      <c r="L59" s="8">
        <f t="shared" si="2"/>
        <v>45147</v>
      </c>
      <c r="M59" s="8"/>
      <c r="N59" s="8"/>
      <c r="O59" s="19"/>
      <c r="P59" s="8"/>
      <c r="Q59" s="5" t="s">
        <v>730</v>
      </c>
      <c r="R59" s="8" t="s">
        <v>776</v>
      </c>
      <c r="S59" s="8" t="s">
        <v>733</v>
      </c>
      <c r="T59" s="16">
        <v>0</v>
      </c>
      <c r="U59" s="12"/>
      <c r="V59" s="5"/>
      <c r="W59" s="5"/>
      <c r="X59" s="17"/>
      <c r="Y59" s="5"/>
      <c r="Z59" s="10"/>
    </row>
    <row r="60" spans="1:26" s="27" customFormat="1" ht="16.5" customHeight="1" x14ac:dyDescent="0.25">
      <c r="A60" s="5">
        <v>42</v>
      </c>
      <c r="B60" s="8" t="s">
        <v>126</v>
      </c>
      <c r="C60" s="5">
        <v>11363</v>
      </c>
      <c r="D60" s="7" t="s">
        <v>125</v>
      </c>
      <c r="E60" s="5" t="s">
        <v>74</v>
      </c>
      <c r="F60" s="15">
        <v>100</v>
      </c>
      <c r="G60" s="8">
        <v>44655</v>
      </c>
      <c r="H60" s="8">
        <v>45006</v>
      </c>
      <c r="I60" s="8"/>
      <c r="J60" s="8" t="str">
        <f t="shared" si="0"/>
        <v>ACTIVO</v>
      </c>
      <c r="K60" s="8"/>
      <c r="L60" s="8">
        <f t="shared" si="2"/>
        <v>45306</v>
      </c>
      <c r="M60" s="8">
        <v>45224</v>
      </c>
      <c r="N60" s="8" t="s">
        <v>50</v>
      </c>
      <c r="O60" s="19" t="s">
        <v>777</v>
      </c>
      <c r="P60" s="8"/>
      <c r="Q60" s="5" t="s">
        <v>778</v>
      </c>
      <c r="R60" s="11">
        <v>30575</v>
      </c>
      <c r="S60" s="11" t="s">
        <v>733</v>
      </c>
      <c r="T60" s="16" t="e">
        <v>#REF!</v>
      </c>
      <c r="U60" s="16">
        <v>676551213</v>
      </c>
      <c r="V60" s="11" t="s">
        <v>779</v>
      </c>
      <c r="W60" s="11" t="s">
        <v>780</v>
      </c>
      <c r="X60" s="30" t="s">
        <v>781</v>
      </c>
      <c r="Y60" s="18" t="s">
        <v>782</v>
      </c>
      <c r="Z60" s="5"/>
    </row>
    <row r="61" spans="1:26" s="27" customFormat="1" ht="16.5" customHeight="1" x14ac:dyDescent="0.25">
      <c r="A61" s="5">
        <v>43</v>
      </c>
      <c r="B61" s="8" t="s">
        <v>128</v>
      </c>
      <c r="C61" s="5">
        <v>11291</v>
      </c>
      <c r="D61" s="7" t="s">
        <v>127</v>
      </c>
      <c r="E61" s="5" t="s">
        <v>74</v>
      </c>
      <c r="F61" s="15">
        <v>100</v>
      </c>
      <c r="G61" s="8">
        <v>44105</v>
      </c>
      <c r="H61" s="8">
        <v>44760</v>
      </c>
      <c r="I61" s="8"/>
      <c r="J61" s="8" t="str">
        <f t="shared" si="0"/>
        <v>ACTIVO</v>
      </c>
      <c r="K61" s="8"/>
      <c r="L61" s="8">
        <f t="shared" si="2"/>
        <v>45060</v>
      </c>
      <c r="M61" s="8">
        <v>45224</v>
      </c>
      <c r="N61" s="8" t="s">
        <v>50</v>
      </c>
      <c r="O61" s="19" t="s">
        <v>783</v>
      </c>
      <c r="P61" s="8"/>
      <c r="Q61" s="5" t="s">
        <v>730</v>
      </c>
      <c r="R61" s="11">
        <v>26944</v>
      </c>
      <c r="S61" s="11" t="s">
        <v>733</v>
      </c>
      <c r="T61" s="16" t="e">
        <v>#REF!</v>
      </c>
      <c r="U61" s="12">
        <v>602112583</v>
      </c>
      <c r="V61" s="10"/>
      <c r="W61" s="10" t="s">
        <v>784</v>
      </c>
      <c r="X61" s="17" t="s">
        <v>738</v>
      </c>
      <c r="Y61" s="18" t="s">
        <v>755</v>
      </c>
      <c r="Z61" s="5"/>
    </row>
    <row r="62" spans="1:26" s="27" customFormat="1" ht="16.5" customHeight="1" x14ac:dyDescent="0.25">
      <c r="A62" s="5">
        <v>17</v>
      </c>
      <c r="B62" s="8" t="s">
        <v>81</v>
      </c>
      <c r="C62" s="5">
        <v>11502</v>
      </c>
      <c r="D62" s="7" t="s">
        <v>80</v>
      </c>
      <c r="E62" s="5" t="s">
        <v>74</v>
      </c>
      <c r="F62" s="15">
        <v>300</v>
      </c>
      <c r="G62" s="8">
        <v>45076</v>
      </c>
      <c r="H62" s="8">
        <v>45397</v>
      </c>
      <c r="I62" s="8"/>
      <c r="J62" s="8" t="str">
        <f t="shared" si="0"/>
        <v>ACTIVO</v>
      </c>
      <c r="K62" s="8"/>
      <c r="L62" s="8">
        <f t="shared" si="2"/>
        <v>45697</v>
      </c>
      <c r="M62" s="8">
        <v>45224</v>
      </c>
      <c r="N62" s="8" t="s">
        <v>50</v>
      </c>
      <c r="O62" s="19" t="s">
        <v>785</v>
      </c>
      <c r="P62" s="8"/>
      <c r="Q62" s="5" t="s">
        <v>730</v>
      </c>
      <c r="R62" s="8">
        <v>29368</v>
      </c>
      <c r="S62" s="8" t="s">
        <v>731</v>
      </c>
      <c r="T62" s="16" t="e">
        <v>#REF!</v>
      </c>
      <c r="U62" s="12">
        <v>664462492</v>
      </c>
      <c r="V62" s="5" t="s">
        <v>786</v>
      </c>
      <c r="W62" s="5" t="s">
        <v>787</v>
      </c>
      <c r="X62" s="17" t="s">
        <v>738</v>
      </c>
      <c r="Y62" s="15" t="s">
        <v>788</v>
      </c>
      <c r="Z62" s="5"/>
    </row>
    <row r="63" spans="1:26" s="27" customFormat="1" ht="16.5" customHeight="1" x14ac:dyDescent="0.25">
      <c r="A63" s="5">
        <v>39</v>
      </c>
      <c r="B63" s="8" t="s">
        <v>120</v>
      </c>
      <c r="C63" s="5">
        <v>11344</v>
      </c>
      <c r="D63" s="7" t="s">
        <v>119</v>
      </c>
      <c r="E63" s="5" t="s">
        <v>74</v>
      </c>
      <c r="F63" s="15">
        <v>300</v>
      </c>
      <c r="G63" s="8">
        <v>44854</v>
      </c>
      <c r="H63" s="8">
        <v>44854</v>
      </c>
      <c r="I63" s="8">
        <v>45058</v>
      </c>
      <c r="J63" s="8" t="str">
        <f t="shared" si="0"/>
        <v/>
      </c>
      <c r="K63" s="8">
        <f>I63+45</f>
        <v>45103</v>
      </c>
      <c r="L63" s="8">
        <f t="shared" si="2"/>
        <v>45154</v>
      </c>
      <c r="M63" s="8"/>
      <c r="N63" s="8"/>
      <c r="O63" s="19"/>
      <c r="P63" s="8"/>
      <c r="Q63" s="5" t="s">
        <v>730</v>
      </c>
      <c r="R63" s="8">
        <v>30717</v>
      </c>
      <c r="S63" s="8" t="s">
        <v>733</v>
      </c>
      <c r="T63" s="16" t="e">
        <v>#REF!</v>
      </c>
      <c r="U63" s="12"/>
      <c r="V63" s="5"/>
      <c r="W63" s="5"/>
      <c r="X63" s="17"/>
      <c r="Y63" s="5"/>
      <c r="Z63" s="5"/>
    </row>
    <row r="64" spans="1:26" s="27" customFormat="1" ht="16.5" customHeight="1" x14ac:dyDescent="0.25">
      <c r="A64" s="5">
        <v>32</v>
      </c>
      <c r="B64" s="13" t="s">
        <v>39</v>
      </c>
      <c r="C64" s="5">
        <v>11408</v>
      </c>
      <c r="D64" s="7" t="s">
        <v>109</v>
      </c>
      <c r="E64" s="5" t="s">
        <v>74</v>
      </c>
      <c r="F64" s="15">
        <v>300</v>
      </c>
      <c r="G64" s="8">
        <v>45139</v>
      </c>
      <c r="H64" s="8">
        <v>45474</v>
      </c>
      <c r="I64" s="8"/>
      <c r="J64" s="8" t="str">
        <f t="shared" si="0"/>
        <v>ACTIVO</v>
      </c>
      <c r="K64" s="8"/>
      <c r="L64" s="8">
        <f t="shared" si="2"/>
        <v>45774</v>
      </c>
      <c r="M64" s="8">
        <v>45224</v>
      </c>
      <c r="N64" s="8" t="s">
        <v>50</v>
      </c>
      <c r="O64" s="19" t="s">
        <v>789</v>
      </c>
      <c r="P64" s="8"/>
      <c r="Q64" s="5" t="s">
        <v>730</v>
      </c>
      <c r="R64" s="8">
        <v>28032</v>
      </c>
      <c r="S64" s="8" t="s">
        <v>731</v>
      </c>
      <c r="T64" s="16" t="e">
        <v>#REF!</v>
      </c>
      <c r="U64" s="12">
        <v>664736353</v>
      </c>
      <c r="V64" s="5" t="s">
        <v>790</v>
      </c>
      <c r="W64" s="5" t="s">
        <v>791</v>
      </c>
      <c r="X64" s="17" t="s">
        <v>738</v>
      </c>
      <c r="Y64" s="15" t="s">
        <v>788</v>
      </c>
      <c r="Z64" s="5"/>
    </row>
    <row r="65" spans="1:26" s="27" customFormat="1" ht="16.5" customHeight="1" x14ac:dyDescent="0.25">
      <c r="A65" s="5">
        <v>33</v>
      </c>
      <c r="B65" s="8" t="s">
        <v>14</v>
      </c>
      <c r="C65" s="5">
        <v>11428</v>
      </c>
      <c r="D65" s="7" t="s">
        <v>110</v>
      </c>
      <c r="E65" s="5" t="s">
        <v>74</v>
      </c>
      <c r="F65" s="15">
        <v>300</v>
      </c>
      <c r="G65" s="8">
        <v>45159</v>
      </c>
      <c r="H65" s="8">
        <v>45474</v>
      </c>
      <c r="I65" s="8"/>
      <c r="J65" s="8" t="str">
        <f t="shared" si="0"/>
        <v>ACTIVO</v>
      </c>
      <c r="K65" s="8"/>
      <c r="L65" s="8">
        <f t="shared" si="2"/>
        <v>45774</v>
      </c>
      <c r="M65" s="8">
        <v>45224</v>
      </c>
      <c r="N65" s="8" t="s">
        <v>50</v>
      </c>
      <c r="O65" s="19" t="s">
        <v>792</v>
      </c>
      <c r="P65" s="8">
        <v>47211</v>
      </c>
      <c r="Q65" s="5" t="s">
        <v>730</v>
      </c>
      <c r="R65" s="8">
        <v>34344</v>
      </c>
      <c r="S65" s="8" t="s">
        <v>731</v>
      </c>
      <c r="T65" s="16" t="e">
        <v>#REF!</v>
      </c>
      <c r="U65" s="12">
        <v>610945855</v>
      </c>
      <c r="V65" s="5" t="s">
        <v>793</v>
      </c>
      <c r="W65" s="5" t="s">
        <v>794</v>
      </c>
      <c r="X65" s="17" t="s">
        <v>754</v>
      </c>
      <c r="Y65" s="15" t="s">
        <v>766</v>
      </c>
      <c r="Z65" s="5"/>
    </row>
    <row r="66" spans="1:26" s="27" customFormat="1" ht="16.5" customHeight="1" x14ac:dyDescent="0.25">
      <c r="A66" s="5">
        <v>46</v>
      </c>
      <c r="B66" s="8" t="s">
        <v>28</v>
      </c>
      <c r="C66" s="5">
        <v>11478</v>
      </c>
      <c r="D66" s="7" t="s">
        <v>795</v>
      </c>
      <c r="E66" s="5" t="s">
        <v>74</v>
      </c>
      <c r="F66" s="15">
        <v>300</v>
      </c>
      <c r="G66" s="8">
        <v>45363</v>
      </c>
      <c r="H66" s="8">
        <v>45518</v>
      </c>
      <c r="I66" s="8"/>
      <c r="J66" s="8" t="str">
        <f t="shared" si="0"/>
        <v>ACTIVO</v>
      </c>
      <c r="K66" s="8"/>
      <c r="L66" s="8">
        <f t="shared" si="2"/>
        <v>45818</v>
      </c>
      <c r="M66" s="8" t="s">
        <v>55</v>
      </c>
      <c r="N66" s="8" t="s">
        <v>55</v>
      </c>
      <c r="O66" s="15" t="s">
        <v>796</v>
      </c>
      <c r="P66" s="8">
        <v>45808</v>
      </c>
      <c r="Q66" s="5" t="s">
        <v>730</v>
      </c>
      <c r="R66" s="11">
        <v>32462</v>
      </c>
      <c r="S66" s="11" t="s">
        <v>731</v>
      </c>
      <c r="T66" s="16" t="e">
        <v>#REF!</v>
      </c>
      <c r="U66" s="12"/>
      <c r="V66" s="5"/>
      <c r="W66" s="5" t="s">
        <v>797</v>
      </c>
      <c r="X66" s="17" t="s">
        <v>765</v>
      </c>
      <c r="Y66" s="15" t="s">
        <v>755</v>
      </c>
      <c r="Z66" s="8"/>
    </row>
    <row r="67" spans="1:26" s="27" customFormat="1" ht="16.5" customHeight="1" x14ac:dyDescent="0.25">
      <c r="A67" s="5">
        <v>113</v>
      </c>
      <c r="B67" s="8" t="s">
        <v>134</v>
      </c>
      <c r="C67" s="5">
        <v>11534</v>
      </c>
      <c r="D67" s="7" t="s">
        <v>133</v>
      </c>
      <c r="E67" s="5" t="s">
        <v>74</v>
      </c>
      <c r="F67" s="15">
        <v>300</v>
      </c>
      <c r="G67" s="8">
        <v>45544</v>
      </c>
      <c r="H67" s="8">
        <v>45544</v>
      </c>
      <c r="I67" s="8"/>
      <c r="J67" s="8" t="str">
        <f t="shared" si="0"/>
        <v>ACTIVO</v>
      </c>
      <c r="K67" s="8"/>
      <c r="L67" s="8"/>
      <c r="M67" s="8"/>
      <c r="N67" s="8" t="s">
        <v>50</v>
      </c>
      <c r="O67" s="15" t="s">
        <v>798</v>
      </c>
      <c r="P67" s="8">
        <v>46697</v>
      </c>
      <c r="Q67" s="5" t="s">
        <v>730</v>
      </c>
      <c r="R67" s="11">
        <v>31185</v>
      </c>
      <c r="S67" s="11" t="s">
        <v>731</v>
      </c>
      <c r="T67" s="16" t="e">
        <v>#REF!</v>
      </c>
      <c r="U67" s="12">
        <v>622394736</v>
      </c>
      <c r="V67" s="5"/>
      <c r="W67" s="5" t="s">
        <v>799</v>
      </c>
      <c r="X67" s="17"/>
      <c r="Y67" s="15"/>
      <c r="Z67" s="8">
        <v>45605</v>
      </c>
    </row>
    <row r="68" spans="1:26" s="27" customFormat="1" ht="16.5" customHeight="1" x14ac:dyDescent="0.25">
      <c r="A68" s="5">
        <v>29</v>
      </c>
      <c r="B68" s="8" t="s">
        <v>104</v>
      </c>
      <c r="C68" s="5">
        <v>11429</v>
      </c>
      <c r="D68" s="7" t="s">
        <v>103</v>
      </c>
      <c r="E68" s="5" t="s">
        <v>74</v>
      </c>
      <c r="F68" s="15">
        <v>300</v>
      </c>
      <c r="G68" s="8">
        <v>45159</v>
      </c>
      <c r="H68" s="8">
        <v>45159</v>
      </c>
      <c r="I68" s="8">
        <v>45254</v>
      </c>
      <c r="J68" s="8" t="str">
        <f t="shared" ref="J68:J113" si="3">IF(I68&lt;&gt;0,"","ACTIVO")</f>
        <v/>
      </c>
      <c r="K68" s="8">
        <f>I68+45</f>
        <v>45299</v>
      </c>
      <c r="L68" s="8">
        <f t="shared" ref="L68:L76" si="4">SUM(H68+300)</f>
        <v>45459</v>
      </c>
      <c r="M68" s="8">
        <v>45224</v>
      </c>
      <c r="N68" s="8" t="s">
        <v>55</v>
      </c>
      <c r="O68" s="19"/>
      <c r="P68" s="8"/>
      <c r="Q68" s="5" t="s">
        <v>730</v>
      </c>
      <c r="R68" s="8">
        <v>28673</v>
      </c>
      <c r="S68" s="11" t="s">
        <v>731</v>
      </c>
      <c r="T68" s="16" t="e">
        <v>#REF!</v>
      </c>
      <c r="U68" s="12"/>
      <c r="V68" s="5"/>
      <c r="W68" s="5"/>
      <c r="X68" s="17"/>
      <c r="Y68" s="5"/>
      <c r="Z68" s="10"/>
    </row>
    <row r="69" spans="1:26" s="27" customFormat="1" ht="16.5" customHeight="1" x14ac:dyDescent="0.25">
      <c r="A69" s="5">
        <v>45</v>
      </c>
      <c r="B69" s="8" t="s">
        <v>132</v>
      </c>
      <c r="C69" s="5">
        <v>11514</v>
      </c>
      <c r="D69" s="7" t="s">
        <v>131</v>
      </c>
      <c r="E69" s="5" t="s">
        <v>74</v>
      </c>
      <c r="F69" s="15">
        <v>300</v>
      </c>
      <c r="G69" s="8">
        <v>45461</v>
      </c>
      <c r="H69" s="8">
        <v>45461</v>
      </c>
      <c r="I69" s="8"/>
      <c r="J69" s="8" t="str">
        <f t="shared" si="3"/>
        <v>ACTIVO</v>
      </c>
      <c r="K69" s="8"/>
      <c r="L69" s="8">
        <f t="shared" si="4"/>
        <v>45761</v>
      </c>
      <c r="M69" s="8">
        <v>45224</v>
      </c>
      <c r="N69" s="8" t="s">
        <v>55</v>
      </c>
      <c r="O69" s="15" t="s">
        <v>800</v>
      </c>
      <c r="P69" s="8"/>
      <c r="Q69" s="5" t="s">
        <v>730</v>
      </c>
      <c r="R69" s="8">
        <v>34375</v>
      </c>
      <c r="S69" s="11" t="s">
        <v>731</v>
      </c>
      <c r="T69" s="16" t="e">
        <v>#REF!</v>
      </c>
      <c r="U69" s="12">
        <v>603612678</v>
      </c>
      <c r="V69" s="5"/>
      <c r="W69" s="5" t="s">
        <v>801</v>
      </c>
      <c r="X69" s="17" t="s">
        <v>781</v>
      </c>
      <c r="Y69" s="15" t="s">
        <v>766</v>
      </c>
      <c r="Z69" s="10"/>
    </row>
    <row r="70" spans="1:26" s="27" customFormat="1" ht="16.5" customHeight="1" x14ac:dyDescent="0.25">
      <c r="A70" s="5">
        <v>18</v>
      </c>
      <c r="B70" s="8" t="s">
        <v>83</v>
      </c>
      <c r="C70" s="5">
        <v>11500</v>
      </c>
      <c r="D70" s="7" t="s">
        <v>82</v>
      </c>
      <c r="E70" s="5" t="s">
        <v>74</v>
      </c>
      <c r="F70" s="15">
        <v>300</v>
      </c>
      <c r="G70" s="8">
        <v>45104</v>
      </c>
      <c r="H70" s="8">
        <v>45397</v>
      </c>
      <c r="I70" s="8"/>
      <c r="J70" s="8" t="str">
        <f t="shared" si="3"/>
        <v>ACTIVO</v>
      </c>
      <c r="K70" s="8"/>
      <c r="L70" s="8">
        <f t="shared" si="4"/>
        <v>45697</v>
      </c>
      <c r="M70" s="8">
        <v>45224</v>
      </c>
      <c r="N70" s="8" t="s">
        <v>50</v>
      </c>
      <c r="O70" s="19" t="s">
        <v>802</v>
      </c>
      <c r="P70" s="8"/>
      <c r="Q70" s="5" t="s">
        <v>730</v>
      </c>
      <c r="R70" s="8">
        <v>29080</v>
      </c>
      <c r="S70" s="11" t="s">
        <v>731</v>
      </c>
      <c r="T70" s="16" t="e">
        <v>#REF!</v>
      </c>
      <c r="U70" s="12">
        <v>642540412</v>
      </c>
      <c r="V70" s="5" t="s">
        <v>803</v>
      </c>
      <c r="W70" s="5" t="s">
        <v>804</v>
      </c>
      <c r="X70" s="17"/>
      <c r="Y70" s="15"/>
      <c r="Z70" s="5"/>
    </row>
    <row r="71" spans="1:26" s="27" customFormat="1" ht="16.5" customHeight="1" x14ac:dyDescent="0.25">
      <c r="A71" s="5">
        <v>31</v>
      </c>
      <c r="B71" s="8" t="s">
        <v>108</v>
      </c>
      <c r="C71" s="5">
        <v>11501</v>
      </c>
      <c r="D71" s="7" t="s">
        <v>107</v>
      </c>
      <c r="E71" s="5" t="s">
        <v>74</v>
      </c>
      <c r="F71" s="15">
        <v>300</v>
      </c>
      <c r="G71" s="8">
        <v>45071</v>
      </c>
      <c r="H71" s="8">
        <v>45397</v>
      </c>
      <c r="I71" s="8"/>
      <c r="J71" s="8" t="str">
        <f t="shared" si="3"/>
        <v>ACTIVO</v>
      </c>
      <c r="K71" s="8"/>
      <c r="L71" s="8">
        <f t="shared" si="4"/>
        <v>45697</v>
      </c>
      <c r="M71" s="8">
        <v>45224</v>
      </c>
      <c r="N71" s="8" t="s">
        <v>50</v>
      </c>
      <c r="O71" s="19" t="s">
        <v>805</v>
      </c>
      <c r="P71" s="8"/>
      <c r="Q71" s="5" t="s">
        <v>730</v>
      </c>
      <c r="R71" s="8">
        <v>26538</v>
      </c>
      <c r="S71" s="11" t="s">
        <v>731</v>
      </c>
      <c r="T71" s="16" t="e">
        <v>#REF!</v>
      </c>
      <c r="U71" s="12">
        <v>615520135</v>
      </c>
      <c r="V71" s="5" t="s">
        <v>806</v>
      </c>
      <c r="W71" s="5" t="s">
        <v>807</v>
      </c>
      <c r="X71" s="17" t="s">
        <v>808</v>
      </c>
      <c r="Y71" s="15" t="s">
        <v>809</v>
      </c>
      <c r="Z71" s="10"/>
    </row>
    <row r="72" spans="1:26" s="27" customFormat="1" ht="16.5" customHeight="1" x14ac:dyDescent="0.25">
      <c r="A72" s="5">
        <v>19</v>
      </c>
      <c r="B72" s="8" t="s">
        <v>85</v>
      </c>
      <c r="C72" s="5">
        <v>11495</v>
      </c>
      <c r="D72" s="7" t="s">
        <v>84</v>
      </c>
      <c r="E72" s="5" t="s">
        <v>74</v>
      </c>
      <c r="F72" s="15">
        <v>300</v>
      </c>
      <c r="G72" s="8">
        <v>45076</v>
      </c>
      <c r="H72" s="8">
        <v>45397</v>
      </c>
      <c r="I72" s="8"/>
      <c r="J72" s="8" t="str">
        <f t="shared" si="3"/>
        <v>ACTIVO</v>
      </c>
      <c r="K72" s="8"/>
      <c r="L72" s="8">
        <f t="shared" si="4"/>
        <v>45697</v>
      </c>
      <c r="M72" s="8">
        <v>45224</v>
      </c>
      <c r="N72" s="8" t="s">
        <v>50</v>
      </c>
      <c r="O72" s="19" t="s">
        <v>810</v>
      </c>
      <c r="P72" s="8"/>
      <c r="Q72" s="5" t="s">
        <v>730</v>
      </c>
      <c r="R72" s="8">
        <v>29801</v>
      </c>
      <c r="S72" s="11" t="s">
        <v>731</v>
      </c>
      <c r="T72" s="16" t="e">
        <v>#REF!</v>
      </c>
      <c r="U72" s="12">
        <v>688794270</v>
      </c>
      <c r="V72" s="5" t="s">
        <v>811</v>
      </c>
      <c r="W72" s="5" t="s">
        <v>812</v>
      </c>
      <c r="X72" s="17" t="s">
        <v>738</v>
      </c>
      <c r="Y72" s="15" t="s">
        <v>813</v>
      </c>
      <c r="Z72" s="10"/>
    </row>
    <row r="73" spans="1:26" s="27" customFormat="1" ht="16.5" customHeight="1" x14ac:dyDescent="0.25">
      <c r="A73" s="5">
        <v>20</v>
      </c>
      <c r="B73" s="8" t="s">
        <v>87</v>
      </c>
      <c r="C73" s="5">
        <v>11496</v>
      </c>
      <c r="D73" s="7" t="s">
        <v>86</v>
      </c>
      <c r="E73" s="5" t="s">
        <v>74</v>
      </c>
      <c r="F73" s="15">
        <v>300</v>
      </c>
      <c r="G73" s="8">
        <v>45071</v>
      </c>
      <c r="H73" s="8">
        <v>45397</v>
      </c>
      <c r="I73" s="8"/>
      <c r="J73" s="8" t="str">
        <f t="shared" si="3"/>
        <v>ACTIVO</v>
      </c>
      <c r="K73" s="8"/>
      <c r="L73" s="8">
        <f t="shared" si="4"/>
        <v>45697</v>
      </c>
      <c r="M73" s="8">
        <v>45224</v>
      </c>
      <c r="N73" s="8" t="s">
        <v>50</v>
      </c>
      <c r="O73" s="19" t="s">
        <v>814</v>
      </c>
      <c r="P73" s="8"/>
      <c r="Q73" s="5" t="s">
        <v>730</v>
      </c>
      <c r="R73" s="8">
        <v>29458</v>
      </c>
      <c r="S73" s="11" t="s">
        <v>731</v>
      </c>
      <c r="T73" s="16" t="e">
        <v>#REF!</v>
      </c>
      <c r="U73" s="12">
        <v>615399254</v>
      </c>
      <c r="V73" s="5" t="s">
        <v>815</v>
      </c>
      <c r="W73" s="5" t="s">
        <v>816</v>
      </c>
      <c r="X73" s="17" t="s">
        <v>754</v>
      </c>
      <c r="Y73" s="15" t="s">
        <v>766</v>
      </c>
      <c r="Z73" s="5"/>
    </row>
    <row r="74" spans="1:26" s="27" customFormat="1" ht="16.5" customHeight="1" x14ac:dyDescent="0.25">
      <c r="A74" s="5">
        <v>21</v>
      </c>
      <c r="B74" s="8" t="s">
        <v>89</v>
      </c>
      <c r="C74" s="5">
        <v>11493</v>
      </c>
      <c r="D74" s="7" t="s">
        <v>88</v>
      </c>
      <c r="E74" s="5" t="s">
        <v>74</v>
      </c>
      <c r="F74" s="15">
        <v>300</v>
      </c>
      <c r="G74" s="8">
        <v>45092</v>
      </c>
      <c r="H74" s="8">
        <v>45397</v>
      </c>
      <c r="I74" s="8"/>
      <c r="J74" s="8" t="str">
        <f t="shared" si="3"/>
        <v>ACTIVO</v>
      </c>
      <c r="K74" s="8"/>
      <c r="L74" s="8">
        <f t="shared" si="4"/>
        <v>45697</v>
      </c>
      <c r="M74" s="8">
        <v>45224</v>
      </c>
      <c r="N74" s="8" t="s">
        <v>50</v>
      </c>
      <c r="O74" s="19" t="s">
        <v>817</v>
      </c>
      <c r="P74" s="8"/>
      <c r="Q74" s="5" t="s">
        <v>730</v>
      </c>
      <c r="R74" s="8">
        <v>31452</v>
      </c>
      <c r="S74" s="11" t="s">
        <v>731</v>
      </c>
      <c r="T74" s="16" t="e">
        <v>#REF!</v>
      </c>
      <c r="U74" s="12">
        <v>674445220</v>
      </c>
      <c r="V74" s="5" t="s">
        <v>818</v>
      </c>
      <c r="W74" s="5" t="s">
        <v>819</v>
      </c>
      <c r="X74" s="17" t="s">
        <v>754</v>
      </c>
      <c r="Y74" s="15" t="s">
        <v>820</v>
      </c>
      <c r="Z74" s="5"/>
    </row>
    <row r="75" spans="1:26" s="27" customFormat="1" ht="16.5" customHeight="1" x14ac:dyDescent="0.25">
      <c r="A75" s="5">
        <v>34</v>
      </c>
      <c r="B75" s="8" t="s">
        <v>17</v>
      </c>
      <c r="C75" s="5">
        <v>11406</v>
      </c>
      <c r="D75" s="7" t="s">
        <v>111</v>
      </c>
      <c r="E75" s="5" t="s">
        <v>74</v>
      </c>
      <c r="F75" s="15">
        <v>300</v>
      </c>
      <c r="G75" s="8">
        <v>45139</v>
      </c>
      <c r="H75" s="8">
        <v>45474</v>
      </c>
      <c r="I75" s="8"/>
      <c r="J75" s="8" t="str">
        <f t="shared" si="3"/>
        <v>ACTIVO</v>
      </c>
      <c r="K75" s="8"/>
      <c r="L75" s="8">
        <f t="shared" si="4"/>
        <v>45774</v>
      </c>
      <c r="M75" s="8">
        <v>45224</v>
      </c>
      <c r="N75" s="8" t="s">
        <v>50</v>
      </c>
      <c r="O75" s="19" t="s">
        <v>821</v>
      </c>
      <c r="P75" s="8"/>
      <c r="Q75" s="5" t="s">
        <v>730</v>
      </c>
      <c r="R75" s="8">
        <v>31323</v>
      </c>
      <c r="S75" s="11" t="s">
        <v>731</v>
      </c>
      <c r="T75" s="16" t="e">
        <v>#REF!</v>
      </c>
      <c r="U75" s="12">
        <v>622584557</v>
      </c>
      <c r="V75" s="5" t="s">
        <v>822</v>
      </c>
      <c r="W75" s="5" t="s">
        <v>823</v>
      </c>
      <c r="X75" s="17" t="s">
        <v>824</v>
      </c>
      <c r="Y75" s="15" t="s">
        <v>825</v>
      </c>
      <c r="Z75" s="10"/>
    </row>
    <row r="76" spans="1:26" s="27" customFormat="1" ht="16.5" customHeight="1" x14ac:dyDescent="0.25">
      <c r="A76" s="5">
        <v>22</v>
      </c>
      <c r="B76" s="8" t="s">
        <v>91</v>
      </c>
      <c r="C76" s="5">
        <v>11497</v>
      </c>
      <c r="D76" s="7" t="s">
        <v>90</v>
      </c>
      <c r="E76" s="5" t="s">
        <v>74</v>
      </c>
      <c r="F76" s="15">
        <v>300</v>
      </c>
      <c r="G76" s="8">
        <v>45091</v>
      </c>
      <c r="H76" s="8">
        <v>45397</v>
      </c>
      <c r="I76" s="8"/>
      <c r="J76" s="8" t="str">
        <f t="shared" si="3"/>
        <v>ACTIVO</v>
      </c>
      <c r="K76" s="8"/>
      <c r="L76" s="8">
        <f t="shared" si="4"/>
        <v>45697</v>
      </c>
      <c r="M76" s="8">
        <v>45224</v>
      </c>
      <c r="N76" s="8" t="s">
        <v>50</v>
      </c>
      <c r="O76" s="19" t="s">
        <v>826</v>
      </c>
      <c r="P76" s="8"/>
      <c r="Q76" s="5" t="s">
        <v>730</v>
      </c>
      <c r="R76" s="8">
        <v>34602</v>
      </c>
      <c r="S76" s="11" t="s">
        <v>731</v>
      </c>
      <c r="T76" s="16" t="e">
        <v>#REF!</v>
      </c>
      <c r="U76" s="12">
        <v>698507329</v>
      </c>
      <c r="V76" s="5" t="s">
        <v>827</v>
      </c>
      <c r="W76" s="5" t="s">
        <v>828</v>
      </c>
      <c r="X76" s="17" t="s">
        <v>765</v>
      </c>
      <c r="Y76" s="15" t="s">
        <v>829</v>
      </c>
      <c r="Z76" s="10"/>
    </row>
    <row r="77" spans="1:26" s="27" customFormat="1" ht="16.5" customHeight="1" x14ac:dyDescent="0.25">
      <c r="A77" s="5">
        <v>14</v>
      </c>
      <c r="B77" s="8" t="s">
        <v>36</v>
      </c>
      <c r="C77" s="5">
        <v>11531</v>
      </c>
      <c r="D77" s="7" t="s">
        <v>73</v>
      </c>
      <c r="E77" s="5" t="s">
        <v>74</v>
      </c>
      <c r="F77" s="15">
        <v>300</v>
      </c>
      <c r="G77" s="8">
        <v>45496</v>
      </c>
      <c r="H77" s="8">
        <v>45496</v>
      </c>
      <c r="I77" s="8"/>
      <c r="J77" s="8" t="str">
        <f t="shared" si="3"/>
        <v>ACTIVO</v>
      </c>
      <c r="K77" s="8"/>
      <c r="L77" s="8">
        <v>45796</v>
      </c>
      <c r="M77" s="8" t="s">
        <v>55</v>
      </c>
      <c r="N77" s="8"/>
      <c r="O77" s="15" t="s">
        <v>830</v>
      </c>
      <c r="P77" s="8">
        <v>46807</v>
      </c>
      <c r="Q77" s="5" t="s">
        <v>730</v>
      </c>
      <c r="R77" s="8">
        <v>34940</v>
      </c>
      <c r="S77" s="11" t="s">
        <v>731</v>
      </c>
      <c r="T77" s="16" t="e">
        <v>#REF!</v>
      </c>
      <c r="U77" s="12">
        <v>695488858</v>
      </c>
      <c r="V77" s="5"/>
      <c r="W77" s="5" t="s">
        <v>831</v>
      </c>
      <c r="X77" s="17" t="s">
        <v>832</v>
      </c>
      <c r="Y77" s="15"/>
      <c r="Z77" s="8"/>
    </row>
    <row r="78" spans="1:26" s="27" customFormat="1" ht="16.5" customHeight="1" x14ac:dyDescent="0.25">
      <c r="A78" s="5">
        <v>24</v>
      </c>
      <c r="B78" s="8" t="s">
        <v>9</v>
      </c>
      <c r="C78" s="5">
        <v>11469</v>
      </c>
      <c r="D78" s="7" t="s">
        <v>94</v>
      </c>
      <c r="E78" s="5" t="s">
        <v>74</v>
      </c>
      <c r="F78" s="15">
        <v>300</v>
      </c>
      <c r="G78" s="8">
        <v>45323</v>
      </c>
      <c r="H78" s="8">
        <v>45323</v>
      </c>
      <c r="I78" s="8"/>
      <c r="J78" s="8" t="str">
        <f t="shared" si="3"/>
        <v>ACTIVO</v>
      </c>
      <c r="K78" s="8"/>
      <c r="L78" s="8">
        <f>SUM(H78+300)</f>
        <v>45623</v>
      </c>
      <c r="M78" s="8" t="s">
        <v>55</v>
      </c>
      <c r="N78" s="8" t="s">
        <v>95</v>
      </c>
      <c r="O78" s="19" t="s">
        <v>833</v>
      </c>
      <c r="P78" s="8"/>
      <c r="Q78" s="5" t="s">
        <v>778</v>
      </c>
      <c r="R78" s="8">
        <v>28189</v>
      </c>
      <c r="S78" s="11" t="s">
        <v>733</v>
      </c>
      <c r="T78" s="16" t="e">
        <v>#REF!</v>
      </c>
      <c r="U78" s="12">
        <v>663912772</v>
      </c>
      <c r="V78" s="25" t="s">
        <v>834</v>
      </c>
      <c r="W78" s="5" t="s">
        <v>835</v>
      </c>
      <c r="X78" s="17" t="s">
        <v>824</v>
      </c>
      <c r="Y78" s="15" t="s">
        <v>836</v>
      </c>
      <c r="Z78" s="11">
        <v>45587</v>
      </c>
    </row>
    <row r="79" spans="1:26" s="27" customFormat="1" ht="16.5" customHeight="1" x14ac:dyDescent="0.25">
      <c r="A79" s="5">
        <v>23</v>
      </c>
      <c r="B79" s="8" t="s">
        <v>93</v>
      </c>
      <c r="C79" s="5">
        <v>11498</v>
      </c>
      <c r="D79" s="7" t="s">
        <v>92</v>
      </c>
      <c r="E79" s="5" t="s">
        <v>74</v>
      </c>
      <c r="F79" s="15">
        <v>300</v>
      </c>
      <c r="G79" s="8">
        <v>45071</v>
      </c>
      <c r="H79" s="8">
        <v>45397</v>
      </c>
      <c r="I79" s="8"/>
      <c r="J79" s="8" t="str">
        <f t="shared" si="3"/>
        <v>ACTIVO</v>
      </c>
      <c r="K79" s="8"/>
      <c r="L79" s="8">
        <f>SUM(H79+300)</f>
        <v>45697</v>
      </c>
      <c r="M79" s="8">
        <v>45224</v>
      </c>
      <c r="N79" s="8" t="s">
        <v>50</v>
      </c>
      <c r="O79" s="19" t="s">
        <v>837</v>
      </c>
      <c r="P79" s="8"/>
      <c r="Q79" s="5" t="s">
        <v>730</v>
      </c>
      <c r="R79" s="8">
        <v>30304</v>
      </c>
      <c r="S79" s="11" t="s">
        <v>731</v>
      </c>
      <c r="T79" s="16" t="e">
        <v>#REF!</v>
      </c>
      <c r="U79" s="12">
        <v>626396120</v>
      </c>
      <c r="V79" s="5"/>
      <c r="W79" s="5" t="s">
        <v>838</v>
      </c>
      <c r="X79" s="17" t="s">
        <v>332</v>
      </c>
      <c r="Y79" s="15" t="s">
        <v>839</v>
      </c>
      <c r="Z79" s="10"/>
    </row>
    <row r="80" spans="1:26" s="27" customFormat="1" ht="16.5" customHeight="1" x14ac:dyDescent="0.25">
      <c r="A80" s="5">
        <v>27</v>
      </c>
      <c r="B80" s="8" t="s">
        <v>100</v>
      </c>
      <c r="C80" s="5">
        <v>11443</v>
      </c>
      <c r="D80" s="7" t="s">
        <v>99</v>
      </c>
      <c r="E80" s="5" t="s">
        <v>74</v>
      </c>
      <c r="F80" s="15">
        <v>300</v>
      </c>
      <c r="G80" s="8">
        <v>45168</v>
      </c>
      <c r="H80" s="8">
        <v>45168</v>
      </c>
      <c r="I80" s="8">
        <v>45247</v>
      </c>
      <c r="J80" s="8" t="str">
        <f t="shared" si="3"/>
        <v/>
      </c>
      <c r="K80" s="8">
        <f>I80+45</f>
        <v>45292</v>
      </c>
      <c r="L80" s="8">
        <f>SUM(H80+300)</f>
        <v>45468</v>
      </c>
      <c r="M80" s="8">
        <v>45224</v>
      </c>
      <c r="N80" s="8" t="s">
        <v>55</v>
      </c>
      <c r="O80" s="19"/>
      <c r="P80" s="8"/>
      <c r="Q80" s="5" t="s">
        <v>730</v>
      </c>
      <c r="R80" s="8">
        <v>26042</v>
      </c>
      <c r="S80" s="11" t="s">
        <v>731</v>
      </c>
      <c r="T80" s="16" t="e">
        <v>#REF!</v>
      </c>
      <c r="U80" s="12"/>
      <c r="V80" s="5"/>
      <c r="W80" s="5"/>
      <c r="X80" s="17"/>
      <c r="Y80" s="5"/>
      <c r="Z80" s="5"/>
    </row>
    <row r="81" spans="1:26" s="27" customFormat="1" ht="16.5" customHeight="1" x14ac:dyDescent="0.25">
      <c r="A81" s="5">
        <v>40</v>
      </c>
      <c r="B81" s="8" t="s">
        <v>122</v>
      </c>
      <c r="C81" s="5">
        <v>11312</v>
      </c>
      <c r="D81" s="7" t="s">
        <v>121</v>
      </c>
      <c r="E81" s="5" t="s">
        <v>74</v>
      </c>
      <c r="F81" s="15">
        <v>300</v>
      </c>
      <c r="G81" s="8">
        <v>44797</v>
      </c>
      <c r="H81" s="8">
        <v>44797</v>
      </c>
      <c r="I81" s="8">
        <v>45058</v>
      </c>
      <c r="J81" s="8" t="str">
        <f t="shared" si="3"/>
        <v/>
      </c>
      <c r="K81" s="8">
        <f>I81+45</f>
        <v>45103</v>
      </c>
      <c r="L81" s="8">
        <f>SUM(H81+300)</f>
        <v>45097</v>
      </c>
      <c r="M81" s="8"/>
      <c r="N81" s="8"/>
      <c r="O81" s="19"/>
      <c r="P81" s="8"/>
      <c r="Q81" s="5" t="s">
        <v>730</v>
      </c>
      <c r="R81" s="8" t="s">
        <v>840</v>
      </c>
      <c r="S81" s="11" t="s">
        <v>733</v>
      </c>
      <c r="T81" s="16">
        <v>0</v>
      </c>
      <c r="U81" s="12"/>
      <c r="V81" s="5"/>
      <c r="W81" s="5"/>
      <c r="X81" s="17"/>
      <c r="Y81" s="5"/>
      <c r="Z81" s="5"/>
    </row>
    <row r="82" spans="1:26" s="27" customFormat="1" ht="16.5" customHeight="1" x14ac:dyDescent="0.25">
      <c r="A82" s="5">
        <v>114</v>
      </c>
      <c r="B82" s="9" t="s">
        <v>698</v>
      </c>
      <c r="C82" s="9">
        <v>11535</v>
      </c>
      <c r="D82" s="7" t="s">
        <v>722</v>
      </c>
      <c r="E82" s="5" t="s">
        <v>74</v>
      </c>
      <c r="F82" s="21">
        <v>300</v>
      </c>
      <c r="G82" s="8">
        <v>45547</v>
      </c>
      <c r="H82" s="8">
        <v>45547</v>
      </c>
      <c r="I82" s="7"/>
      <c r="J82" s="9" t="str">
        <f t="shared" si="3"/>
        <v>ACTIVO</v>
      </c>
      <c r="K82" s="7"/>
      <c r="L82" s="7"/>
      <c r="M82" s="9" t="s">
        <v>55</v>
      </c>
      <c r="N82" s="7"/>
      <c r="O82" s="22" t="s">
        <v>841</v>
      </c>
      <c r="P82" s="23">
        <v>48856</v>
      </c>
      <c r="Q82" s="5" t="s">
        <v>730</v>
      </c>
      <c r="R82" s="11">
        <v>29363</v>
      </c>
      <c r="S82" s="11" t="s">
        <v>731</v>
      </c>
      <c r="T82" s="16" t="e">
        <v>#REF!</v>
      </c>
      <c r="U82" s="16">
        <v>692497261</v>
      </c>
      <c r="V82" s="28"/>
      <c r="W82" s="10" t="s">
        <v>842</v>
      </c>
      <c r="X82" s="17"/>
      <c r="Y82" s="18"/>
      <c r="Z82" s="8">
        <v>45608</v>
      </c>
    </row>
    <row r="83" spans="1:26" s="27" customFormat="1" ht="16.5" customHeight="1" x14ac:dyDescent="0.25">
      <c r="A83" s="5">
        <v>44</v>
      </c>
      <c r="B83" s="8" t="s">
        <v>130</v>
      </c>
      <c r="C83" s="5">
        <v>11504</v>
      </c>
      <c r="D83" s="7" t="s">
        <v>129</v>
      </c>
      <c r="E83" s="5" t="s">
        <v>74</v>
      </c>
      <c r="F83" s="15">
        <v>100</v>
      </c>
      <c r="G83" s="8">
        <v>45089</v>
      </c>
      <c r="H83" s="8">
        <v>45413</v>
      </c>
      <c r="I83" s="8"/>
      <c r="J83" s="8" t="str">
        <f t="shared" si="3"/>
        <v>ACTIVO</v>
      </c>
      <c r="K83" s="8"/>
      <c r="L83" s="8">
        <f t="shared" ref="L83:L88" si="5">SUM(H83+300)</f>
        <v>45713</v>
      </c>
      <c r="M83" s="8">
        <v>45224</v>
      </c>
      <c r="N83" s="8" t="s">
        <v>50</v>
      </c>
      <c r="O83" s="19" t="s">
        <v>843</v>
      </c>
      <c r="P83" s="8"/>
      <c r="Q83" s="5" t="s">
        <v>844</v>
      </c>
      <c r="R83" s="8">
        <v>25431</v>
      </c>
      <c r="S83" s="11" t="s">
        <v>733</v>
      </c>
      <c r="T83" s="16" t="e">
        <v>#REF!</v>
      </c>
      <c r="U83" s="12">
        <v>661574532</v>
      </c>
      <c r="V83" s="25" t="s">
        <v>845</v>
      </c>
      <c r="W83" s="5" t="s">
        <v>846</v>
      </c>
      <c r="X83" s="17" t="s">
        <v>824</v>
      </c>
      <c r="Y83" s="15" t="s">
        <v>766</v>
      </c>
      <c r="Z83" s="10"/>
    </row>
    <row r="84" spans="1:26" s="27" customFormat="1" ht="16.5" customHeight="1" x14ac:dyDescent="0.25">
      <c r="A84" s="5">
        <v>35</v>
      </c>
      <c r="B84" s="8" t="s">
        <v>113</v>
      </c>
      <c r="C84" s="5">
        <v>11407</v>
      </c>
      <c r="D84" s="7" t="s">
        <v>112</v>
      </c>
      <c r="E84" s="5" t="s">
        <v>74</v>
      </c>
      <c r="F84" s="15">
        <v>300</v>
      </c>
      <c r="G84" s="8">
        <v>45139</v>
      </c>
      <c r="H84" s="8">
        <v>45474</v>
      </c>
      <c r="I84" s="8"/>
      <c r="J84" s="8" t="str">
        <f t="shared" si="3"/>
        <v>ACTIVO</v>
      </c>
      <c r="K84" s="8"/>
      <c r="L84" s="8">
        <f t="shared" si="5"/>
        <v>45774</v>
      </c>
      <c r="M84" s="8">
        <v>45224</v>
      </c>
      <c r="N84" s="8" t="s">
        <v>50</v>
      </c>
      <c r="O84" s="19" t="s">
        <v>847</v>
      </c>
      <c r="P84" s="8"/>
      <c r="Q84" s="5" t="s">
        <v>730</v>
      </c>
      <c r="R84" s="8">
        <v>35364</v>
      </c>
      <c r="S84" s="11" t="s">
        <v>731</v>
      </c>
      <c r="T84" s="16" t="e">
        <v>#REF!</v>
      </c>
      <c r="U84" s="12">
        <v>622451279</v>
      </c>
      <c r="V84" s="5" t="s">
        <v>848</v>
      </c>
      <c r="W84" s="5" t="s">
        <v>849</v>
      </c>
      <c r="X84" s="17" t="s">
        <v>850</v>
      </c>
      <c r="Y84" s="15" t="s">
        <v>851</v>
      </c>
      <c r="Z84" s="5"/>
    </row>
    <row r="85" spans="1:26" s="27" customFormat="1" ht="16.5" customHeight="1" x14ac:dyDescent="0.25">
      <c r="A85" s="5">
        <v>55</v>
      </c>
      <c r="B85" s="8" t="s">
        <v>12</v>
      </c>
      <c r="C85" s="5">
        <v>11430</v>
      </c>
      <c r="D85" s="6" t="s">
        <v>145</v>
      </c>
      <c r="E85" s="5" t="s">
        <v>136</v>
      </c>
      <c r="F85" s="15">
        <v>300</v>
      </c>
      <c r="G85" s="8">
        <v>44893</v>
      </c>
      <c r="H85" s="8">
        <v>45525</v>
      </c>
      <c r="I85" s="8"/>
      <c r="J85" s="8" t="str">
        <f t="shared" si="3"/>
        <v>ACTIVO</v>
      </c>
      <c r="K85" s="8"/>
      <c r="L85" s="8">
        <f t="shared" si="5"/>
        <v>45825</v>
      </c>
      <c r="M85" s="8">
        <v>45224</v>
      </c>
      <c r="N85" s="8" t="s">
        <v>50</v>
      </c>
      <c r="O85" s="19" t="s">
        <v>852</v>
      </c>
      <c r="P85" s="8"/>
      <c r="Q85" s="5" t="s">
        <v>730</v>
      </c>
      <c r="R85" s="8">
        <v>37442</v>
      </c>
      <c r="S85" s="8" t="s">
        <v>733</v>
      </c>
      <c r="T85" s="16" t="e">
        <v>#REF!</v>
      </c>
      <c r="U85" s="12">
        <v>644362605</v>
      </c>
      <c r="V85" s="5" t="s">
        <v>853</v>
      </c>
      <c r="W85" s="5" t="s">
        <v>854</v>
      </c>
      <c r="X85" s="17" t="s">
        <v>738</v>
      </c>
      <c r="Y85" s="15" t="s">
        <v>766</v>
      </c>
      <c r="Z85" s="5"/>
    </row>
    <row r="86" spans="1:26" s="27" customFormat="1" ht="16.5" customHeight="1" x14ac:dyDescent="0.25">
      <c r="A86" s="5">
        <v>53</v>
      </c>
      <c r="B86" s="8" t="s">
        <v>15</v>
      </c>
      <c r="C86" s="5">
        <v>11431</v>
      </c>
      <c r="D86" s="7" t="s">
        <v>143</v>
      </c>
      <c r="E86" s="5" t="s">
        <v>136</v>
      </c>
      <c r="F86" s="15">
        <v>300</v>
      </c>
      <c r="G86" s="8">
        <v>44893</v>
      </c>
      <c r="H86" s="8">
        <v>45525</v>
      </c>
      <c r="I86" s="8"/>
      <c r="J86" s="8" t="str">
        <f t="shared" si="3"/>
        <v>ACTIVO</v>
      </c>
      <c r="K86" s="8"/>
      <c r="L86" s="8">
        <f t="shared" si="5"/>
        <v>45825</v>
      </c>
      <c r="M86" s="8">
        <v>45224</v>
      </c>
      <c r="N86" s="8" t="s">
        <v>50</v>
      </c>
      <c r="O86" s="19" t="s">
        <v>855</v>
      </c>
      <c r="P86" s="8"/>
      <c r="Q86" s="5" t="s">
        <v>730</v>
      </c>
      <c r="R86" s="8">
        <v>32110</v>
      </c>
      <c r="S86" s="8" t="s">
        <v>731</v>
      </c>
      <c r="T86" s="16" t="e">
        <v>#REF!</v>
      </c>
      <c r="U86" s="12">
        <v>632221713</v>
      </c>
      <c r="V86" s="5" t="s">
        <v>856</v>
      </c>
      <c r="W86" s="5" t="s">
        <v>857</v>
      </c>
      <c r="X86" s="17" t="s">
        <v>754</v>
      </c>
      <c r="Y86" s="15" t="s">
        <v>766</v>
      </c>
      <c r="Z86" s="10"/>
    </row>
    <row r="87" spans="1:26" s="27" customFormat="1" ht="16.5" customHeight="1" x14ac:dyDescent="0.25">
      <c r="A87" s="5">
        <v>61</v>
      </c>
      <c r="B87" s="8" t="s">
        <v>13</v>
      </c>
      <c r="C87" s="5">
        <v>11448</v>
      </c>
      <c r="D87" s="6" t="s">
        <v>151</v>
      </c>
      <c r="E87" s="5" t="s">
        <v>136</v>
      </c>
      <c r="F87" s="15">
        <v>300</v>
      </c>
      <c r="G87" s="8">
        <v>45174</v>
      </c>
      <c r="H87" s="8">
        <v>45525</v>
      </c>
      <c r="I87" s="8"/>
      <c r="J87" s="8" t="str">
        <f t="shared" si="3"/>
        <v>ACTIVO</v>
      </c>
      <c r="K87" s="8"/>
      <c r="L87" s="8">
        <f t="shared" si="5"/>
        <v>45825</v>
      </c>
      <c r="M87" s="8">
        <v>45224</v>
      </c>
      <c r="N87" s="8" t="s">
        <v>50</v>
      </c>
      <c r="O87" s="19" t="s">
        <v>858</v>
      </c>
      <c r="P87" s="8"/>
      <c r="Q87" s="5" t="s">
        <v>730</v>
      </c>
      <c r="R87" s="8">
        <v>37511</v>
      </c>
      <c r="S87" s="8" t="s">
        <v>731</v>
      </c>
      <c r="T87" s="16" t="e">
        <v>#REF!</v>
      </c>
      <c r="U87" s="12"/>
      <c r="V87" s="5"/>
      <c r="W87" s="5" t="s">
        <v>859</v>
      </c>
      <c r="X87" s="17" t="s">
        <v>824</v>
      </c>
      <c r="Y87" s="15" t="s">
        <v>766</v>
      </c>
      <c r="Z87" s="5"/>
    </row>
    <row r="88" spans="1:26" s="27" customFormat="1" ht="16.5" customHeight="1" x14ac:dyDescent="0.25">
      <c r="A88" s="5">
        <v>56</v>
      </c>
      <c r="B88" s="8" t="s">
        <v>23</v>
      </c>
      <c r="C88" s="5">
        <v>11433</v>
      </c>
      <c r="D88" s="6" t="s">
        <v>146</v>
      </c>
      <c r="E88" s="5" t="s">
        <v>136</v>
      </c>
      <c r="F88" s="15">
        <v>300</v>
      </c>
      <c r="G88" s="8">
        <v>44893</v>
      </c>
      <c r="H88" s="8">
        <v>45525</v>
      </c>
      <c r="I88" s="8"/>
      <c r="J88" s="8" t="str">
        <f t="shared" si="3"/>
        <v>ACTIVO</v>
      </c>
      <c r="K88" s="8"/>
      <c r="L88" s="8">
        <f t="shared" si="5"/>
        <v>45825</v>
      </c>
      <c r="M88" s="8">
        <v>45224</v>
      </c>
      <c r="N88" s="8" t="s">
        <v>50</v>
      </c>
      <c r="O88" s="19" t="s">
        <v>860</v>
      </c>
      <c r="P88" s="8"/>
      <c r="Q88" s="5" t="s">
        <v>730</v>
      </c>
      <c r="R88" s="8">
        <v>23240</v>
      </c>
      <c r="S88" s="8" t="s">
        <v>731</v>
      </c>
      <c r="T88" s="16" t="e">
        <v>#REF!</v>
      </c>
      <c r="U88" s="12">
        <v>632019815</v>
      </c>
      <c r="V88" s="5" t="s">
        <v>861</v>
      </c>
      <c r="W88" s="5" t="s">
        <v>862</v>
      </c>
      <c r="X88" s="17" t="s">
        <v>738</v>
      </c>
      <c r="Y88" s="15" t="s">
        <v>863</v>
      </c>
      <c r="Z88" s="10"/>
    </row>
    <row r="89" spans="1:26" s="27" customFormat="1" ht="16.5" customHeight="1" x14ac:dyDescent="0.25">
      <c r="A89" s="5">
        <v>69</v>
      </c>
      <c r="B89" s="8" t="s">
        <v>20</v>
      </c>
      <c r="C89" s="5">
        <v>11511</v>
      </c>
      <c r="D89" s="7" t="s">
        <v>158</v>
      </c>
      <c r="E89" s="5" t="s">
        <v>136</v>
      </c>
      <c r="F89" s="15">
        <v>300</v>
      </c>
      <c r="G89" s="8">
        <v>45446</v>
      </c>
      <c r="H89" s="8">
        <v>45446</v>
      </c>
      <c r="I89" s="8">
        <v>45565</v>
      </c>
      <c r="J89" s="8" t="str">
        <f t="shared" si="3"/>
        <v/>
      </c>
      <c r="K89" s="8">
        <f>I89+45</f>
        <v>45610</v>
      </c>
      <c r="L89" s="8"/>
      <c r="M89" s="8" t="s">
        <v>55</v>
      </c>
      <c r="N89" s="8"/>
      <c r="O89" s="15" t="s">
        <v>864</v>
      </c>
      <c r="P89" s="8"/>
      <c r="Q89" s="5" t="s">
        <v>730</v>
      </c>
      <c r="R89" s="8">
        <v>31047</v>
      </c>
      <c r="S89" s="8" t="s">
        <v>731</v>
      </c>
      <c r="T89" s="16" t="e">
        <v>#REF!</v>
      </c>
      <c r="U89" s="12">
        <v>603151585</v>
      </c>
      <c r="V89" s="5"/>
      <c r="W89" s="5" t="s">
        <v>865</v>
      </c>
      <c r="X89" s="17" t="s">
        <v>738</v>
      </c>
      <c r="Y89" s="15" t="s">
        <v>813</v>
      </c>
      <c r="Z89" s="8">
        <v>45506</v>
      </c>
    </row>
    <row r="90" spans="1:26" s="27" customFormat="1" ht="16.5" customHeight="1" x14ac:dyDescent="0.25">
      <c r="A90" s="5">
        <v>67</v>
      </c>
      <c r="B90" s="8" t="s">
        <v>157</v>
      </c>
      <c r="C90" s="5">
        <v>11485</v>
      </c>
      <c r="D90" s="7" t="s">
        <v>866</v>
      </c>
      <c r="E90" s="5" t="s">
        <v>136</v>
      </c>
      <c r="F90" s="15">
        <v>300</v>
      </c>
      <c r="G90" s="8">
        <v>45372</v>
      </c>
      <c r="H90" s="8">
        <v>45372</v>
      </c>
      <c r="I90" s="8">
        <v>45565</v>
      </c>
      <c r="J90" s="8" t="str">
        <f t="shared" si="3"/>
        <v/>
      </c>
      <c r="K90" s="8">
        <f>I90+45</f>
        <v>45610</v>
      </c>
      <c r="L90" s="8"/>
      <c r="M90" s="8" t="s">
        <v>55</v>
      </c>
      <c r="N90" s="8" t="s">
        <v>55</v>
      </c>
      <c r="O90" s="15">
        <v>31058985829</v>
      </c>
      <c r="P90" s="8">
        <v>45793</v>
      </c>
      <c r="Q90" s="5" t="s">
        <v>730</v>
      </c>
      <c r="R90" s="8">
        <v>26466</v>
      </c>
      <c r="S90" s="8" t="s">
        <v>731</v>
      </c>
      <c r="T90" s="16" t="e">
        <v>#REF!</v>
      </c>
      <c r="U90" s="12"/>
      <c r="V90" s="5"/>
      <c r="W90" s="5"/>
      <c r="X90" s="17"/>
      <c r="Y90" s="15"/>
      <c r="Z90" s="8">
        <v>45432</v>
      </c>
    </row>
    <row r="91" spans="1:26" s="27" customFormat="1" ht="16.5" customHeight="1" x14ac:dyDescent="0.25">
      <c r="A91" s="5">
        <v>58</v>
      </c>
      <c r="B91" s="8" t="s">
        <v>44</v>
      </c>
      <c r="C91" s="5">
        <v>11458</v>
      </c>
      <c r="D91" s="6" t="s">
        <v>148</v>
      </c>
      <c r="E91" s="5" t="s">
        <v>136</v>
      </c>
      <c r="F91" s="15">
        <v>300</v>
      </c>
      <c r="G91" s="8">
        <v>44902</v>
      </c>
      <c r="H91" s="8">
        <v>45579</v>
      </c>
      <c r="I91" s="8"/>
      <c r="J91" s="8" t="str">
        <f t="shared" si="3"/>
        <v>ACTIVO</v>
      </c>
      <c r="K91" s="8"/>
      <c r="L91" s="8">
        <f>SUM(H91+300)</f>
        <v>45879</v>
      </c>
      <c r="M91" s="8">
        <v>45259</v>
      </c>
      <c r="N91" s="8" t="s">
        <v>50</v>
      </c>
      <c r="O91" s="19"/>
      <c r="P91" s="8"/>
      <c r="Q91" s="5" t="s">
        <v>730</v>
      </c>
      <c r="R91" s="8">
        <v>33380</v>
      </c>
      <c r="S91" s="8" t="s">
        <v>733</v>
      </c>
      <c r="T91" s="16" t="e">
        <v>#REF!</v>
      </c>
      <c r="U91" s="12">
        <v>637059052</v>
      </c>
      <c r="V91" s="5" t="s">
        <v>867</v>
      </c>
      <c r="W91" s="5" t="s">
        <v>868</v>
      </c>
      <c r="X91" s="17"/>
      <c r="Y91" s="5"/>
      <c r="Z91" s="5"/>
    </row>
    <row r="92" spans="1:26" s="27" customFormat="1" ht="16.5" customHeight="1" x14ac:dyDescent="0.25">
      <c r="A92" s="5">
        <v>52</v>
      </c>
      <c r="B92" s="8" t="s">
        <v>33</v>
      </c>
      <c r="C92" s="5">
        <v>11457</v>
      </c>
      <c r="D92" s="7" t="s">
        <v>142</v>
      </c>
      <c r="E92" s="5" t="s">
        <v>136</v>
      </c>
      <c r="F92" s="15">
        <v>300</v>
      </c>
      <c r="G92" s="8">
        <v>44854</v>
      </c>
      <c r="H92" s="8">
        <v>45579</v>
      </c>
      <c r="I92" s="8"/>
      <c r="J92" s="8" t="str">
        <f t="shared" si="3"/>
        <v>ACTIVO</v>
      </c>
      <c r="K92" s="8"/>
      <c r="L92" s="8">
        <f>SUM(H92+300)</f>
        <v>45879</v>
      </c>
      <c r="M92" s="8">
        <v>45224</v>
      </c>
      <c r="N92" s="8" t="s">
        <v>50</v>
      </c>
      <c r="O92" s="19"/>
      <c r="P92" s="8"/>
      <c r="Q92" s="5" t="s">
        <v>730</v>
      </c>
      <c r="R92" s="8">
        <v>27921</v>
      </c>
      <c r="S92" s="8" t="s">
        <v>733</v>
      </c>
      <c r="T92" s="16" t="e">
        <v>#REF!</v>
      </c>
      <c r="U92" s="12">
        <v>631932939</v>
      </c>
      <c r="V92" s="5" t="s">
        <v>869</v>
      </c>
      <c r="W92" s="5" t="s">
        <v>870</v>
      </c>
      <c r="X92" s="17"/>
      <c r="Y92" s="5"/>
      <c r="Z92" s="5"/>
    </row>
    <row r="93" spans="1:26" s="27" customFormat="1" ht="16.5" customHeight="1" x14ac:dyDescent="0.25">
      <c r="A93" s="5">
        <v>50</v>
      </c>
      <c r="B93" s="8" t="s">
        <v>4</v>
      </c>
      <c r="C93" s="5">
        <v>11421</v>
      </c>
      <c r="D93" s="7" t="s">
        <v>139</v>
      </c>
      <c r="E93" s="5" t="s">
        <v>136</v>
      </c>
      <c r="F93" s="15">
        <v>300</v>
      </c>
      <c r="G93" s="8">
        <v>44797</v>
      </c>
      <c r="H93" s="8">
        <v>45525</v>
      </c>
      <c r="I93" s="8"/>
      <c r="J93" s="8" t="str">
        <f t="shared" si="3"/>
        <v>ACTIVO</v>
      </c>
      <c r="K93" s="8"/>
      <c r="L93" s="8">
        <f>SUM(H93+300)</f>
        <v>45825</v>
      </c>
      <c r="M93" s="8">
        <v>45224</v>
      </c>
      <c r="N93" s="8" t="s">
        <v>50</v>
      </c>
      <c r="O93" s="19" t="s">
        <v>871</v>
      </c>
      <c r="P93" s="8"/>
      <c r="Q93" s="5" t="s">
        <v>872</v>
      </c>
      <c r="R93" s="8">
        <v>36723</v>
      </c>
      <c r="S93" s="8" t="s">
        <v>733</v>
      </c>
      <c r="T93" s="16" t="e">
        <v>#REF!</v>
      </c>
      <c r="U93" s="12">
        <v>695250976</v>
      </c>
      <c r="V93" s="5" t="s">
        <v>873</v>
      </c>
      <c r="W93" s="5" t="s">
        <v>874</v>
      </c>
      <c r="X93" s="17" t="s">
        <v>738</v>
      </c>
      <c r="Y93" s="15" t="s">
        <v>766</v>
      </c>
      <c r="Z93" s="10"/>
    </row>
    <row r="94" spans="1:26" s="27" customFormat="1" ht="16.5" customHeight="1" x14ac:dyDescent="0.25">
      <c r="A94" s="5">
        <v>66</v>
      </c>
      <c r="B94" s="8" t="s">
        <v>31</v>
      </c>
      <c r="C94" s="5">
        <v>11484</v>
      </c>
      <c r="D94" s="7" t="s">
        <v>156</v>
      </c>
      <c r="E94" s="5" t="s">
        <v>136</v>
      </c>
      <c r="F94" s="15">
        <v>300</v>
      </c>
      <c r="G94" s="8">
        <v>45372</v>
      </c>
      <c r="H94" s="8">
        <v>45372</v>
      </c>
      <c r="I94" s="8">
        <v>45565</v>
      </c>
      <c r="J94" s="8" t="str">
        <f t="shared" si="3"/>
        <v/>
      </c>
      <c r="K94" s="8">
        <f>I94+45</f>
        <v>45610</v>
      </c>
      <c r="L94" s="8"/>
      <c r="M94" s="8" t="s">
        <v>55</v>
      </c>
      <c r="N94" s="8" t="s">
        <v>55</v>
      </c>
      <c r="O94" s="15" t="s">
        <v>875</v>
      </c>
      <c r="P94" s="8"/>
      <c r="Q94" s="5" t="s">
        <v>730</v>
      </c>
      <c r="R94" s="11">
        <v>26465</v>
      </c>
      <c r="S94" s="11" t="s">
        <v>731</v>
      </c>
      <c r="T94" s="16" t="e">
        <v>#REF!</v>
      </c>
      <c r="U94" s="12"/>
      <c r="V94" s="5"/>
      <c r="W94" s="5" t="s">
        <v>876</v>
      </c>
      <c r="X94" s="17" t="s">
        <v>765</v>
      </c>
      <c r="Y94" s="15" t="s">
        <v>829</v>
      </c>
      <c r="Z94" s="8">
        <v>45432</v>
      </c>
    </row>
    <row r="95" spans="1:26" s="27" customFormat="1" ht="16.5" customHeight="1" x14ac:dyDescent="0.25">
      <c r="A95" s="5">
        <v>60</v>
      </c>
      <c r="B95" s="8" t="s">
        <v>21</v>
      </c>
      <c r="C95" s="5">
        <v>11445</v>
      </c>
      <c r="D95" s="7" t="s">
        <v>150</v>
      </c>
      <c r="E95" s="5" t="s">
        <v>136</v>
      </c>
      <c r="F95" s="15">
        <v>300</v>
      </c>
      <c r="G95" s="8">
        <v>45008</v>
      </c>
      <c r="H95" s="8">
        <v>45525</v>
      </c>
      <c r="I95" s="8"/>
      <c r="J95" s="8" t="str">
        <f t="shared" si="3"/>
        <v>ACTIVO</v>
      </c>
      <c r="K95" s="8"/>
      <c r="L95" s="8">
        <f>SUM(H95+300)</f>
        <v>45825</v>
      </c>
      <c r="M95" s="8">
        <v>45224</v>
      </c>
      <c r="N95" s="8" t="s">
        <v>50</v>
      </c>
      <c r="O95" s="19" t="s">
        <v>877</v>
      </c>
      <c r="P95" s="8"/>
      <c r="Q95" s="5" t="s">
        <v>730</v>
      </c>
      <c r="R95" s="8">
        <v>26665</v>
      </c>
      <c r="S95" s="8" t="s">
        <v>731</v>
      </c>
      <c r="T95" s="16" t="e">
        <v>#REF!</v>
      </c>
      <c r="U95" s="12"/>
      <c r="V95" s="5"/>
      <c r="W95" s="5" t="s">
        <v>878</v>
      </c>
      <c r="X95" s="17" t="s">
        <v>879</v>
      </c>
      <c r="Y95" s="15" t="s">
        <v>766</v>
      </c>
      <c r="Z95" s="10"/>
    </row>
    <row r="96" spans="1:26" s="27" customFormat="1" ht="16.5" customHeight="1" x14ac:dyDescent="0.25">
      <c r="A96" s="5">
        <v>54</v>
      </c>
      <c r="B96" s="8" t="s">
        <v>22</v>
      </c>
      <c r="C96" s="5">
        <v>11432</v>
      </c>
      <c r="D96" s="7" t="s">
        <v>144</v>
      </c>
      <c r="E96" s="5" t="s">
        <v>136</v>
      </c>
      <c r="F96" s="15">
        <v>300</v>
      </c>
      <c r="G96" s="8">
        <v>44893</v>
      </c>
      <c r="H96" s="8">
        <v>45525</v>
      </c>
      <c r="I96" s="8"/>
      <c r="J96" s="8" t="str">
        <f t="shared" si="3"/>
        <v>ACTIVO</v>
      </c>
      <c r="K96" s="8"/>
      <c r="L96" s="8">
        <f>SUM(H96+300)</f>
        <v>45825</v>
      </c>
      <c r="M96" s="8">
        <v>45224</v>
      </c>
      <c r="N96" s="8" t="s">
        <v>50</v>
      </c>
      <c r="O96" s="19" t="s">
        <v>880</v>
      </c>
      <c r="P96" s="8"/>
      <c r="Q96" s="5" t="s">
        <v>730</v>
      </c>
      <c r="R96" s="8">
        <v>29129</v>
      </c>
      <c r="S96" s="8" t="s">
        <v>731</v>
      </c>
      <c r="T96" s="16" t="e">
        <v>#REF!</v>
      </c>
      <c r="U96" s="12">
        <v>661483946</v>
      </c>
      <c r="V96" s="5" t="s">
        <v>881</v>
      </c>
      <c r="W96" s="5" t="s">
        <v>882</v>
      </c>
      <c r="X96" s="17" t="s">
        <v>332</v>
      </c>
      <c r="Y96" s="15" t="s">
        <v>839</v>
      </c>
      <c r="Z96" s="5"/>
    </row>
    <row r="97" spans="1:26" s="27" customFormat="1" ht="16.5" customHeight="1" x14ac:dyDescent="0.25">
      <c r="A97" s="5">
        <v>51</v>
      </c>
      <c r="B97" s="8" t="s">
        <v>141</v>
      </c>
      <c r="C97" s="5">
        <v>11422</v>
      </c>
      <c r="D97" s="7" t="s">
        <v>140</v>
      </c>
      <c r="E97" s="5" t="s">
        <v>136</v>
      </c>
      <c r="F97" s="15">
        <v>300</v>
      </c>
      <c r="G97" s="8">
        <v>44797</v>
      </c>
      <c r="H97" s="8">
        <v>45154</v>
      </c>
      <c r="I97" s="8"/>
      <c r="J97" s="8" t="str">
        <f t="shared" si="3"/>
        <v>ACTIVO</v>
      </c>
      <c r="K97" s="8"/>
      <c r="L97" s="8">
        <f>SUM(H97+300)</f>
        <v>45454</v>
      </c>
      <c r="M97" s="8">
        <v>45224</v>
      </c>
      <c r="N97" s="8" t="s">
        <v>50</v>
      </c>
      <c r="O97" s="19" t="s">
        <v>883</v>
      </c>
      <c r="P97" s="8"/>
      <c r="Q97" s="5" t="s">
        <v>872</v>
      </c>
      <c r="R97" s="8">
        <v>27030</v>
      </c>
      <c r="S97" s="11" t="s">
        <v>733</v>
      </c>
      <c r="T97" s="16" t="e">
        <v>#REF!</v>
      </c>
      <c r="U97" s="12">
        <v>632530592</v>
      </c>
      <c r="V97" s="5" t="s">
        <v>884</v>
      </c>
      <c r="W97" s="5" t="s">
        <v>885</v>
      </c>
      <c r="X97" s="17"/>
      <c r="Y97" s="15"/>
      <c r="Z97" s="5"/>
    </row>
    <row r="98" spans="1:26" s="27" customFormat="1" ht="16.5" customHeight="1" x14ac:dyDescent="0.25">
      <c r="A98" s="5">
        <v>70</v>
      </c>
      <c r="B98" s="8" t="s">
        <v>7</v>
      </c>
      <c r="C98" s="5">
        <v>11506</v>
      </c>
      <c r="D98" s="7" t="s">
        <v>159</v>
      </c>
      <c r="E98" s="5" t="s">
        <v>136</v>
      </c>
      <c r="F98" s="15">
        <v>300</v>
      </c>
      <c r="G98" s="8">
        <v>45441</v>
      </c>
      <c r="H98" s="8">
        <v>45441</v>
      </c>
      <c r="I98" s="8">
        <v>45565</v>
      </c>
      <c r="J98" s="8" t="str">
        <f t="shared" si="3"/>
        <v/>
      </c>
      <c r="K98" s="8">
        <f>I98+45</f>
        <v>45610</v>
      </c>
      <c r="L98" s="8"/>
      <c r="M98" s="8" t="s">
        <v>55</v>
      </c>
      <c r="N98" s="8" t="s">
        <v>55</v>
      </c>
      <c r="O98" s="15" t="s">
        <v>886</v>
      </c>
      <c r="P98" s="8"/>
      <c r="Q98" s="5" t="s">
        <v>730</v>
      </c>
      <c r="R98" s="8">
        <v>30529</v>
      </c>
      <c r="S98" s="11" t="s">
        <v>731</v>
      </c>
      <c r="T98" s="16" t="e">
        <v>#REF!</v>
      </c>
      <c r="U98" s="12"/>
      <c r="V98" s="5"/>
      <c r="W98" s="5" t="s">
        <v>887</v>
      </c>
      <c r="X98" s="17" t="s">
        <v>765</v>
      </c>
      <c r="Y98" s="15" t="s">
        <v>829</v>
      </c>
      <c r="Z98" s="8">
        <v>45501</v>
      </c>
    </row>
    <row r="99" spans="1:26" s="27" customFormat="1" ht="16.5" customHeight="1" x14ac:dyDescent="0.25">
      <c r="A99" s="5">
        <v>65</v>
      </c>
      <c r="B99" s="8" t="s">
        <v>24</v>
      </c>
      <c r="C99" s="5">
        <v>11477</v>
      </c>
      <c r="D99" s="7" t="s">
        <v>155</v>
      </c>
      <c r="E99" s="5" t="s">
        <v>136</v>
      </c>
      <c r="F99" s="15">
        <v>300</v>
      </c>
      <c r="G99" s="8">
        <v>45363</v>
      </c>
      <c r="H99" s="8">
        <v>45363</v>
      </c>
      <c r="I99" s="8">
        <v>45565</v>
      </c>
      <c r="J99" s="8" t="str">
        <f t="shared" si="3"/>
        <v/>
      </c>
      <c r="K99" s="8">
        <f>I99+45</f>
        <v>45610</v>
      </c>
      <c r="L99" s="8"/>
      <c r="M99" s="8" t="s">
        <v>55</v>
      </c>
      <c r="N99" s="8" t="s">
        <v>55</v>
      </c>
      <c r="O99" s="15" t="s">
        <v>888</v>
      </c>
      <c r="P99" s="8"/>
      <c r="Q99" s="5" t="s">
        <v>730</v>
      </c>
      <c r="R99" s="11">
        <v>32766</v>
      </c>
      <c r="S99" s="11" t="s">
        <v>731</v>
      </c>
      <c r="T99" s="16" t="e">
        <v>#REF!</v>
      </c>
      <c r="U99" s="12"/>
      <c r="V99" s="5"/>
      <c r="W99" s="5" t="s">
        <v>889</v>
      </c>
      <c r="X99" s="17" t="s">
        <v>850</v>
      </c>
      <c r="Y99" s="15" t="s">
        <v>755</v>
      </c>
      <c r="Z99" s="8">
        <v>45423</v>
      </c>
    </row>
    <row r="100" spans="1:26" s="27" customFormat="1" ht="16.5" customHeight="1" x14ac:dyDescent="0.25">
      <c r="A100" s="5">
        <v>62</v>
      </c>
      <c r="B100" s="8" t="s">
        <v>25</v>
      </c>
      <c r="C100" s="5">
        <v>11456</v>
      </c>
      <c r="D100" s="7" t="s">
        <v>152</v>
      </c>
      <c r="E100" s="5" t="s">
        <v>136</v>
      </c>
      <c r="F100" s="15">
        <v>300</v>
      </c>
      <c r="G100" s="8">
        <v>45209</v>
      </c>
      <c r="H100" s="8">
        <v>45525</v>
      </c>
      <c r="I100" s="8"/>
      <c r="J100" s="8" t="str">
        <f t="shared" si="3"/>
        <v>ACTIVO</v>
      </c>
      <c r="K100" s="8"/>
      <c r="L100" s="8">
        <f>SUM(H100+300)</f>
        <v>45825</v>
      </c>
      <c r="M100" s="8">
        <v>45224</v>
      </c>
      <c r="N100" s="8" t="s">
        <v>50</v>
      </c>
      <c r="O100" s="19" t="s">
        <v>890</v>
      </c>
      <c r="P100" s="8"/>
      <c r="Q100" s="5" t="s">
        <v>730</v>
      </c>
      <c r="R100" s="8">
        <v>29196</v>
      </c>
      <c r="S100" s="11" t="s">
        <v>731</v>
      </c>
      <c r="T100" s="16" t="e">
        <v>#REF!</v>
      </c>
      <c r="U100" s="12">
        <v>602008936</v>
      </c>
      <c r="V100" s="5" t="s">
        <v>891</v>
      </c>
      <c r="W100" s="5" t="s">
        <v>892</v>
      </c>
      <c r="X100" s="17" t="s">
        <v>765</v>
      </c>
      <c r="Y100" s="15" t="s">
        <v>829</v>
      </c>
      <c r="Z100" s="5"/>
    </row>
    <row r="101" spans="1:26" ht="16.5" customHeight="1" x14ac:dyDescent="0.25">
      <c r="A101" s="5">
        <v>47</v>
      </c>
      <c r="B101" s="9" t="s">
        <v>38</v>
      </c>
      <c r="C101" s="9">
        <v>11533</v>
      </c>
      <c r="D101" s="7" t="s">
        <v>135</v>
      </c>
      <c r="E101" s="9" t="s">
        <v>136</v>
      </c>
      <c r="F101" s="21">
        <v>100</v>
      </c>
      <c r="G101" s="8">
        <v>45526</v>
      </c>
      <c r="H101" s="8">
        <v>45526</v>
      </c>
      <c r="I101" s="7"/>
      <c r="J101" s="9" t="str">
        <f t="shared" si="3"/>
        <v>ACTIVO</v>
      </c>
      <c r="K101" s="7"/>
      <c r="L101" s="7"/>
      <c r="M101" s="9" t="s">
        <v>55</v>
      </c>
      <c r="N101" s="9" t="s">
        <v>50</v>
      </c>
      <c r="O101" s="22"/>
      <c r="P101" s="7"/>
      <c r="Q101" s="9" t="s">
        <v>771</v>
      </c>
      <c r="R101" s="11">
        <v>30688</v>
      </c>
      <c r="S101" s="11" t="s">
        <v>733</v>
      </c>
      <c r="T101" s="16" t="e">
        <v>#REF!</v>
      </c>
      <c r="U101" s="16">
        <v>677735184</v>
      </c>
      <c r="V101" s="31" t="s">
        <v>688</v>
      </c>
      <c r="W101" s="10" t="s">
        <v>893</v>
      </c>
      <c r="X101" s="17"/>
      <c r="Y101" s="18"/>
      <c r="Z101" s="11">
        <v>45587</v>
      </c>
    </row>
    <row r="102" spans="1:26" ht="16.5" customHeight="1" x14ac:dyDescent="0.25">
      <c r="A102" s="5">
        <v>59</v>
      </c>
      <c r="B102" s="8" t="s">
        <v>35</v>
      </c>
      <c r="C102" s="5">
        <v>11444</v>
      </c>
      <c r="D102" s="7" t="s">
        <v>149</v>
      </c>
      <c r="E102" s="5" t="s">
        <v>136</v>
      </c>
      <c r="F102" s="15">
        <v>300</v>
      </c>
      <c r="G102" s="8">
        <v>45007</v>
      </c>
      <c r="H102" s="8">
        <v>45525</v>
      </c>
      <c r="I102" s="8"/>
      <c r="J102" s="8" t="str">
        <f t="shared" si="3"/>
        <v>ACTIVO</v>
      </c>
      <c r="K102" s="8"/>
      <c r="L102" s="8">
        <f t="shared" ref="L102:L107" si="6">SUM(H102+300)</f>
        <v>45825</v>
      </c>
      <c r="M102" s="8">
        <v>45224</v>
      </c>
      <c r="N102" s="8" t="s">
        <v>50</v>
      </c>
      <c r="O102" s="19" t="s">
        <v>894</v>
      </c>
      <c r="P102" s="8"/>
      <c r="Q102" s="5" t="s">
        <v>730</v>
      </c>
      <c r="R102" s="8">
        <v>29380</v>
      </c>
      <c r="S102" s="11" t="s">
        <v>731</v>
      </c>
      <c r="T102" s="16" t="e">
        <v>#REF!</v>
      </c>
      <c r="U102" s="12">
        <v>667897653</v>
      </c>
      <c r="V102" s="5" t="s">
        <v>895</v>
      </c>
      <c r="W102" s="5" t="s">
        <v>896</v>
      </c>
      <c r="X102" s="17" t="s">
        <v>332</v>
      </c>
      <c r="Y102" s="15" t="s">
        <v>766</v>
      </c>
      <c r="Z102" s="5"/>
    </row>
    <row r="103" spans="1:26" ht="16.5" customHeight="1" x14ac:dyDescent="0.25">
      <c r="A103" s="5">
        <v>57</v>
      </c>
      <c r="B103" s="8" t="s">
        <v>43</v>
      </c>
      <c r="C103" s="5">
        <v>11434</v>
      </c>
      <c r="D103" s="7" t="s">
        <v>147</v>
      </c>
      <c r="E103" s="5" t="s">
        <v>136</v>
      </c>
      <c r="F103" s="15">
        <v>300</v>
      </c>
      <c r="G103" s="8">
        <v>44893</v>
      </c>
      <c r="H103" s="8">
        <v>45525</v>
      </c>
      <c r="I103" s="8"/>
      <c r="J103" s="8" t="str">
        <f t="shared" si="3"/>
        <v>ACTIVO</v>
      </c>
      <c r="K103" s="8"/>
      <c r="L103" s="8">
        <f t="shared" si="6"/>
        <v>45825</v>
      </c>
      <c r="M103" s="8">
        <v>45224</v>
      </c>
      <c r="N103" s="8" t="s">
        <v>50</v>
      </c>
      <c r="O103" s="19" t="s">
        <v>897</v>
      </c>
      <c r="P103" s="8"/>
      <c r="Q103" s="5" t="s">
        <v>730</v>
      </c>
      <c r="R103" s="8">
        <v>29070</v>
      </c>
      <c r="S103" s="11" t="s">
        <v>731</v>
      </c>
      <c r="T103" s="16" t="e">
        <v>#REF!</v>
      </c>
      <c r="U103" s="12">
        <v>617827638</v>
      </c>
      <c r="V103" s="5" t="s">
        <v>898</v>
      </c>
      <c r="W103" s="5" t="s">
        <v>899</v>
      </c>
      <c r="X103" s="17"/>
      <c r="Y103" s="15"/>
      <c r="Z103" s="10"/>
    </row>
    <row r="104" spans="1:26" ht="16.5" customHeight="1" x14ac:dyDescent="0.25">
      <c r="A104" s="5">
        <v>63</v>
      </c>
      <c r="B104" s="8" t="s">
        <v>26</v>
      </c>
      <c r="C104" s="5">
        <v>11455</v>
      </c>
      <c r="D104" s="7" t="s">
        <v>153</v>
      </c>
      <c r="E104" s="5" t="s">
        <v>136</v>
      </c>
      <c r="F104" s="15">
        <v>300</v>
      </c>
      <c r="G104" s="8">
        <v>45209</v>
      </c>
      <c r="H104" s="8">
        <v>45525</v>
      </c>
      <c r="I104" s="8"/>
      <c r="J104" s="8" t="str">
        <f t="shared" si="3"/>
        <v>ACTIVO</v>
      </c>
      <c r="K104" s="8"/>
      <c r="L104" s="8">
        <f t="shared" si="6"/>
        <v>45825</v>
      </c>
      <c r="M104" s="8">
        <v>45224</v>
      </c>
      <c r="N104" s="8" t="s">
        <v>50</v>
      </c>
      <c r="O104" s="19" t="s">
        <v>900</v>
      </c>
      <c r="P104" s="8"/>
      <c r="Q104" s="5" t="s">
        <v>730</v>
      </c>
      <c r="R104" s="8">
        <v>29710</v>
      </c>
      <c r="S104" s="11" t="s">
        <v>731</v>
      </c>
      <c r="T104" s="16" t="e">
        <v>#REF!</v>
      </c>
      <c r="U104" s="12">
        <v>631507527</v>
      </c>
      <c r="V104" s="32" t="s">
        <v>901</v>
      </c>
      <c r="W104" s="5" t="s">
        <v>902</v>
      </c>
      <c r="X104" s="17" t="s">
        <v>765</v>
      </c>
      <c r="Y104" s="15" t="s">
        <v>829</v>
      </c>
      <c r="Z104" s="10"/>
    </row>
    <row r="105" spans="1:26" ht="16.5" customHeight="1" x14ac:dyDescent="0.25">
      <c r="A105" s="5">
        <v>64</v>
      </c>
      <c r="B105" s="8" t="s">
        <v>27</v>
      </c>
      <c r="C105" s="5">
        <v>11463</v>
      </c>
      <c r="D105" s="7" t="s">
        <v>154</v>
      </c>
      <c r="E105" s="5" t="s">
        <v>136</v>
      </c>
      <c r="F105" s="15">
        <v>300</v>
      </c>
      <c r="G105" s="8">
        <v>45224</v>
      </c>
      <c r="H105" s="8">
        <v>45525</v>
      </c>
      <c r="I105" s="8"/>
      <c r="J105" s="8" t="str">
        <f t="shared" si="3"/>
        <v>ACTIVO</v>
      </c>
      <c r="K105" s="8"/>
      <c r="L105" s="8">
        <f t="shared" si="6"/>
        <v>45825</v>
      </c>
      <c r="M105" s="8" t="s">
        <v>50</v>
      </c>
      <c r="N105" s="8" t="s">
        <v>55</v>
      </c>
      <c r="O105" s="19" t="s">
        <v>903</v>
      </c>
      <c r="P105" s="8">
        <v>46118</v>
      </c>
      <c r="Q105" s="5" t="s">
        <v>730</v>
      </c>
      <c r="R105" s="8">
        <v>26983</v>
      </c>
      <c r="S105" s="11" t="s">
        <v>731</v>
      </c>
      <c r="T105" s="16" t="e">
        <v>#REF!</v>
      </c>
      <c r="U105" s="12">
        <v>602322736</v>
      </c>
      <c r="V105" s="5"/>
      <c r="W105" s="5"/>
      <c r="X105" s="17"/>
      <c r="Y105" s="15"/>
      <c r="Z105" s="10"/>
    </row>
    <row r="106" spans="1:26" ht="16.5" customHeight="1" x14ac:dyDescent="0.25">
      <c r="A106" s="5">
        <v>48</v>
      </c>
      <c r="B106" s="8" t="s">
        <v>42</v>
      </c>
      <c r="C106" s="5">
        <v>11528</v>
      </c>
      <c r="D106" s="7" t="s">
        <v>137</v>
      </c>
      <c r="E106" s="5" t="s">
        <v>136</v>
      </c>
      <c r="F106" s="15">
        <v>300</v>
      </c>
      <c r="G106" s="8">
        <v>45488</v>
      </c>
      <c r="H106" s="8">
        <v>45488</v>
      </c>
      <c r="I106" s="8"/>
      <c r="J106" s="8" t="str">
        <f t="shared" si="3"/>
        <v>ACTIVO</v>
      </c>
      <c r="K106" s="8"/>
      <c r="L106" s="8">
        <f t="shared" si="6"/>
        <v>45788</v>
      </c>
      <c r="M106" s="8" t="s">
        <v>55</v>
      </c>
      <c r="N106" s="8"/>
      <c r="O106" s="15" t="s">
        <v>904</v>
      </c>
      <c r="P106" s="8">
        <v>45889</v>
      </c>
      <c r="Q106" s="5" t="s">
        <v>730</v>
      </c>
      <c r="R106" s="8">
        <v>28855</v>
      </c>
      <c r="S106" s="11" t="s">
        <v>733</v>
      </c>
      <c r="T106" s="16" t="e">
        <v>#REF!</v>
      </c>
      <c r="U106" s="12"/>
      <c r="V106" s="5"/>
      <c r="W106" s="5" t="s">
        <v>905</v>
      </c>
      <c r="X106" s="17" t="s">
        <v>738</v>
      </c>
      <c r="Y106" s="15" t="s">
        <v>788</v>
      </c>
      <c r="Z106" s="8"/>
    </row>
    <row r="107" spans="1:26" ht="16.5" customHeight="1" x14ac:dyDescent="0.25">
      <c r="A107" s="5">
        <v>49</v>
      </c>
      <c r="B107" s="8" t="s">
        <v>29</v>
      </c>
      <c r="C107" s="5">
        <v>11526</v>
      </c>
      <c r="D107" s="7" t="s">
        <v>138</v>
      </c>
      <c r="E107" s="5" t="s">
        <v>136</v>
      </c>
      <c r="F107" s="15">
        <v>300</v>
      </c>
      <c r="G107" s="8">
        <v>45485</v>
      </c>
      <c r="H107" s="8">
        <v>45485</v>
      </c>
      <c r="I107" s="8"/>
      <c r="J107" s="8" t="str">
        <f t="shared" si="3"/>
        <v>ACTIVO</v>
      </c>
      <c r="K107" s="8"/>
      <c r="L107" s="8">
        <f t="shared" si="6"/>
        <v>45785</v>
      </c>
      <c r="M107" s="8" t="s">
        <v>55</v>
      </c>
      <c r="N107" s="8"/>
      <c r="O107" s="15" t="s">
        <v>906</v>
      </c>
      <c r="P107" s="8">
        <v>45872</v>
      </c>
      <c r="Q107" s="5" t="s">
        <v>730</v>
      </c>
      <c r="R107" s="8">
        <v>27751</v>
      </c>
      <c r="S107" s="11" t="s">
        <v>731</v>
      </c>
      <c r="T107" s="16" t="e">
        <v>#REF!</v>
      </c>
      <c r="U107" s="12"/>
      <c r="V107" s="5"/>
      <c r="W107" s="5" t="s">
        <v>907</v>
      </c>
      <c r="X107" s="17" t="s">
        <v>850</v>
      </c>
      <c r="Y107" s="15" t="s">
        <v>908</v>
      </c>
      <c r="Z107" s="11"/>
    </row>
    <row r="108" spans="1:26" ht="16.5" customHeight="1" x14ac:dyDescent="0.25">
      <c r="A108" s="5">
        <v>72</v>
      </c>
      <c r="B108" s="8" t="s">
        <v>164</v>
      </c>
      <c r="C108" s="5">
        <v>11278</v>
      </c>
      <c r="D108" s="7" t="s">
        <v>163</v>
      </c>
      <c r="E108" s="5" t="s">
        <v>161</v>
      </c>
      <c r="F108" s="15">
        <v>189</v>
      </c>
      <c r="G108" s="8">
        <v>41163</v>
      </c>
      <c r="H108" s="8">
        <v>44621</v>
      </c>
      <c r="I108" s="8"/>
      <c r="J108" s="8" t="str">
        <f t="shared" si="3"/>
        <v>ACTIVO</v>
      </c>
      <c r="K108" s="8"/>
      <c r="L108" s="8"/>
      <c r="M108" s="8"/>
      <c r="N108" s="8"/>
      <c r="O108" s="8" t="s">
        <v>909</v>
      </c>
      <c r="P108" s="8"/>
      <c r="Q108" s="5" t="s">
        <v>740</v>
      </c>
      <c r="R108" s="11">
        <v>28863</v>
      </c>
      <c r="S108" s="11" t="s">
        <v>731</v>
      </c>
      <c r="T108" s="16" t="e">
        <v>#REF!</v>
      </c>
      <c r="U108" s="16"/>
      <c r="V108" s="10"/>
      <c r="W108" s="10"/>
      <c r="X108" s="17" t="s">
        <v>738</v>
      </c>
      <c r="Y108" s="18" t="s">
        <v>755</v>
      </c>
      <c r="Z108" s="10"/>
    </row>
    <row r="109" spans="1:26" ht="16.5" customHeight="1" x14ac:dyDescent="0.25">
      <c r="A109" s="5">
        <v>73</v>
      </c>
      <c r="B109" s="8" t="s">
        <v>166</v>
      </c>
      <c r="C109" s="5">
        <v>11486</v>
      </c>
      <c r="D109" s="7" t="s">
        <v>165</v>
      </c>
      <c r="E109" s="5" t="s">
        <v>161</v>
      </c>
      <c r="F109" s="15">
        <v>100</v>
      </c>
      <c r="G109" s="8">
        <v>45369</v>
      </c>
      <c r="H109" s="8">
        <v>45369</v>
      </c>
      <c r="I109" s="8"/>
      <c r="J109" s="8" t="str">
        <f t="shared" si="3"/>
        <v>ACTIVO</v>
      </c>
      <c r="K109" s="8"/>
      <c r="L109" s="8"/>
      <c r="M109" s="8" t="s">
        <v>55</v>
      </c>
      <c r="N109" s="8"/>
      <c r="O109" s="8"/>
      <c r="P109" s="8"/>
      <c r="Q109" s="5" t="s">
        <v>910</v>
      </c>
      <c r="R109" s="11">
        <v>28185</v>
      </c>
      <c r="S109" s="11" t="s">
        <v>733</v>
      </c>
      <c r="T109" s="16" t="e">
        <v>#REF!</v>
      </c>
      <c r="U109" s="16"/>
      <c r="V109" s="10"/>
      <c r="W109" s="10"/>
      <c r="X109" s="17"/>
      <c r="Y109" s="18"/>
      <c r="Z109" s="5"/>
    </row>
    <row r="110" spans="1:26" ht="16.5" customHeight="1" x14ac:dyDescent="0.25">
      <c r="A110" s="5">
        <v>74</v>
      </c>
      <c r="B110" s="8" t="s">
        <v>75</v>
      </c>
      <c r="C110" s="5">
        <v>11277</v>
      </c>
      <c r="D110" s="7" t="s">
        <v>167</v>
      </c>
      <c r="E110" s="5" t="s">
        <v>161</v>
      </c>
      <c r="F110" s="15">
        <v>100</v>
      </c>
      <c r="G110" s="8">
        <v>41275</v>
      </c>
      <c r="H110" s="8">
        <v>44621</v>
      </c>
      <c r="I110" s="8"/>
      <c r="J110" s="8" t="str">
        <f t="shared" si="3"/>
        <v>ACTIVO</v>
      </c>
      <c r="K110" s="8"/>
      <c r="L110" s="8"/>
      <c r="M110" s="8" t="s">
        <v>55</v>
      </c>
      <c r="N110" s="8"/>
      <c r="O110" s="8" t="s">
        <v>911</v>
      </c>
      <c r="P110" s="8"/>
      <c r="Q110" s="5" t="s">
        <v>912</v>
      </c>
      <c r="R110" s="11">
        <v>24318</v>
      </c>
      <c r="S110" s="11" t="s">
        <v>733</v>
      </c>
      <c r="T110" s="16" t="e">
        <v>#REF!</v>
      </c>
      <c r="U110" s="16"/>
      <c r="V110" s="10"/>
      <c r="W110" s="10"/>
      <c r="X110" s="17"/>
      <c r="Y110" s="18"/>
      <c r="Z110" s="5"/>
    </row>
    <row r="111" spans="1:26" ht="16.5" customHeight="1" x14ac:dyDescent="0.25">
      <c r="A111" s="5">
        <v>75</v>
      </c>
      <c r="B111" s="8" t="s">
        <v>169</v>
      </c>
      <c r="C111" s="5">
        <v>11279</v>
      </c>
      <c r="D111" s="7" t="s">
        <v>168</v>
      </c>
      <c r="E111" s="5" t="s">
        <v>161</v>
      </c>
      <c r="F111" s="15">
        <v>100</v>
      </c>
      <c r="G111" s="8">
        <v>42949</v>
      </c>
      <c r="H111" s="8">
        <v>44621</v>
      </c>
      <c r="I111" s="8"/>
      <c r="J111" s="8" t="str">
        <f t="shared" si="3"/>
        <v>ACTIVO</v>
      </c>
      <c r="K111" s="8"/>
      <c r="L111" s="8"/>
      <c r="M111" s="8"/>
      <c r="N111" s="8"/>
      <c r="O111" s="8" t="s">
        <v>913</v>
      </c>
      <c r="P111" s="8"/>
      <c r="Q111" s="5" t="s">
        <v>914</v>
      </c>
      <c r="R111" s="11">
        <v>31366</v>
      </c>
      <c r="S111" s="11" t="s">
        <v>733</v>
      </c>
      <c r="T111" s="16" t="e">
        <v>#REF!</v>
      </c>
      <c r="U111" s="16"/>
      <c r="V111" s="10"/>
      <c r="W111" s="10" t="s">
        <v>915</v>
      </c>
      <c r="X111" s="17" t="s">
        <v>754</v>
      </c>
      <c r="Y111" s="18" t="s">
        <v>755</v>
      </c>
    </row>
    <row r="112" spans="1:26" ht="16.5" customHeight="1" x14ac:dyDescent="0.25">
      <c r="A112" s="5">
        <v>76</v>
      </c>
      <c r="B112" s="8" t="s">
        <v>171</v>
      </c>
      <c r="C112" s="5">
        <v>11294</v>
      </c>
      <c r="D112" s="7" t="s">
        <v>170</v>
      </c>
      <c r="E112" s="5" t="s">
        <v>161</v>
      </c>
      <c r="F112" s="15">
        <v>100</v>
      </c>
      <c r="G112" s="8">
        <v>44774</v>
      </c>
      <c r="H112" s="8">
        <v>44774</v>
      </c>
      <c r="I112" s="8"/>
      <c r="J112" s="8" t="str">
        <f t="shared" si="3"/>
        <v>ACTIVO</v>
      </c>
      <c r="K112" s="8"/>
      <c r="L112" s="8"/>
      <c r="M112" s="8"/>
      <c r="N112" s="8"/>
      <c r="O112" s="8" t="s">
        <v>916</v>
      </c>
      <c r="P112" s="8"/>
      <c r="Q112" s="5" t="s">
        <v>917</v>
      </c>
      <c r="R112" s="11">
        <v>29885</v>
      </c>
      <c r="S112" s="11" t="s">
        <v>733</v>
      </c>
      <c r="T112" s="16" t="e">
        <v>#REF!</v>
      </c>
      <c r="U112" s="16"/>
      <c r="V112" s="10"/>
      <c r="W112" s="10"/>
      <c r="X112" s="17" t="s">
        <v>754</v>
      </c>
      <c r="Y112" s="18" t="s">
        <v>755</v>
      </c>
    </row>
    <row r="113" spans="1:26" s="29" customFormat="1" ht="16.5" customHeight="1" x14ac:dyDescent="0.25">
      <c r="A113" s="5">
        <v>71</v>
      </c>
      <c r="B113" s="8" t="s">
        <v>162</v>
      </c>
      <c r="C113" s="5">
        <v>11532</v>
      </c>
      <c r="D113" s="7" t="s">
        <v>160</v>
      </c>
      <c r="E113" s="5" t="s">
        <v>161</v>
      </c>
      <c r="F113" s="15">
        <v>100</v>
      </c>
      <c r="G113" s="8">
        <v>45505</v>
      </c>
      <c r="H113" s="8">
        <v>45505</v>
      </c>
      <c r="I113" s="8"/>
      <c r="J113" s="8" t="str">
        <f t="shared" si="3"/>
        <v>ACTIVO</v>
      </c>
      <c r="K113" s="8"/>
      <c r="L113" s="8"/>
      <c r="M113" s="8"/>
      <c r="N113" s="8" t="s">
        <v>55</v>
      </c>
      <c r="O113" s="8"/>
      <c r="P113" s="8"/>
      <c r="Q113" s="5" t="s">
        <v>918</v>
      </c>
      <c r="R113" s="11">
        <v>27208</v>
      </c>
      <c r="S113" s="11" t="s">
        <v>731</v>
      </c>
      <c r="T113" s="16" t="e">
        <v>#REF!</v>
      </c>
      <c r="U113" s="16">
        <v>652763705</v>
      </c>
      <c r="V113" s="28" t="s">
        <v>919</v>
      </c>
      <c r="W113" s="10" t="s">
        <v>920</v>
      </c>
      <c r="X113" s="17" t="s">
        <v>754</v>
      </c>
      <c r="Y113" s="18" t="s">
        <v>921</v>
      </c>
      <c r="Z113" s="11">
        <v>45627</v>
      </c>
    </row>
  </sheetData>
  <conditionalFormatting sqref="C2:C14 C49:C63 C65:C86">
    <cfRule type="duplicateValues" dxfId="2" priority="1"/>
  </conditionalFormatting>
  <conditionalFormatting sqref="R64 C64">
    <cfRule type="duplicateValues" dxfId="1" priority="2"/>
  </conditionalFormatting>
  <dataValidations disablePrompts="1" count="3">
    <dataValidation type="date" allowBlank="1" showInputMessage="1" showErrorMessage="1" error="La fecha no es correcta" sqref="R34 R30:R31 R38 R40 R93:R94 R42 R44:R46 R15:R21 R100:R113" xr:uid="{5C817849-EDA9-4A6E-9DEB-9D03AB6CAFE7}">
      <formula1>1</formula1>
      <formula2>219512</formula2>
    </dataValidation>
    <dataValidation type="custom" allowBlank="1" showInputMessage="1" showErrorMessage="1" error="El teléfono debe ser un valor numérico con 9 digitos" sqref="U93:U94 U40 U34 U38 U30:U31 U42:U46 U15:U21 U100:U113" xr:uid="{200DA528-31E5-4C9F-BE12-8BF863643811}">
      <formula1>AND(ISNUMBER(SUMPRODUCT(SEARCH(MID(U15,ROW(INDIRECT("1:"&amp;LEN(U15))),1),"01234567890"))),LEN(U15)=9)</formula1>
    </dataValidation>
    <dataValidation type="textLength" allowBlank="1" showInputMessage="1" showErrorMessage="1" error="El tamaño máximo de la dirección debe ser 35" sqref="W93:Y94 W40:Y40 W34:Y34 W38:Y38 W30:Y31 W42:Y46 W15:Y21 W100:Y113" xr:uid="{B74267EF-0E68-4050-A254-00219D80BAC1}">
      <formula1>0</formula1>
      <formula2>35</formula2>
    </dataValidation>
  </dataValidations>
  <hyperlinks>
    <hyperlink ref="V9" r:id="rId1" xr:uid="{BC16EFA7-3DFC-4676-ACA3-774A6ADF241C}"/>
    <hyperlink ref="V5" r:id="rId2" xr:uid="{DB5FB71F-04EE-463E-AF25-21D9B86620D1}"/>
    <hyperlink ref="V2" r:id="rId3" xr:uid="{1E99EB95-CF8F-4FBE-93E1-2C6FF1236F18}"/>
    <hyperlink ref="V11" r:id="rId4" xr:uid="{6AFBCD97-24C3-42D0-B710-F462AD6B63E1}"/>
    <hyperlink ref="V37" r:id="rId5" xr:uid="{09C75BD9-13A0-4B87-8E70-42EC7BE9F671}"/>
    <hyperlink ref="V19" r:id="rId6" xr:uid="{761C4AF8-8EAE-4E80-9C5A-4BDAD37C07D9}"/>
    <hyperlink ref="V21" r:id="rId7" xr:uid="{23BB38BE-7806-4A10-A434-AC3C26303FC4}"/>
    <hyperlink ref="V35" r:id="rId8" xr:uid="{0D7EA294-4E4F-4185-B58A-BA9216458A01}"/>
    <hyperlink ref="V101" r:id="rId9" xr:uid="{770FB861-32B1-428D-A3A0-F993229218DB}"/>
    <hyperlink ref="V13" r:id="rId10" xr:uid="{B6DA57FD-3FF4-45AC-85A0-0FB8867E1E0D}"/>
    <hyperlink ref="V104" r:id="rId11" xr:uid="{606042A2-CFBA-423A-8F28-12392BF96F4A}"/>
    <hyperlink ref="V113" r:id="rId12" xr:uid="{CA1E3A62-BD49-4398-9DEA-804106E15B4E}"/>
    <hyperlink ref="V78" r:id="rId13" xr:uid="{3D4AA7EE-9278-4C6A-8140-5CD80360CF84}"/>
    <hyperlink ref="V36" r:id="rId14" xr:uid="{7DD8AF19-B14F-451E-828B-CCF286C791E3}"/>
    <hyperlink ref="V83" r:id="rId15" xr:uid="{CF1FE3B0-EC11-448C-81EE-5C0BDDB11431}"/>
  </hyperlinks>
  <pageMargins left="0.7" right="0.7" top="0.75" bottom="0.75" header="0.3" footer="0.3"/>
  <pageSetup paperSize="9" orientation="portrait" horizontalDpi="0" verticalDpi="0" r:id="rId16"/>
  <legacyDrawing r:id="rId1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B811-FCD9-459D-AE8B-032E83F44BF0}">
  <sheetPr codeName="Sheet2"/>
  <dimension ref="A1:N111"/>
  <sheetViews>
    <sheetView topLeftCell="A99" workbookViewId="0">
      <selection activeCell="B110" sqref="B110"/>
    </sheetView>
  </sheetViews>
  <sheetFormatPr baseColWidth="10" defaultColWidth="9.140625" defaultRowHeight="15" x14ac:dyDescent="0.25"/>
  <cols>
    <col min="1" max="1" width="13.42578125" bestFit="1" customWidth="1"/>
    <col min="2" max="2" width="30.85546875" customWidth="1"/>
    <col min="3" max="3" width="9.7109375" bestFit="1" customWidth="1"/>
    <col min="4" max="9" width="21.42578125" customWidth="1"/>
    <col min="10" max="10" width="34.7109375" customWidth="1"/>
    <col min="11" max="11" width="21.42578125" customWidth="1"/>
    <col min="12" max="12" width="11" bestFit="1" customWidth="1"/>
    <col min="13" max="13" width="17" bestFit="1" customWidth="1"/>
    <col min="14" max="14" width="20.140625" bestFit="1" customWidth="1"/>
  </cols>
  <sheetData>
    <row r="1" spans="1:14" x14ac:dyDescent="0.25">
      <c r="A1" s="4" t="s">
        <v>0</v>
      </c>
      <c r="B1" s="1" t="s">
        <v>245</v>
      </c>
      <c r="C1" s="1" t="s">
        <v>45</v>
      </c>
      <c r="D1" s="1" t="s">
        <v>246</v>
      </c>
      <c r="E1" s="1" t="s">
        <v>247</v>
      </c>
      <c r="F1" s="1" t="s">
        <v>248</v>
      </c>
      <c r="G1" s="1" t="s">
        <v>1</v>
      </c>
      <c r="H1" s="1" t="s">
        <v>249</v>
      </c>
      <c r="I1" s="1" t="s">
        <v>250</v>
      </c>
      <c r="J1" s="1" t="s">
        <v>251</v>
      </c>
      <c r="K1" s="1" t="s">
        <v>252</v>
      </c>
      <c r="L1" s="1" t="s">
        <v>253</v>
      </c>
      <c r="M1" s="1" t="s">
        <v>254</v>
      </c>
      <c r="N1" s="1" t="s">
        <v>255</v>
      </c>
    </row>
    <row r="2" spans="1:14" ht="40.5" x14ac:dyDescent="0.25">
      <c r="A2" s="3">
        <v>2</v>
      </c>
      <c r="B2" s="3" t="s">
        <v>720</v>
      </c>
      <c r="C2" s="3" t="s">
        <v>47</v>
      </c>
      <c r="D2" s="3">
        <v>212354986</v>
      </c>
      <c r="E2" s="3">
        <v>416988195</v>
      </c>
      <c r="F2" s="3">
        <v>179114521</v>
      </c>
      <c r="G2" s="3" t="s">
        <v>124</v>
      </c>
      <c r="H2" s="3" t="s">
        <v>256</v>
      </c>
      <c r="I2" s="3" t="s">
        <v>257</v>
      </c>
      <c r="J2" s="3" t="s">
        <v>258</v>
      </c>
      <c r="K2" s="3" t="s">
        <v>259</v>
      </c>
      <c r="L2" s="3">
        <v>617973494</v>
      </c>
      <c r="M2" s="3" t="s">
        <v>260</v>
      </c>
      <c r="N2" s="2">
        <v>30900</v>
      </c>
    </row>
    <row r="3" spans="1:14" ht="27" x14ac:dyDescent="0.25">
      <c r="A3" s="3">
        <v>3</v>
      </c>
      <c r="B3" s="3" t="s">
        <v>261</v>
      </c>
      <c r="C3" s="3" t="s">
        <v>46</v>
      </c>
      <c r="D3" s="3">
        <v>287903666</v>
      </c>
      <c r="E3" s="3" t="s">
        <v>10</v>
      </c>
      <c r="F3" s="3" t="s">
        <v>262</v>
      </c>
      <c r="G3" s="3" t="s">
        <v>126</v>
      </c>
      <c r="H3" s="3" t="s">
        <v>256</v>
      </c>
      <c r="I3" s="3" t="s">
        <v>257</v>
      </c>
      <c r="J3" s="3" t="s">
        <v>263</v>
      </c>
      <c r="K3" s="3" t="s">
        <v>264</v>
      </c>
      <c r="L3" s="3">
        <v>676551215</v>
      </c>
      <c r="M3" s="3" t="s">
        <v>260</v>
      </c>
      <c r="N3" s="2">
        <v>30452</v>
      </c>
    </row>
    <row r="4" spans="1:14" x14ac:dyDescent="0.25">
      <c r="A4" s="3">
        <v>4</v>
      </c>
      <c r="B4" s="3" t="s">
        <v>265</v>
      </c>
      <c r="C4" s="3" t="s">
        <v>47</v>
      </c>
      <c r="D4" s="3">
        <v>5065639</v>
      </c>
      <c r="E4" s="3">
        <v>914380609</v>
      </c>
      <c r="F4" s="3">
        <v>544388133</v>
      </c>
      <c r="G4" s="3" t="s">
        <v>128</v>
      </c>
      <c r="H4" s="3" t="s">
        <v>256</v>
      </c>
      <c r="I4" s="3" t="s">
        <v>266</v>
      </c>
      <c r="J4" s="3" t="s">
        <v>267</v>
      </c>
      <c r="K4" s="3" t="s">
        <v>268</v>
      </c>
      <c r="L4" s="3">
        <v>602112583</v>
      </c>
      <c r="M4" s="3" t="s">
        <v>260</v>
      </c>
      <c r="N4" s="2">
        <v>26944</v>
      </c>
    </row>
    <row r="5" spans="1:14" ht="27" x14ac:dyDescent="0.25">
      <c r="A5" s="3">
        <v>5</v>
      </c>
      <c r="B5" s="3" t="s">
        <v>269</v>
      </c>
      <c r="C5" s="3" t="s">
        <v>47</v>
      </c>
      <c r="D5" s="3">
        <v>777104523</v>
      </c>
      <c r="E5" s="3">
        <v>391206382</v>
      </c>
      <c r="F5" s="3">
        <v>748240513</v>
      </c>
      <c r="G5" s="3" t="s">
        <v>122</v>
      </c>
      <c r="H5" s="3" t="s">
        <v>256</v>
      </c>
      <c r="I5" s="3" t="s">
        <v>270</v>
      </c>
      <c r="J5" s="3" t="s">
        <v>271</v>
      </c>
      <c r="K5" s="3" t="s">
        <v>272</v>
      </c>
      <c r="L5" s="3">
        <v>666224433</v>
      </c>
      <c r="M5" s="3" t="s">
        <v>273</v>
      </c>
      <c r="N5" s="2">
        <v>26665</v>
      </c>
    </row>
    <row r="6" spans="1:14" ht="27" x14ac:dyDescent="0.25">
      <c r="A6" s="3">
        <v>6</v>
      </c>
      <c r="B6" s="3" t="s">
        <v>274</v>
      </c>
      <c r="C6" s="3" t="s">
        <v>46</v>
      </c>
      <c r="D6" s="3">
        <v>4031590531</v>
      </c>
      <c r="E6" s="3" t="s">
        <v>2</v>
      </c>
      <c r="F6" s="3" t="s">
        <v>3</v>
      </c>
      <c r="G6" s="3" t="s">
        <v>4</v>
      </c>
      <c r="H6" s="3" t="s">
        <v>256</v>
      </c>
      <c r="I6" s="3" t="s">
        <v>270</v>
      </c>
      <c r="J6" s="3" t="s">
        <v>275</v>
      </c>
      <c r="K6" s="3" t="s">
        <v>276</v>
      </c>
      <c r="L6" s="3">
        <v>679274660</v>
      </c>
      <c r="M6" s="3" t="s">
        <v>273</v>
      </c>
      <c r="N6" s="2">
        <v>36723</v>
      </c>
    </row>
    <row r="7" spans="1:14" ht="27" x14ac:dyDescent="0.25">
      <c r="A7" s="3">
        <v>7</v>
      </c>
      <c r="B7" s="3" t="s">
        <v>277</v>
      </c>
      <c r="C7" s="3" t="s">
        <v>46</v>
      </c>
      <c r="D7" s="3">
        <v>1418773763</v>
      </c>
      <c r="E7" s="3" t="s">
        <v>278</v>
      </c>
      <c r="F7" s="3" t="s">
        <v>279</v>
      </c>
      <c r="G7" s="3" t="s">
        <v>141</v>
      </c>
      <c r="H7" s="3" t="s">
        <v>256</v>
      </c>
      <c r="I7" s="3" t="s">
        <v>270</v>
      </c>
      <c r="J7" s="3" t="s">
        <v>280</v>
      </c>
      <c r="K7" s="3" t="s">
        <v>281</v>
      </c>
      <c r="L7" s="3">
        <v>547852663</v>
      </c>
      <c r="M7" s="3" t="s">
        <v>273</v>
      </c>
      <c r="N7" s="2">
        <v>27030</v>
      </c>
    </row>
    <row r="8" spans="1:14" ht="27" x14ac:dyDescent="0.25">
      <c r="A8" s="3">
        <v>8</v>
      </c>
      <c r="B8" s="3" t="s">
        <v>282</v>
      </c>
      <c r="C8" s="3" t="s">
        <v>47</v>
      </c>
      <c r="D8" s="3">
        <v>577265785</v>
      </c>
      <c r="E8" s="3">
        <v>371246171</v>
      </c>
      <c r="F8" s="3">
        <v>921205441</v>
      </c>
      <c r="G8" s="3" t="s">
        <v>115</v>
      </c>
      <c r="H8" s="3" t="s">
        <v>256</v>
      </c>
      <c r="I8" s="3" t="s">
        <v>270</v>
      </c>
      <c r="J8" s="3" t="s">
        <v>283</v>
      </c>
      <c r="K8" s="3" t="s">
        <v>284</v>
      </c>
      <c r="L8" s="3">
        <v>589654113</v>
      </c>
      <c r="M8" s="3" t="s">
        <v>273</v>
      </c>
      <c r="N8" s="2">
        <v>28158</v>
      </c>
    </row>
    <row r="9" spans="1:14" x14ac:dyDescent="0.25">
      <c r="A9" s="3">
        <v>9</v>
      </c>
      <c r="B9" s="3" t="s">
        <v>285</v>
      </c>
      <c r="C9" s="3" t="s">
        <v>47</v>
      </c>
      <c r="D9" s="3">
        <v>387799972</v>
      </c>
      <c r="E9" s="3">
        <v>280019467</v>
      </c>
      <c r="F9" s="3">
        <v>383740920</v>
      </c>
      <c r="G9" s="3" t="s">
        <v>286</v>
      </c>
      <c r="H9" s="3" t="s">
        <v>256</v>
      </c>
      <c r="I9" s="3" t="s">
        <v>287</v>
      </c>
      <c r="J9" s="3" t="s">
        <v>288</v>
      </c>
      <c r="K9" s="3" t="s">
        <v>289</v>
      </c>
      <c r="L9" s="3">
        <v>549752568</v>
      </c>
      <c r="M9" s="3" t="s">
        <v>273</v>
      </c>
      <c r="N9" s="2">
        <v>25204</v>
      </c>
    </row>
    <row r="10" spans="1:14" ht="27" x14ac:dyDescent="0.25">
      <c r="A10" s="3">
        <v>10</v>
      </c>
      <c r="B10" s="3" t="s">
        <v>290</v>
      </c>
      <c r="C10" s="3" t="s">
        <v>47</v>
      </c>
      <c r="D10" s="3">
        <v>428639006</v>
      </c>
      <c r="E10" s="3">
        <v>859077890</v>
      </c>
      <c r="F10" s="3">
        <v>282791286</v>
      </c>
      <c r="G10" s="3" t="s">
        <v>120</v>
      </c>
      <c r="H10" s="3" t="s">
        <v>256</v>
      </c>
      <c r="I10" s="3" t="s">
        <v>270</v>
      </c>
      <c r="J10" s="3" t="s">
        <v>291</v>
      </c>
      <c r="K10" s="3" t="s">
        <v>292</v>
      </c>
      <c r="L10" s="3">
        <v>656374891</v>
      </c>
      <c r="M10" s="3" t="s">
        <v>273</v>
      </c>
      <c r="N10" s="2">
        <v>30717</v>
      </c>
    </row>
    <row r="11" spans="1:14" x14ac:dyDescent="0.25">
      <c r="A11" s="3">
        <v>11</v>
      </c>
      <c r="B11" s="3" t="s">
        <v>293</v>
      </c>
      <c r="C11" s="3" t="s">
        <v>46</v>
      </c>
      <c r="D11" s="3">
        <v>287389730</v>
      </c>
      <c r="E11" s="3" t="s">
        <v>32</v>
      </c>
      <c r="F11" s="3" t="s">
        <v>294</v>
      </c>
      <c r="G11" s="3" t="s">
        <v>33</v>
      </c>
      <c r="H11" s="3" t="s">
        <v>256</v>
      </c>
      <c r="I11" s="3" t="s">
        <v>270</v>
      </c>
      <c r="J11" s="3" t="s">
        <v>295</v>
      </c>
      <c r="K11" s="3" t="s">
        <v>296</v>
      </c>
      <c r="L11" s="3">
        <v>584596215</v>
      </c>
      <c r="M11" s="3" t="s">
        <v>273</v>
      </c>
      <c r="N11" s="2">
        <v>27921</v>
      </c>
    </row>
    <row r="12" spans="1:14" x14ac:dyDescent="0.25">
      <c r="A12" s="3">
        <v>12</v>
      </c>
      <c r="B12" s="3" t="s">
        <v>297</v>
      </c>
      <c r="C12" s="3" t="s">
        <v>47</v>
      </c>
      <c r="D12" s="3">
        <v>20426021</v>
      </c>
      <c r="E12" s="3">
        <v>666217808</v>
      </c>
      <c r="F12" s="3">
        <v>490876617</v>
      </c>
      <c r="G12" s="3" t="s">
        <v>117</v>
      </c>
      <c r="H12" s="3" t="s">
        <v>256</v>
      </c>
      <c r="I12" s="3" t="s">
        <v>266</v>
      </c>
      <c r="J12" s="3" t="s">
        <v>298</v>
      </c>
      <c r="K12" s="3" t="s">
        <v>299</v>
      </c>
      <c r="L12" s="3">
        <v>687524563</v>
      </c>
      <c r="M12" s="3" t="s">
        <v>273</v>
      </c>
      <c r="N12" s="2">
        <v>29879</v>
      </c>
    </row>
    <row r="13" spans="1:14" ht="40.5" x14ac:dyDescent="0.25">
      <c r="A13" s="3">
        <v>13</v>
      </c>
      <c r="B13" s="3" t="s">
        <v>300</v>
      </c>
      <c r="C13" s="3" t="s">
        <v>46</v>
      </c>
      <c r="D13" s="3">
        <v>4031355587</v>
      </c>
      <c r="E13" s="3" t="s">
        <v>301</v>
      </c>
      <c r="F13" s="3" t="s">
        <v>302</v>
      </c>
      <c r="G13" s="3" t="s">
        <v>43</v>
      </c>
      <c r="H13" s="3" t="s">
        <v>256</v>
      </c>
      <c r="I13" s="3" t="s">
        <v>287</v>
      </c>
      <c r="J13" s="3" t="s">
        <v>303</v>
      </c>
      <c r="K13" s="3" t="s">
        <v>304</v>
      </c>
      <c r="L13" s="3">
        <v>678475229</v>
      </c>
      <c r="M13" s="3" t="s">
        <v>273</v>
      </c>
      <c r="N13" s="2">
        <v>29070</v>
      </c>
    </row>
    <row r="14" spans="1:14" ht="27" x14ac:dyDescent="0.25">
      <c r="A14" s="3">
        <v>14</v>
      </c>
      <c r="B14" s="3" t="s">
        <v>305</v>
      </c>
      <c r="C14" s="3" t="s">
        <v>46</v>
      </c>
      <c r="D14" s="3">
        <v>1279383219</v>
      </c>
      <c r="E14" s="3" t="s">
        <v>306</v>
      </c>
      <c r="F14" s="3" t="s">
        <v>307</v>
      </c>
      <c r="G14" s="3" t="s">
        <v>23</v>
      </c>
      <c r="H14" s="3" t="s">
        <v>256</v>
      </c>
      <c r="I14" s="3" t="s">
        <v>308</v>
      </c>
      <c r="J14" s="3" t="s">
        <v>309</v>
      </c>
      <c r="K14" s="3" t="s">
        <v>310</v>
      </c>
      <c r="L14" s="3">
        <v>682479536</v>
      </c>
      <c r="M14" s="3" t="s">
        <v>273</v>
      </c>
      <c r="N14" s="2">
        <v>23240</v>
      </c>
    </row>
    <row r="15" spans="1:14" ht="27" x14ac:dyDescent="0.25">
      <c r="A15" s="3">
        <v>15</v>
      </c>
      <c r="B15" s="3" t="s">
        <v>311</v>
      </c>
      <c r="C15" s="3" t="s">
        <v>46</v>
      </c>
      <c r="D15" s="3">
        <v>271427346</v>
      </c>
      <c r="E15" s="3" t="s">
        <v>312</v>
      </c>
      <c r="F15" s="3" t="s">
        <v>313</v>
      </c>
      <c r="G15" s="3" t="s">
        <v>44</v>
      </c>
      <c r="H15" s="3" t="s">
        <v>256</v>
      </c>
      <c r="I15" s="3" t="s">
        <v>270</v>
      </c>
      <c r="J15" s="3" t="s">
        <v>314</v>
      </c>
      <c r="K15" s="3" t="s">
        <v>315</v>
      </c>
      <c r="L15" s="3">
        <v>684276983</v>
      </c>
      <c r="M15" s="3" t="s">
        <v>273</v>
      </c>
      <c r="N15" s="2">
        <v>33380</v>
      </c>
    </row>
    <row r="16" spans="1:14" ht="40.5" x14ac:dyDescent="0.25">
      <c r="A16" s="3">
        <v>16</v>
      </c>
      <c r="B16" s="3" t="s">
        <v>316</v>
      </c>
      <c r="C16" s="3" t="s">
        <v>46</v>
      </c>
      <c r="D16" s="3">
        <v>53335826</v>
      </c>
      <c r="E16" s="3" t="s">
        <v>317</v>
      </c>
      <c r="F16" s="3" t="s">
        <v>318</v>
      </c>
      <c r="G16" s="3" t="s">
        <v>22</v>
      </c>
      <c r="H16" s="3" t="s">
        <v>256</v>
      </c>
      <c r="I16" s="3" t="s">
        <v>308</v>
      </c>
      <c r="J16" s="3" t="s">
        <v>319</v>
      </c>
      <c r="K16" s="3" t="s">
        <v>320</v>
      </c>
      <c r="L16" s="3">
        <v>0</v>
      </c>
      <c r="M16" s="3" t="s">
        <v>273</v>
      </c>
      <c r="N16" s="2">
        <v>29129</v>
      </c>
    </row>
    <row r="17" spans="1:14" ht="27" x14ac:dyDescent="0.25">
      <c r="A17" s="3">
        <v>17</v>
      </c>
      <c r="B17" s="3" t="s">
        <v>321</v>
      </c>
      <c r="C17" s="3" t="s">
        <v>46</v>
      </c>
      <c r="D17" s="3">
        <v>294346162</v>
      </c>
      <c r="E17" s="3" t="s">
        <v>322</v>
      </c>
      <c r="F17" s="3" t="s">
        <v>323</v>
      </c>
      <c r="G17" s="3" t="s">
        <v>15</v>
      </c>
      <c r="H17" s="3" t="s">
        <v>256</v>
      </c>
      <c r="I17" s="3" t="s">
        <v>308</v>
      </c>
      <c r="J17" s="3" t="s">
        <v>319</v>
      </c>
      <c r="K17" s="3" t="s">
        <v>324</v>
      </c>
      <c r="L17" s="3">
        <v>0</v>
      </c>
      <c r="M17" s="3" t="s">
        <v>273</v>
      </c>
      <c r="N17" s="2">
        <v>32110</v>
      </c>
    </row>
    <row r="18" spans="1:14" ht="27" x14ac:dyDescent="0.25">
      <c r="A18" s="3">
        <v>18</v>
      </c>
      <c r="B18" s="3" t="s">
        <v>325</v>
      </c>
      <c r="C18" s="3" t="s">
        <v>46</v>
      </c>
      <c r="D18" s="3">
        <v>270878546</v>
      </c>
      <c r="E18" s="3" t="s">
        <v>326</v>
      </c>
      <c r="F18" s="3" t="s">
        <v>327</v>
      </c>
      <c r="G18" s="3" t="s">
        <v>12</v>
      </c>
      <c r="H18" s="3" t="s">
        <v>256</v>
      </c>
      <c r="I18" s="3" t="s">
        <v>308</v>
      </c>
      <c r="J18" s="3" t="s">
        <v>319</v>
      </c>
      <c r="K18" s="3" t="s">
        <v>328</v>
      </c>
      <c r="L18" s="3">
        <v>0</v>
      </c>
      <c r="M18" s="3" t="s">
        <v>273</v>
      </c>
      <c r="N18" s="2">
        <v>37442</v>
      </c>
    </row>
    <row r="19" spans="1:14" x14ac:dyDescent="0.25">
      <c r="A19" s="3">
        <v>19</v>
      </c>
      <c r="B19" s="3" t="s">
        <v>329</v>
      </c>
      <c r="C19" s="3" t="s">
        <v>46</v>
      </c>
      <c r="D19" s="3">
        <v>271427538</v>
      </c>
      <c r="E19" s="3" t="s">
        <v>330</v>
      </c>
      <c r="F19" s="3" t="s">
        <v>331</v>
      </c>
      <c r="G19" s="3" t="s">
        <v>35</v>
      </c>
      <c r="H19" s="3" t="s">
        <v>256</v>
      </c>
      <c r="I19" s="3" t="s">
        <v>257</v>
      </c>
      <c r="J19" s="3" t="s">
        <v>319</v>
      </c>
      <c r="K19" s="3" t="s">
        <v>332</v>
      </c>
      <c r="L19" s="3">
        <v>0</v>
      </c>
      <c r="M19" s="3" t="s">
        <v>273</v>
      </c>
      <c r="N19" s="2">
        <v>29380</v>
      </c>
    </row>
    <row r="20" spans="1:14" x14ac:dyDescent="0.25">
      <c r="A20" s="3">
        <v>20</v>
      </c>
      <c r="B20" s="3" t="s">
        <v>333</v>
      </c>
      <c r="C20" s="3" t="s">
        <v>46</v>
      </c>
      <c r="D20" s="3">
        <v>285253394</v>
      </c>
      <c r="E20" s="3" t="s">
        <v>334</v>
      </c>
      <c r="F20" s="3" t="s">
        <v>335</v>
      </c>
      <c r="G20" s="3" t="s">
        <v>21</v>
      </c>
      <c r="H20" s="3" t="s">
        <v>256</v>
      </c>
      <c r="I20" s="3" t="s">
        <v>308</v>
      </c>
      <c r="J20" s="3" t="s">
        <v>319</v>
      </c>
      <c r="K20" s="3" t="s">
        <v>332</v>
      </c>
      <c r="L20" s="3">
        <v>0</v>
      </c>
      <c r="M20" s="3" t="s">
        <v>273</v>
      </c>
      <c r="N20" s="2">
        <v>26665</v>
      </c>
    </row>
    <row r="21" spans="1:14" ht="27" x14ac:dyDescent="0.25">
      <c r="A21" s="3">
        <v>21</v>
      </c>
      <c r="B21" s="3" t="s">
        <v>336</v>
      </c>
      <c r="C21" s="3" t="s">
        <v>47</v>
      </c>
      <c r="D21" s="3">
        <v>739559256</v>
      </c>
      <c r="E21" s="3">
        <v>491490662</v>
      </c>
      <c r="F21" s="3">
        <v>662141847</v>
      </c>
      <c r="G21" s="3" t="s">
        <v>337</v>
      </c>
      <c r="H21" s="3" t="s">
        <v>256</v>
      </c>
      <c r="I21" s="3" t="s">
        <v>287</v>
      </c>
      <c r="J21" s="3" t="s">
        <v>319</v>
      </c>
      <c r="K21" s="3" t="s">
        <v>332</v>
      </c>
      <c r="L21" s="3">
        <v>0</v>
      </c>
      <c r="M21" s="3" t="s">
        <v>273</v>
      </c>
      <c r="N21" s="2">
        <v>28619</v>
      </c>
    </row>
    <row r="22" spans="1:14" ht="27" x14ac:dyDescent="0.25">
      <c r="A22" s="3">
        <v>22</v>
      </c>
      <c r="B22" s="3" t="s">
        <v>338</v>
      </c>
      <c r="C22" s="3" t="s">
        <v>47</v>
      </c>
      <c r="D22" s="3">
        <v>748821475</v>
      </c>
      <c r="E22" s="3">
        <v>137389930</v>
      </c>
      <c r="F22" s="3">
        <v>924386096</v>
      </c>
      <c r="G22" s="3" t="s">
        <v>339</v>
      </c>
      <c r="H22" s="3" t="s">
        <v>256</v>
      </c>
      <c r="I22" s="3" t="s">
        <v>257</v>
      </c>
      <c r="J22" s="3" t="s">
        <v>319</v>
      </c>
      <c r="K22" s="3" t="s">
        <v>332</v>
      </c>
      <c r="L22" s="3">
        <v>0</v>
      </c>
      <c r="M22" s="3" t="s">
        <v>273</v>
      </c>
      <c r="N22" s="2">
        <v>27223</v>
      </c>
    </row>
    <row r="23" spans="1:14" ht="27" x14ac:dyDescent="0.25">
      <c r="A23" s="3">
        <v>23</v>
      </c>
      <c r="B23" s="3" t="s">
        <v>340</v>
      </c>
      <c r="C23" s="3" t="s">
        <v>47</v>
      </c>
      <c r="D23" s="3">
        <v>964006835</v>
      </c>
      <c r="E23" s="3">
        <v>939924001</v>
      </c>
      <c r="F23" s="3">
        <v>546355942</v>
      </c>
      <c r="G23" s="3" t="s">
        <v>341</v>
      </c>
      <c r="H23" s="3" t="s">
        <v>256</v>
      </c>
      <c r="I23" s="3" t="s">
        <v>257</v>
      </c>
      <c r="J23" s="3" t="s">
        <v>267</v>
      </c>
      <c r="K23" s="3" t="s">
        <v>342</v>
      </c>
      <c r="L23" s="3">
        <v>666425687</v>
      </c>
      <c r="M23" s="3" t="s">
        <v>273</v>
      </c>
      <c r="N23" s="2">
        <v>34044</v>
      </c>
    </row>
    <row r="24" spans="1:14" x14ac:dyDescent="0.25">
      <c r="A24" s="3">
        <v>24</v>
      </c>
      <c r="B24" s="3" t="s">
        <v>343</v>
      </c>
      <c r="C24" s="3" t="s">
        <v>46</v>
      </c>
      <c r="D24" s="3">
        <v>4030626515</v>
      </c>
      <c r="E24" s="3" t="s">
        <v>344</v>
      </c>
      <c r="F24" s="3" t="s">
        <v>345</v>
      </c>
      <c r="G24" s="3" t="s">
        <v>108</v>
      </c>
      <c r="H24" s="3" t="s">
        <v>256</v>
      </c>
      <c r="I24" s="3" t="s">
        <v>266</v>
      </c>
      <c r="J24" s="3" t="s">
        <v>346</v>
      </c>
      <c r="K24" s="3" t="s">
        <v>347</v>
      </c>
      <c r="L24" s="3">
        <v>645789552</v>
      </c>
      <c r="M24" s="3" t="s">
        <v>273</v>
      </c>
      <c r="N24" s="2">
        <v>26538</v>
      </c>
    </row>
    <row r="25" spans="1:14" ht="27" x14ac:dyDescent="0.25">
      <c r="A25" s="3">
        <v>25</v>
      </c>
      <c r="B25" s="3" t="s">
        <v>348</v>
      </c>
      <c r="C25" s="3" t="s">
        <v>47</v>
      </c>
      <c r="D25" s="3">
        <v>561731318</v>
      </c>
      <c r="E25" s="3">
        <v>748571586</v>
      </c>
      <c r="F25" s="3">
        <v>197791269</v>
      </c>
      <c r="G25" s="3" t="s">
        <v>349</v>
      </c>
      <c r="H25" s="3" t="s">
        <v>256</v>
      </c>
      <c r="I25" s="3" t="s">
        <v>308</v>
      </c>
      <c r="J25" s="3" t="s">
        <v>350</v>
      </c>
      <c r="K25" s="3" t="s">
        <v>351</v>
      </c>
      <c r="L25" s="3">
        <v>548763414</v>
      </c>
      <c r="M25" s="3" t="s">
        <v>273</v>
      </c>
      <c r="N25" s="2">
        <v>37225</v>
      </c>
    </row>
    <row r="26" spans="1:14" x14ac:dyDescent="0.25">
      <c r="A26" s="3">
        <v>26</v>
      </c>
      <c r="B26" s="3" t="s">
        <v>352</v>
      </c>
      <c r="C26" s="3" t="s">
        <v>46</v>
      </c>
      <c r="D26" s="3">
        <v>4031186163</v>
      </c>
      <c r="E26" s="3" t="s">
        <v>353</v>
      </c>
      <c r="F26" s="3" t="s">
        <v>354</v>
      </c>
      <c r="G26" s="3" t="s">
        <v>87</v>
      </c>
      <c r="H26" s="3" t="s">
        <v>256</v>
      </c>
      <c r="I26" s="3" t="s">
        <v>287</v>
      </c>
      <c r="J26" s="3" t="s">
        <v>355</v>
      </c>
      <c r="K26" s="3" t="s">
        <v>356</v>
      </c>
      <c r="L26" s="3">
        <v>547925478</v>
      </c>
      <c r="M26" s="3" t="s">
        <v>273</v>
      </c>
      <c r="N26" s="2">
        <v>29458</v>
      </c>
    </row>
    <row r="27" spans="1:14" ht="27" x14ac:dyDescent="0.25">
      <c r="A27" s="3">
        <v>27</v>
      </c>
      <c r="B27" s="3" t="s">
        <v>357</v>
      </c>
      <c r="C27" s="3" t="s">
        <v>46</v>
      </c>
      <c r="D27" s="3">
        <v>4031089507</v>
      </c>
      <c r="E27" s="3" t="s">
        <v>358</v>
      </c>
      <c r="F27" s="3" t="s">
        <v>359</v>
      </c>
      <c r="G27" s="3" t="s">
        <v>93</v>
      </c>
      <c r="H27" s="3" t="s">
        <v>256</v>
      </c>
      <c r="I27" s="3" t="s">
        <v>266</v>
      </c>
      <c r="J27" s="3" t="s">
        <v>360</v>
      </c>
      <c r="K27" s="3" t="s">
        <v>361</v>
      </c>
      <c r="L27" s="3">
        <v>578946324</v>
      </c>
      <c r="M27" s="3" t="s">
        <v>273</v>
      </c>
      <c r="N27" s="2">
        <v>30304</v>
      </c>
    </row>
    <row r="28" spans="1:14" x14ac:dyDescent="0.25">
      <c r="A28" s="3">
        <v>28</v>
      </c>
      <c r="B28" s="3" t="s">
        <v>362</v>
      </c>
      <c r="C28" s="3" t="s">
        <v>46</v>
      </c>
      <c r="D28" s="3">
        <v>295236498</v>
      </c>
      <c r="E28" s="3">
        <v>308162650</v>
      </c>
      <c r="F28" s="3">
        <v>703890532</v>
      </c>
      <c r="G28" s="3" t="s">
        <v>132</v>
      </c>
      <c r="H28" s="3" t="s">
        <v>256</v>
      </c>
      <c r="I28" s="3" t="s">
        <v>257</v>
      </c>
      <c r="J28" s="3" t="s">
        <v>363</v>
      </c>
      <c r="K28" s="3" t="s">
        <v>364</v>
      </c>
      <c r="L28" s="3">
        <v>587241478</v>
      </c>
      <c r="M28" s="3" t="s">
        <v>273</v>
      </c>
      <c r="N28" s="2">
        <v>34375</v>
      </c>
    </row>
    <row r="29" spans="1:14" ht="27" x14ac:dyDescent="0.25">
      <c r="A29" s="3">
        <v>29</v>
      </c>
      <c r="B29" s="3" t="s">
        <v>365</v>
      </c>
      <c r="C29" s="3" t="s">
        <v>46</v>
      </c>
      <c r="D29" s="3">
        <v>2768255075</v>
      </c>
      <c r="E29" s="3" t="s">
        <v>366</v>
      </c>
      <c r="F29" s="3" t="s">
        <v>367</v>
      </c>
      <c r="G29" s="3" t="s">
        <v>85</v>
      </c>
      <c r="H29" s="3" t="s">
        <v>256</v>
      </c>
      <c r="I29" s="3" t="s">
        <v>287</v>
      </c>
      <c r="J29" s="3" t="s">
        <v>368</v>
      </c>
      <c r="K29" s="3" t="s">
        <v>369</v>
      </c>
      <c r="L29" s="3">
        <v>578549636</v>
      </c>
      <c r="M29" s="3" t="s">
        <v>273</v>
      </c>
      <c r="N29" s="2">
        <v>29902</v>
      </c>
    </row>
    <row r="30" spans="1:14" x14ac:dyDescent="0.25">
      <c r="A30" s="3">
        <v>30</v>
      </c>
      <c r="B30" s="3" t="s">
        <v>370</v>
      </c>
      <c r="C30" s="3" t="s">
        <v>47</v>
      </c>
      <c r="D30" s="3">
        <v>567596209</v>
      </c>
      <c r="E30" s="3">
        <v>132890418</v>
      </c>
      <c r="F30" s="3">
        <v>553918784</v>
      </c>
      <c r="G30" s="3" t="s">
        <v>371</v>
      </c>
      <c r="H30" s="3" t="s">
        <v>256</v>
      </c>
      <c r="I30" s="3" t="s">
        <v>308</v>
      </c>
      <c r="J30" s="3" t="s">
        <v>372</v>
      </c>
      <c r="K30" s="3" t="s">
        <v>373</v>
      </c>
      <c r="L30" s="3">
        <v>695965061</v>
      </c>
      <c r="M30" s="3" t="s">
        <v>273</v>
      </c>
      <c r="N30" s="2">
        <v>23056</v>
      </c>
    </row>
    <row r="31" spans="1:14" ht="27" x14ac:dyDescent="0.25">
      <c r="A31" s="3">
        <v>31</v>
      </c>
      <c r="B31" s="3" t="s">
        <v>374</v>
      </c>
      <c r="C31" s="3" t="s">
        <v>47</v>
      </c>
      <c r="D31" s="3">
        <v>803263016</v>
      </c>
      <c r="E31" s="3">
        <v>488300520</v>
      </c>
      <c r="F31" s="3">
        <v>266858479</v>
      </c>
      <c r="G31" s="3" t="s">
        <v>375</v>
      </c>
      <c r="H31" s="3" t="s">
        <v>256</v>
      </c>
      <c r="I31" s="3" t="s">
        <v>308</v>
      </c>
      <c r="J31" s="3" t="s">
        <v>376</v>
      </c>
      <c r="K31" s="3" t="s">
        <v>377</v>
      </c>
      <c r="L31" s="3">
        <v>695965061</v>
      </c>
      <c r="M31" s="3" t="s">
        <v>273</v>
      </c>
      <c r="N31" s="2">
        <v>24524</v>
      </c>
    </row>
    <row r="32" spans="1:14" ht="27" x14ac:dyDescent="0.25">
      <c r="A32" s="3">
        <v>32</v>
      </c>
      <c r="B32" s="3" t="s">
        <v>378</v>
      </c>
      <c r="C32" s="3" t="s">
        <v>47</v>
      </c>
      <c r="D32" s="3">
        <v>17423105</v>
      </c>
      <c r="E32" s="3">
        <v>62384282</v>
      </c>
      <c r="F32" s="3">
        <v>433489627</v>
      </c>
      <c r="G32" s="3" t="s">
        <v>379</v>
      </c>
      <c r="H32" s="3" t="s">
        <v>256</v>
      </c>
      <c r="I32" s="3" t="s">
        <v>287</v>
      </c>
      <c r="J32" s="3" t="s">
        <v>380</v>
      </c>
      <c r="K32" s="3" t="s">
        <v>381</v>
      </c>
      <c r="L32" s="3">
        <v>613297149</v>
      </c>
      <c r="M32" s="3" t="s">
        <v>273</v>
      </c>
      <c r="N32" s="2">
        <v>33455</v>
      </c>
    </row>
    <row r="33" spans="1:14" ht="27" x14ac:dyDescent="0.25">
      <c r="A33" s="3">
        <v>33</v>
      </c>
      <c r="B33" s="3" t="s">
        <v>382</v>
      </c>
      <c r="C33" s="3" t="s">
        <v>47</v>
      </c>
      <c r="D33" s="3">
        <v>578795553</v>
      </c>
      <c r="E33" s="3">
        <v>944130496</v>
      </c>
      <c r="F33" s="3">
        <v>351345144</v>
      </c>
      <c r="G33" s="3" t="s">
        <v>383</v>
      </c>
      <c r="H33" s="3" t="s">
        <v>256</v>
      </c>
      <c r="I33" s="3" t="s">
        <v>384</v>
      </c>
      <c r="J33" s="3" t="s">
        <v>385</v>
      </c>
      <c r="K33" s="3" t="s">
        <v>386</v>
      </c>
      <c r="L33" s="3">
        <v>625785540</v>
      </c>
      <c r="M33" s="3" t="s">
        <v>273</v>
      </c>
      <c r="N33" s="2">
        <v>36037</v>
      </c>
    </row>
    <row r="34" spans="1:14" ht="27" x14ac:dyDescent="0.25">
      <c r="A34" s="3">
        <v>34</v>
      </c>
      <c r="B34" s="3" t="s">
        <v>387</v>
      </c>
      <c r="C34" s="3" t="s">
        <v>47</v>
      </c>
      <c r="D34" s="3">
        <v>939935174</v>
      </c>
      <c r="E34" s="3">
        <v>615857202</v>
      </c>
      <c r="F34" s="3">
        <v>52937929</v>
      </c>
      <c r="G34" s="3" t="s">
        <v>388</v>
      </c>
      <c r="H34" s="3" t="s">
        <v>256</v>
      </c>
      <c r="I34" s="3" t="s">
        <v>389</v>
      </c>
      <c r="J34" s="3" t="s">
        <v>390</v>
      </c>
      <c r="K34" s="3" t="s">
        <v>391</v>
      </c>
      <c r="L34" s="3">
        <v>657821458</v>
      </c>
      <c r="M34" s="3" t="s">
        <v>273</v>
      </c>
      <c r="N34" s="2">
        <v>35804</v>
      </c>
    </row>
    <row r="35" spans="1:14" ht="27" x14ac:dyDescent="0.25">
      <c r="A35" s="3">
        <v>35</v>
      </c>
      <c r="B35" s="3" t="s">
        <v>392</v>
      </c>
      <c r="C35" s="3" t="s">
        <v>47</v>
      </c>
      <c r="D35" s="3">
        <v>520938461</v>
      </c>
      <c r="E35" s="3">
        <v>40313471</v>
      </c>
      <c r="F35" s="3">
        <v>805127742</v>
      </c>
      <c r="G35" s="3" t="s">
        <v>393</v>
      </c>
      <c r="H35" s="3" t="s">
        <v>256</v>
      </c>
      <c r="I35" s="3" t="s">
        <v>308</v>
      </c>
      <c r="J35" s="3" t="s">
        <v>394</v>
      </c>
      <c r="K35" s="3" t="s">
        <v>395</v>
      </c>
      <c r="L35" s="3">
        <v>587958478</v>
      </c>
      <c r="M35" s="3" t="s">
        <v>273</v>
      </c>
      <c r="N35" s="2">
        <v>29934</v>
      </c>
    </row>
    <row r="36" spans="1:14" ht="27" x14ac:dyDescent="0.25">
      <c r="A36" s="3">
        <v>36</v>
      </c>
      <c r="B36" s="3" t="s">
        <v>396</v>
      </c>
      <c r="C36" s="3" t="s">
        <v>46</v>
      </c>
      <c r="D36" s="3">
        <v>2768166723</v>
      </c>
      <c r="E36" s="3" t="s">
        <v>397</v>
      </c>
      <c r="F36" s="3" t="s">
        <v>398</v>
      </c>
      <c r="G36" s="3" t="s">
        <v>81</v>
      </c>
      <c r="H36" s="3" t="s">
        <v>256</v>
      </c>
      <c r="I36" s="3" t="s">
        <v>287</v>
      </c>
      <c r="J36" s="3" t="s">
        <v>399</v>
      </c>
      <c r="K36" s="3" t="s">
        <v>400</v>
      </c>
      <c r="L36" s="3">
        <v>987584714</v>
      </c>
      <c r="M36" s="3" t="s">
        <v>273</v>
      </c>
      <c r="N36" s="2">
        <v>29368</v>
      </c>
    </row>
    <row r="37" spans="1:14" ht="27" x14ac:dyDescent="0.25">
      <c r="A37" s="3">
        <v>37</v>
      </c>
      <c r="B37" s="3" t="s">
        <v>401</v>
      </c>
      <c r="C37" s="3" t="s">
        <v>47</v>
      </c>
      <c r="D37" s="3">
        <v>449212194</v>
      </c>
      <c r="E37" s="3">
        <v>303594667</v>
      </c>
      <c r="F37" s="3">
        <v>929136920</v>
      </c>
      <c r="G37" s="3" t="s">
        <v>402</v>
      </c>
      <c r="H37" s="3" t="s">
        <v>256</v>
      </c>
      <c r="I37" s="3" t="s">
        <v>287</v>
      </c>
      <c r="J37" s="3" t="s">
        <v>403</v>
      </c>
      <c r="K37" s="3" t="s">
        <v>404</v>
      </c>
      <c r="L37" s="3">
        <v>587361478</v>
      </c>
      <c r="M37" s="3" t="s">
        <v>273</v>
      </c>
      <c r="N37" s="2">
        <v>29963</v>
      </c>
    </row>
    <row r="38" spans="1:14" x14ac:dyDescent="0.25">
      <c r="A38" s="3">
        <v>38</v>
      </c>
      <c r="B38" s="3" t="s">
        <v>405</v>
      </c>
      <c r="C38" s="3" t="s">
        <v>46</v>
      </c>
      <c r="D38" s="3">
        <v>22</v>
      </c>
      <c r="E38" s="3" t="s">
        <v>11</v>
      </c>
      <c r="F38" s="3" t="s">
        <v>406</v>
      </c>
      <c r="G38" s="3" t="s">
        <v>130</v>
      </c>
      <c r="H38" s="3" t="s">
        <v>407</v>
      </c>
      <c r="I38" s="3" t="s">
        <v>408</v>
      </c>
      <c r="J38" s="3" t="s">
        <v>409</v>
      </c>
      <c r="K38" s="3" t="s">
        <v>410</v>
      </c>
      <c r="L38" s="3">
        <v>8784512</v>
      </c>
      <c r="M38" s="3" t="s">
        <v>273</v>
      </c>
      <c r="N38" s="2">
        <v>25431</v>
      </c>
    </row>
    <row r="39" spans="1:14" x14ac:dyDescent="0.25">
      <c r="A39" s="3">
        <v>39</v>
      </c>
      <c r="B39" s="3" t="s">
        <v>411</v>
      </c>
      <c r="C39" s="3" t="s">
        <v>46</v>
      </c>
      <c r="D39" s="3">
        <v>2767662051</v>
      </c>
      <c r="E39" s="3" t="s">
        <v>412</v>
      </c>
      <c r="F39" s="3" t="s">
        <v>413</v>
      </c>
      <c r="G39" s="3" t="s">
        <v>91</v>
      </c>
      <c r="H39" s="3" t="s">
        <v>256</v>
      </c>
      <c r="I39" s="3" t="s">
        <v>266</v>
      </c>
      <c r="J39" s="3">
        <v>784322664</v>
      </c>
      <c r="K39" s="3" t="s">
        <v>414</v>
      </c>
      <c r="L39" s="3">
        <v>547898445</v>
      </c>
      <c r="M39" s="3" t="s">
        <v>273</v>
      </c>
      <c r="N39" s="2">
        <v>34602</v>
      </c>
    </row>
    <row r="40" spans="1:14" ht="27" x14ac:dyDescent="0.25">
      <c r="A40" s="3">
        <v>40</v>
      </c>
      <c r="B40" s="3" t="s">
        <v>415</v>
      </c>
      <c r="C40" s="3" t="s">
        <v>46</v>
      </c>
      <c r="D40" s="3">
        <v>4030360723</v>
      </c>
      <c r="E40" s="3" t="s">
        <v>416</v>
      </c>
      <c r="F40" s="3" t="s">
        <v>417</v>
      </c>
      <c r="G40" s="3" t="s">
        <v>79</v>
      </c>
      <c r="H40" s="3" t="s">
        <v>256</v>
      </c>
      <c r="I40" s="3" t="s">
        <v>287</v>
      </c>
      <c r="J40" s="3" t="s">
        <v>418</v>
      </c>
      <c r="K40" s="3" t="s">
        <v>419</v>
      </c>
      <c r="L40" s="3">
        <v>854721443</v>
      </c>
      <c r="M40" s="3" t="s">
        <v>273</v>
      </c>
      <c r="N40" s="2">
        <v>31966</v>
      </c>
    </row>
    <row r="41" spans="1:14" x14ac:dyDescent="0.25">
      <c r="A41" s="3">
        <v>41</v>
      </c>
      <c r="B41" s="3" t="s">
        <v>420</v>
      </c>
      <c r="C41" s="3" t="s">
        <v>46</v>
      </c>
      <c r="D41" s="3">
        <v>4030520723</v>
      </c>
      <c r="E41" s="3" t="s">
        <v>8</v>
      </c>
      <c r="F41" s="3" t="s">
        <v>421</v>
      </c>
      <c r="G41" s="3" t="s">
        <v>89</v>
      </c>
      <c r="H41" s="3" t="s">
        <v>256</v>
      </c>
      <c r="I41" s="3" t="s">
        <v>389</v>
      </c>
      <c r="J41" s="3" t="s">
        <v>422</v>
      </c>
      <c r="K41" s="3" t="s">
        <v>423</v>
      </c>
      <c r="L41" s="3">
        <v>458782535</v>
      </c>
      <c r="M41" s="3" t="s">
        <v>273</v>
      </c>
      <c r="N41" s="2">
        <v>31087</v>
      </c>
    </row>
    <row r="42" spans="1:14" ht="27" x14ac:dyDescent="0.25">
      <c r="A42" s="3">
        <v>42</v>
      </c>
      <c r="B42" s="3" t="s">
        <v>424</v>
      </c>
      <c r="C42" s="3" t="s">
        <v>47</v>
      </c>
      <c r="D42" s="3">
        <v>450496996</v>
      </c>
      <c r="E42" s="3">
        <v>121468062</v>
      </c>
      <c r="F42" s="3">
        <v>24031793</v>
      </c>
      <c r="G42" s="3" t="s">
        <v>425</v>
      </c>
      <c r="H42" s="3" t="s">
        <v>256</v>
      </c>
      <c r="I42" s="3" t="s">
        <v>270</v>
      </c>
      <c r="J42" s="3" t="s">
        <v>426</v>
      </c>
      <c r="K42" s="3" t="s">
        <v>427</v>
      </c>
      <c r="L42" s="3">
        <v>879614228</v>
      </c>
      <c r="M42" s="3" t="s">
        <v>273</v>
      </c>
      <c r="N42" s="2">
        <v>31934</v>
      </c>
    </row>
    <row r="43" spans="1:14" ht="27" x14ac:dyDescent="0.25">
      <c r="A43" s="3">
        <v>43</v>
      </c>
      <c r="B43" s="3" t="s">
        <v>428</v>
      </c>
      <c r="C43" s="3" t="s">
        <v>47</v>
      </c>
      <c r="D43" s="3">
        <v>608147024</v>
      </c>
      <c r="E43" s="3">
        <v>86880612</v>
      </c>
      <c r="F43" s="3">
        <v>665703333</v>
      </c>
      <c r="G43" s="3" t="s">
        <v>429</v>
      </c>
      <c r="H43" s="3" t="s">
        <v>256</v>
      </c>
      <c r="I43" s="3" t="s">
        <v>389</v>
      </c>
      <c r="J43" s="3" t="s">
        <v>430</v>
      </c>
      <c r="K43" s="3" t="s">
        <v>431</v>
      </c>
      <c r="L43" s="3">
        <v>587426578</v>
      </c>
      <c r="M43" s="3" t="s">
        <v>273</v>
      </c>
      <c r="N43" s="2">
        <v>33362</v>
      </c>
    </row>
    <row r="44" spans="1:14" ht="27" x14ac:dyDescent="0.25">
      <c r="A44" s="3">
        <v>44</v>
      </c>
      <c r="B44" s="3" t="s">
        <v>432</v>
      </c>
      <c r="C44" s="3" t="s">
        <v>46</v>
      </c>
      <c r="D44" s="3">
        <v>2768247011</v>
      </c>
      <c r="E44" s="3" t="s">
        <v>433</v>
      </c>
      <c r="F44" s="3" t="s">
        <v>434</v>
      </c>
      <c r="G44" s="3" t="s">
        <v>77</v>
      </c>
      <c r="H44" s="3" t="s">
        <v>256</v>
      </c>
      <c r="I44" s="3" t="s">
        <v>287</v>
      </c>
      <c r="J44" s="3" t="s">
        <v>435</v>
      </c>
      <c r="K44" s="3" t="s">
        <v>436</v>
      </c>
      <c r="L44" s="3">
        <v>578412147</v>
      </c>
      <c r="M44" s="3" t="s">
        <v>273</v>
      </c>
      <c r="N44" s="2">
        <v>28153</v>
      </c>
    </row>
    <row r="45" spans="1:14" ht="27" x14ac:dyDescent="0.25">
      <c r="A45" s="3">
        <v>45</v>
      </c>
      <c r="B45" s="3" t="s">
        <v>437</v>
      </c>
      <c r="C45" s="3" t="s">
        <v>47</v>
      </c>
      <c r="D45" s="3">
        <v>841974920</v>
      </c>
      <c r="E45" s="3">
        <v>570812129</v>
      </c>
      <c r="F45" s="3">
        <v>786439317</v>
      </c>
      <c r="G45" s="3" t="s">
        <v>438</v>
      </c>
      <c r="H45" s="3" t="s">
        <v>256</v>
      </c>
      <c r="I45" s="3" t="s">
        <v>389</v>
      </c>
      <c r="J45" s="3" t="s">
        <v>439</v>
      </c>
      <c r="K45" s="3" t="s">
        <v>440</v>
      </c>
      <c r="L45" s="3">
        <v>587947563</v>
      </c>
      <c r="M45" s="3" t="s">
        <v>273</v>
      </c>
      <c r="N45" s="2">
        <v>33314</v>
      </c>
    </row>
    <row r="46" spans="1:14" ht="27" x14ac:dyDescent="0.25">
      <c r="A46" s="3">
        <v>46</v>
      </c>
      <c r="B46" s="3" t="s">
        <v>441</v>
      </c>
      <c r="C46" s="3" t="s">
        <v>47</v>
      </c>
      <c r="D46" s="3">
        <v>457834379</v>
      </c>
      <c r="E46" s="3">
        <v>403191240</v>
      </c>
      <c r="F46" s="3">
        <v>226258207</v>
      </c>
      <c r="G46" s="3" t="s">
        <v>106</v>
      </c>
      <c r="H46" s="3" t="s">
        <v>256</v>
      </c>
      <c r="I46" s="3" t="s">
        <v>287</v>
      </c>
      <c r="J46" s="3" t="s">
        <v>442</v>
      </c>
      <c r="K46" s="3" t="s">
        <v>443</v>
      </c>
      <c r="L46" s="3">
        <v>589632147</v>
      </c>
      <c r="M46" s="3" t="s">
        <v>273</v>
      </c>
      <c r="N46" s="2">
        <v>35704</v>
      </c>
    </row>
    <row r="47" spans="1:14" ht="27" x14ac:dyDescent="0.25">
      <c r="A47" s="3">
        <v>47</v>
      </c>
      <c r="B47" s="3" t="s">
        <v>444</v>
      </c>
      <c r="C47" s="3" t="s">
        <v>46</v>
      </c>
      <c r="D47" s="3">
        <v>2768202659</v>
      </c>
      <c r="E47" s="3" t="s">
        <v>445</v>
      </c>
      <c r="F47" s="3" t="s">
        <v>446</v>
      </c>
      <c r="G47" s="3" t="s">
        <v>83</v>
      </c>
      <c r="H47" s="3" t="s">
        <v>256</v>
      </c>
      <c r="I47" s="3" t="s">
        <v>266</v>
      </c>
      <c r="J47" s="3" t="s">
        <v>447</v>
      </c>
      <c r="K47" s="3" t="s">
        <v>448</v>
      </c>
      <c r="L47" s="3">
        <v>587412369</v>
      </c>
      <c r="M47" s="3" t="s">
        <v>273</v>
      </c>
      <c r="N47" s="2">
        <v>29080</v>
      </c>
    </row>
    <row r="48" spans="1:14" ht="27" x14ac:dyDescent="0.25">
      <c r="A48" s="3">
        <v>48</v>
      </c>
      <c r="B48" s="3" t="s">
        <v>449</v>
      </c>
      <c r="C48" s="3" t="s">
        <v>47</v>
      </c>
      <c r="D48" s="3">
        <v>418980932</v>
      </c>
      <c r="E48" s="3">
        <v>664375200</v>
      </c>
      <c r="F48" s="3">
        <v>423555499</v>
      </c>
      <c r="G48" s="3" t="s">
        <v>450</v>
      </c>
      <c r="H48" s="3" t="s">
        <v>256</v>
      </c>
      <c r="I48" s="3" t="s">
        <v>257</v>
      </c>
      <c r="J48" s="3" t="s">
        <v>451</v>
      </c>
      <c r="K48" s="3" t="s">
        <v>452</v>
      </c>
      <c r="L48" s="3">
        <v>0</v>
      </c>
      <c r="M48" s="3" t="s">
        <v>273</v>
      </c>
      <c r="N48" s="2">
        <v>30265</v>
      </c>
    </row>
    <row r="49" spans="1:14" ht="27" x14ac:dyDescent="0.25">
      <c r="A49" s="3">
        <v>49</v>
      </c>
      <c r="B49" s="3" t="s">
        <v>453</v>
      </c>
      <c r="C49" s="3" t="s">
        <v>47</v>
      </c>
      <c r="D49" s="3">
        <v>527811781</v>
      </c>
      <c r="E49" s="3">
        <v>617499790</v>
      </c>
      <c r="F49" s="3">
        <v>2088703</v>
      </c>
      <c r="G49" s="3" t="s">
        <v>454</v>
      </c>
      <c r="H49" s="3" t="s">
        <v>256</v>
      </c>
      <c r="I49" s="3" t="s">
        <v>257</v>
      </c>
      <c r="J49" s="3" t="s">
        <v>455</v>
      </c>
      <c r="K49" s="3" t="s">
        <v>456</v>
      </c>
      <c r="L49" s="3">
        <v>0</v>
      </c>
      <c r="M49" s="3" t="s">
        <v>273</v>
      </c>
      <c r="N49" s="2">
        <v>23923</v>
      </c>
    </row>
    <row r="50" spans="1:14" ht="27" x14ac:dyDescent="0.25">
      <c r="A50" s="3">
        <v>50</v>
      </c>
      <c r="B50" s="3" t="s">
        <v>457</v>
      </c>
      <c r="C50" s="3" t="s">
        <v>46</v>
      </c>
      <c r="D50" s="3">
        <v>2768166435</v>
      </c>
      <c r="E50" s="3" t="s">
        <v>458</v>
      </c>
      <c r="F50" s="3" t="s">
        <v>459</v>
      </c>
      <c r="G50" s="3" t="s">
        <v>39</v>
      </c>
      <c r="H50" s="3" t="s">
        <v>256</v>
      </c>
      <c r="I50" s="3" t="s">
        <v>257</v>
      </c>
      <c r="J50" s="3" t="s">
        <v>451</v>
      </c>
      <c r="K50" s="3" t="s">
        <v>460</v>
      </c>
      <c r="L50" s="3">
        <v>0</v>
      </c>
      <c r="M50" s="3" t="s">
        <v>273</v>
      </c>
      <c r="N50" s="2">
        <v>28032</v>
      </c>
    </row>
    <row r="51" spans="1:14" x14ac:dyDescent="0.25">
      <c r="A51" s="3">
        <v>51</v>
      </c>
      <c r="B51" s="3" t="s">
        <v>461</v>
      </c>
      <c r="C51" s="3" t="s">
        <v>46</v>
      </c>
      <c r="D51" s="3">
        <v>2768168851</v>
      </c>
      <c r="E51" s="3" t="s">
        <v>462</v>
      </c>
      <c r="F51" s="3" t="s">
        <v>463</v>
      </c>
      <c r="G51" s="3" t="s">
        <v>34</v>
      </c>
      <c r="H51" s="3" t="s">
        <v>256</v>
      </c>
      <c r="I51" s="3" t="s">
        <v>287</v>
      </c>
      <c r="J51" s="3" t="s">
        <v>451</v>
      </c>
      <c r="K51" s="3" t="s">
        <v>464</v>
      </c>
      <c r="L51" s="3">
        <v>0</v>
      </c>
      <c r="M51" s="3" t="s">
        <v>273</v>
      </c>
      <c r="N51" s="2">
        <v>35364</v>
      </c>
    </row>
    <row r="52" spans="1:14" ht="27" x14ac:dyDescent="0.25">
      <c r="A52" s="3">
        <v>52</v>
      </c>
      <c r="B52" s="3" t="s">
        <v>465</v>
      </c>
      <c r="C52" s="3" t="s">
        <v>46</v>
      </c>
      <c r="D52" s="3">
        <v>4031884915</v>
      </c>
      <c r="E52" s="3" t="s">
        <v>466</v>
      </c>
      <c r="F52" s="3" t="s">
        <v>16</v>
      </c>
      <c r="G52" s="3" t="s">
        <v>17</v>
      </c>
      <c r="H52" s="3" t="s">
        <v>256</v>
      </c>
      <c r="I52" s="3" t="s">
        <v>287</v>
      </c>
      <c r="J52" s="3" t="s">
        <v>451</v>
      </c>
      <c r="K52" s="3" t="s">
        <v>467</v>
      </c>
      <c r="L52" s="3">
        <v>0</v>
      </c>
      <c r="M52" s="3" t="s">
        <v>273</v>
      </c>
      <c r="N52" s="2">
        <v>31323</v>
      </c>
    </row>
    <row r="53" spans="1:14" x14ac:dyDescent="0.25">
      <c r="A53" s="3">
        <v>53</v>
      </c>
      <c r="B53" s="3" t="s">
        <v>468</v>
      </c>
      <c r="C53" s="3" t="s">
        <v>46</v>
      </c>
      <c r="D53" s="3">
        <v>4031187683</v>
      </c>
      <c r="E53" s="3" t="s">
        <v>469</v>
      </c>
      <c r="F53" s="3" t="s">
        <v>470</v>
      </c>
      <c r="G53" s="3" t="s">
        <v>14</v>
      </c>
      <c r="H53" s="3" t="s">
        <v>256</v>
      </c>
      <c r="I53" s="3" t="s">
        <v>287</v>
      </c>
      <c r="J53" s="3" t="s">
        <v>471</v>
      </c>
      <c r="K53" s="3" t="s">
        <v>472</v>
      </c>
      <c r="L53" s="3">
        <v>622786290</v>
      </c>
      <c r="M53" s="3" t="s">
        <v>273</v>
      </c>
      <c r="N53" s="2">
        <v>34344</v>
      </c>
    </row>
    <row r="54" spans="1:14" x14ac:dyDescent="0.25">
      <c r="A54" s="3">
        <v>54</v>
      </c>
      <c r="B54" s="3" t="s">
        <v>473</v>
      </c>
      <c r="C54" s="3" t="s">
        <v>47</v>
      </c>
      <c r="D54" s="3">
        <v>342952104</v>
      </c>
      <c r="E54" s="3">
        <v>122258811</v>
      </c>
      <c r="F54" s="3">
        <v>785220906</v>
      </c>
      <c r="G54" s="3" t="s">
        <v>102</v>
      </c>
      <c r="H54" s="3" t="s">
        <v>256</v>
      </c>
      <c r="I54" s="3" t="s">
        <v>308</v>
      </c>
      <c r="J54" s="3" t="s">
        <v>474</v>
      </c>
      <c r="K54" s="3" t="s">
        <v>472</v>
      </c>
      <c r="L54" s="3">
        <v>0</v>
      </c>
      <c r="M54" s="3" t="s">
        <v>273</v>
      </c>
      <c r="N54" s="2">
        <v>35494</v>
      </c>
    </row>
    <row r="55" spans="1:14" x14ac:dyDescent="0.25">
      <c r="A55" s="3">
        <v>55</v>
      </c>
      <c r="B55" s="3" t="s">
        <v>475</v>
      </c>
      <c r="C55" s="3" t="s">
        <v>47</v>
      </c>
      <c r="D55" s="3">
        <v>82625197</v>
      </c>
      <c r="E55" s="3">
        <v>912523262</v>
      </c>
      <c r="F55" s="3">
        <v>3304176</v>
      </c>
      <c r="G55" s="3" t="s">
        <v>98</v>
      </c>
      <c r="H55" s="3" t="s">
        <v>256</v>
      </c>
      <c r="I55" s="3" t="s">
        <v>308</v>
      </c>
      <c r="J55" s="3" t="s">
        <v>476</v>
      </c>
      <c r="K55" s="3" t="s">
        <v>477</v>
      </c>
      <c r="L55" s="3">
        <v>0</v>
      </c>
      <c r="M55" s="3" t="s">
        <v>273</v>
      </c>
      <c r="N55" s="2">
        <v>36212</v>
      </c>
    </row>
    <row r="56" spans="1:14" ht="27" x14ac:dyDescent="0.25">
      <c r="A56" s="3">
        <v>56</v>
      </c>
      <c r="B56" s="3" t="s">
        <v>478</v>
      </c>
      <c r="C56" s="3" t="s">
        <v>47</v>
      </c>
      <c r="D56" s="3">
        <v>868383815</v>
      </c>
      <c r="E56" s="3">
        <v>570966308</v>
      </c>
      <c r="F56" s="3">
        <v>154984600</v>
      </c>
      <c r="G56" s="3" t="s">
        <v>104</v>
      </c>
      <c r="H56" s="3" t="s">
        <v>256</v>
      </c>
      <c r="I56" s="3" t="s">
        <v>287</v>
      </c>
      <c r="J56" s="3" t="s">
        <v>479</v>
      </c>
      <c r="K56" s="3" t="s">
        <v>480</v>
      </c>
      <c r="L56" s="3">
        <v>0</v>
      </c>
      <c r="M56" s="3" t="s">
        <v>273</v>
      </c>
      <c r="N56" s="2">
        <v>28582</v>
      </c>
    </row>
    <row r="57" spans="1:14" ht="27" x14ac:dyDescent="0.25">
      <c r="A57" s="3">
        <v>57</v>
      </c>
      <c r="B57" s="3" t="s">
        <v>481</v>
      </c>
      <c r="C57" s="3" t="s">
        <v>47</v>
      </c>
      <c r="D57" s="3">
        <v>315623139</v>
      </c>
      <c r="E57" s="3">
        <v>770591990</v>
      </c>
      <c r="F57" s="3">
        <v>667096575</v>
      </c>
      <c r="G57" s="3" t="s">
        <v>482</v>
      </c>
      <c r="H57" s="3" t="s">
        <v>256</v>
      </c>
      <c r="I57" s="3" t="s">
        <v>308</v>
      </c>
      <c r="J57" s="3" t="s">
        <v>479</v>
      </c>
      <c r="K57" s="3" t="s">
        <v>483</v>
      </c>
      <c r="L57" s="3">
        <v>0</v>
      </c>
      <c r="M57" s="3" t="s">
        <v>273</v>
      </c>
      <c r="N57" s="2">
        <v>35721</v>
      </c>
    </row>
    <row r="58" spans="1:14" ht="27" x14ac:dyDescent="0.25">
      <c r="A58" s="3">
        <v>58</v>
      </c>
      <c r="B58" s="3" t="s">
        <v>484</v>
      </c>
      <c r="C58" s="3" t="s">
        <v>47</v>
      </c>
      <c r="D58" s="3">
        <v>351514917</v>
      </c>
      <c r="E58" s="3">
        <v>12195791</v>
      </c>
      <c r="F58" s="3">
        <v>365329689</v>
      </c>
      <c r="G58" s="3" t="s">
        <v>485</v>
      </c>
      <c r="H58" s="3" t="s">
        <v>256</v>
      </c>
      <c r="I58" s="3" t="s">
        <v>308</v>
      </c>
      <c r="J58" s="3" t="s">
        <v>476</v>
      </c>
      <c r="K58" s="3" t="s">
        <v>486</v>
      </c>
      <c r="L58" s="3">
        <v>0</v>
      </c>
      <c r="M58" s="3" t="s">
        <v>273</v>
      </c>
      <c r="N58" s="2">
        <v>28343</v>
      </c>
    </row>
    <row r="59" spans="1:14" x14ac:dyDescent="0.25">
      <c r="A59" s="3">
        <v>59</v>
      </c>
      <c r="B59" s="3" t="s">
        <v>487</v>
      </c>
      <c r="C59" s="3" t="s">
        <v>47</v>
      </c>
      <c r="D59" s="3">
        <v>98960916</v>
      </c>
      <c r="E59" s="3">
        <v>908828210</v>
      </c>
      <c r="F59" s="3">
        <v>48881200</v>
      </c>
      <c r="G59" s="3" t="s">
        <v>488</v>
      </c>
      <c r="H59" s="3" t="s">
        <v>256</v>
      </c>
      <c r="I59" s="3" t="s">
        <v>270</v>
      </c>
      <c r="J59" s="3" t="s">
        <v>474</v>
      </c>
      <c r="K59" s="3" t="s">
        <v>489</v>
      </c>
      <c r="L59" s="3">
        <v>0</v>
      </c>
      <c r="M59" s="3" t="s">
        <v>273</v>
      </c>
      <c r="N59" s="2">
        <v>28123</v>
      </c>
    </row>
    <row r="60" spans="1:14" ht="27" x14ac:dyDescent="0.25">
      <c r="A60" s="3">
        <v>60</v>
      </c>
      <c r="B60" s="3" t="s">
        <v>490</v>
      </c>
      <c r="C60" s="3" t="s">
        <v>47</v>
      </c>
      <c r="D60" s="3">
        <v>84368469</v>
      </c>
      <c r="E60" s="3">
        <v>510562589</v>
      </c>
      <c r="F60" s="3">
        <v>53504266</v>
      </c>
      <c r="G60" s="3" t="s">
        <v>100</v>
      </c>
      <c r="H60" s="3" t="s">
        <v>256</v>
      </c>
      <c r="I60" s="3" t="s">
        <v>491</v>
      </c>
      <c r="J60" s="3" t="s">
        <v>471</v>
      </c>
      <c r="K60" s="3" t="s">
        <v>492</v>
      </c>
      <c r="L60" s="3">
        <v>0</v>
      </c>
      <c r="M60" s="3" t="s">
        <v>273</v>
      </c>
      <c r="N60" s="2">
        <v>26042</v>
      </c>
    </row>
    <row r="61" spans="1:14" ht="27" x14ac:dyDescent="0.25">
      <c r="A61" s="3">
        <v>61</v>
      </c>
      <c r="B61" s="3" t="s">
        <v>493</v>
      </c>
      <c r="C61" s="3" t="s">
        <v>47</v>
      </c>
      <c r="D61" s="3">
        <v>552519778</v>
      </c>
      <c r="E61" s="3">
        <v>512666982</v>
      </c>
      <c r="F61" s="3">
        <v>210662485</v>
      </c>
      <c r="G61" s="3" t="s">
        <v>494</v>
      </c>
      <c r="H61" s="3" t="s">
        <v>256</v>
      </c>
      <c r="I61" s="3" t="s">
        <v>266</v>
      </c>
      <c r="J61" s="3" t="s">
        <v>258</v>
      </c>
      <c r="K61" s="3" t="s">
        <v>489</v>
      </c>
      <c r="L61" s="3">
        <v>0</v>
      </c>
      <c r="M61" s="3" t="s">
        <v>273</v>
      </c>
      <c r="N61" s="2">
        <v>33375</v>
      </c>
    </row>
    <row r="62" spans="1:14" x14ac:dyDescent="0.25">
      <c r="A62" s="3">
        <v>62</v>
      </c>
      <c r="B62" s="3" t="s">
        <v>495</v>
      </c>
      <c r="C62" s="3" t="s">
        <v>46</v>
      </c>
      <c r="D62" s="3">
        <v>271080770</v>
      </c>
      <c r="E62" s="3" t="s">
        <v>496</v>
      </c>
      <c r="F62" s="3" t="s">
        <v>497</v>
      </c>
      <c r="G62" s="3" t="s">
        <v>40</v>
      </c>
      <c r="H62" s="3" t="s">
        <v>256</v>
      </c>
      <c r="I62" s="3" t="s">
        <v>257</v>
      </c>
      <c r="J62" s="3" t="s">
        <v>319</v>
      </c>
      <c r="K62" s="3" t="s">
        <v>498</v>
      </c>
      <c r="L62" s="3">
        <v>0</v>
      </c>
      <c r="M62" s="3" t="s">
        <v>273</v>
      </c>
      <c r="N62" s="2">
        <v>30876</v>
      </c>
    </row>
    <row r="63" spans="1:14" ht="27" x14ac:dyDescent="0.25">
      <c r="A63" s="3">
        <v>63</v>
      </c>
      <c r="B63" s="3" t="s">
        <v>499</v>
      </c>
      <c r="C63" s="3" t="s">
        <v>47</v>
      </c>
      <c r="D63" s="3">
        <v>87925184</v>
      </c>
      <c r="E63" s="3">
        <v>523668689</v>
      </c>
      <c r="F63" s="3">
        <v>589375436</v>
      </c>
      <c r="G63" s="3" t="s">
        <v>500</v>
      </c>
      <c r="H63" s="3" t="s">
        <v>256</v>
      </c>
      <c r="I63" s="3" t="s">
        <v>308</v>
      </c>
      <c r="J63" s="3" t="s">
        <v>319</v>
      </c>
      <c r="K63" s="3" t="s">
        <v>492</v>
      </c>
      <c r="L63" s="3">
        <v>0</v>
      </c>
      <c r="M63" s="3" t="s">
        <v>273</v>
      </c>
      <c r="N63" s="2">
        <v>27271</v>
      </c>
    </row>
    <row r="64" spans="1:14" x14ac:dyDescent="0.25">
      <c r="A64" s="3">
        <v>64</v>
      </c>
      <c r="B64" s="3" t="s">
        <v>501</v>
      </c>
      <c r="C64" s="3" t="s">
        <v>46</v>
      </c>
      <c r="D64" s="3">
        <v>4032109267</v>
      </c>
      <c r="E64" s="3" t="s">
        <v>502</v>
      </c>
      <c r="F64" s="3" t="s">
        <v>503</v>
      </c>
      <c r="G64" s="3" t="s">
        <v>13</v>
      </c>
      <c r="H64" s="3" t="s">
        <v>256</v>
      </c>
      <c r="I64" s="3" t="s">
        <v>257</v>
      </c>
      <c r="J64" s="3" t="s">
        <v>476</v>
      </c>
      <c r="K64" s="3" t="s">
        <v>504</v>
      </c>
      <c r="L64" s="3">
        <v>666666666</v>
      </c>
      <c r="M64" s="3" t="s">
        <v>273</v>
      </c>
      <c r="N64" s="2">
        <v>37511</v>
      </c>
    </row>
    <row r="65" spans="1:14" x14ac:dyDescent="0.25">
      <c r="A65" s="3">
        <v>65</v>
      </c>
      <c r="B65" s="3" t="s">
        <v>505</v>
      </c>
      <c r="C65" s="3" t="s">
        <v>46</v>
      </c>
      <c r="D65" s="3">
        <v>284979202</v>
      </c>
      <c r="E65" s="3" t="s">
        <v>506</v>
      </c>
      <c r="F65" s="3" t="s">
        <v>507</v>
      </c>
      <c r="G65" s="3" t="s">
        <v>26</v>
      </c>
      <c r="H65" s="3" t="s">
        <v>256</v>
      </c>
      <c r="I65" s="3" t="s">
        <v>257</v>
      </c>
      <c r="J65" s="3" t="s">
        <v>451</v>
      </c>
      <c r="K65" s="3" t="s">
        <v>508</v>
      </c>
      <c r="L65" s="3">
        <v>0</v>
      </c>
      <c r="M65" s="3" t="s">
        <v>273</v>
      </c>
      <c r="N65" s="2">
        <v>29681</v>
      </c>
    </row>
    <row r="66" spans="1:14" x14ac:dyDescent="0.25">
      <c r="A66" s="3">
        <v>66</v>
      </c>
      <c r="B66" s="3" t="s">
        <v>509</v>
      </c>
      <c r="C66" s="3" t="s">
        <v>46</v>
      </c>
      <c r="D66" s="3">
        <v>288139250</v>
      </c>
      <c r="E66" s="3" t="s">
        <v>510</v>
      </c>
      <c r="F66" s="3" t="s">
        <v>511</v>
      </c>
      <c r="G66" s="3" t="s">
        <v>25</v>
      </c>
      <c r="H66" s="3" t="s">
        <v>256</v>
      </c>
      <c r="I66" s="3" t="s">
        <v>257</v>
      </c>
      <c r="J66" s="3" t="s">
        <v>451</v>
      </c>
      <c r="K66" s="3" t="s">
        <v>512</v>
      </c>
      <c r="L66" s="3">
        <v>0</v>
      </c>
      <c r="M66" s="3" t="s">
        <v>273</v>
      </c>
      <c r="N66" s="2">
        <v>29196</v>
      </c>
    </row>
    <row r="67" spans="1:14" ht="27" x14ac:dyDescent="0.25">
      <c r="A67" s="3">
        <v>67</v>
      </c>
      <c r="B67" s="3" t="s">
        <v>513</v>
      </c>
      <c r="C67" s="3" t="s">
        <v>46</v>
      </c>
      <c r="D67" s="3">
        <v>2768431411</v>
      </c>
      <c r="E67" s="3" t="s">
        <v>514</v>
      </c>
      <c r="F67" s="3" t="s">
        <v>515</v>
      </c>
      <c r="G67" s="3" t="s">
        <v>27</v>
      </c>
      <c r="H67" s="3" t="s">
        <v>256</v>
      </c>
      <c r="I67" s="3" t="s">
        <v>516</v>
      </c>
      <c r="J67" s="3" t="s">
        <v>476</v>
      </c>
      <c r="K67" s="3" t="s">
        <v>517</v>
      </c>
      <c r="L67" s="3">
        <v>0</v>
      </c>
      <c r="M67" s="3" t="s">
        <v>273</v>
      </c>
      <c r="N67" s="2">
        <v>26983</v>
      </c>
    </row>
    <row r="68" spans="1:14" ht="27" x14ac:dyDescent="0.25">
      <c r="A68" s="3">
        <v>68</v>
      </c>
      <c r="B68" s="3" t="s">
        <v>518</v>
      </c>
      <c r="C68" s="3" t="s">
        <v>46</v>
      </c>
      <c r="D68" s="3">
        <v>4031095091</v>
      </c>
      <c r="E68" s="3" t="s">
        <v>519</v>
      </c>
      <c r="F68" s="3" t="s">
        <v>520</v>
      </c>
      <c r="G68" s="3" t="s">
        <v>9</v>
      </c>
      <c r="H68" s="3" t="s">
        <v>256</v>
      </c>
      <c r="I68" s="3" t="s">
        <v>257</v>
      </c>
      <c r="J68" s="3" t="s">
        <v>451</v>
      </c>
      <c r="K68" s="3" t="s">
        <v>521</v>
      </c>
      <c r="L68" s="3">
        <v>0</v>
      </c>
      <c r="M68" s="3" t="s">
        <v>273</v>
      </c>
      <c r="N68" s="2">
        <v>28189</v>
      </c>
    </row>
    <row r="69" spans="1:14" ht="40.5" x14ac:dyDescent="0.25">
      <c r="A69" s="3">
        <v>69</v>
      </c>
      <c r="B69" s="3" t="s">
        <v>522</v>
      </c>
      <c r="C69" s="3" t="s">
        <v>47</v>
      </c>
      <c r="D69" s="3">
        <v>673300538</v>
      </c>
      <c r="E69" s="3">
        <v>599937412</v>
      </c>
      <c r="F69" s="3">
        <v>46950171</v>
      </c>
      <c r="G69" s="3" t="s">
        <v>523</v>
      </c>
      <c r="H69" s="3" t="s">
        <v>256</v>
      </c>
      <c r="I69" s="3" t="s">
        <v>308</v>
      </c>
      <c r="J69" s="3" t="s">
        <v>476</v>
      </c>
      <c r="K69" s="3" t="s">
        <v>524</v>
      </c>
      <c r="L69" s="3">
        <v>0</v>
      </c>
      <c r="M69" s="3" t="s">
        <v>273</v>
      </c>
      <c r="N69" s="2">
        <v>34822</v>
      </c>
    </row>
    <row r="70" spans="1:14" ht="27" x14ac:dyDescent="0.25">
      <c r="A70" s="3">
        <v>70</v>
      </c>
      <c r="B70" s="3" t="s">
        <v>525</v>
      </c>
      <c r="C70" s="3" t="s">
        <v>47</v>
      </c>
      <c r="D70" s="3">
        <v>174666698</v>
      </c>
      <c r="E70" s="3">
        <v>8595368</v>
      </c>
      <c r="F70" s="3">
        <v>492255365</v>
      </c>
      <c r="G70" s="3" t="s">
        <v>526</v>
      </c>
      <c r="H70" s="3" t="s">
        <v>256</v>
      </c>
      <c r="I70" s="3" t="s">
        <v>389</v>
      </c>
      <c r="J70" s="3" t="s">
        <v>476</v>
      </c>
      <c r="K70" s="3" t="s">
        <v>527</v>
      </c>
      <c r="L70" s="3">
        <v>999999999</v>
      </c>
      <c r="M70" s="3" t="s">
        <v>273</v>
      </c>
      <c r="N70" s="2">
        <v>31571</v>
      </c>
    </row>
    <row r="71" spans="1:14" ht="27" x14ac:dyDescent="0.25">
      <c r="A71" s="3">
        <v>71</v>
      </c>
      <c r="B71" s="3" t="s">
        <v>528</v>
      </c>
      <c r="C71" s="3" t="s">
        <v>46</v>
      </c>
      <c r="D71" s="3">
        <v>4030356563</v>
      </c>
      <c r="E71" s="3" t="s">
        <v>529</v>
      </c>
      <c r="F71" s="3" t="s">
        <v>530</v>
      </c>
      <c r="G71" s="3" t="s">
        <v>24</v>
      </c>
      <c r="H71" s="3" t="s">
        <v>256</v>
      </c>
      <c r="I71" s="3" t="s">
        <v>287</v>
      </c>
      <c r="J71" s="3" t="s">
        <v>476</v>
      </c>
      <c r="K71" s="3" t="s">
        <v>531</v>
      </c>
      <c r="L71" s="3">
        <v>999999999</v>
      </c>
      <c r="M71" s="3" t="s">
        <v>273</v>
      </c>
      <c r="N71" s="2">
        <v>32766</v>
      </c>
    </row>
    <row r="72" spans="1:14" x14ac:dyDescent="0.25">
      <c r="A72" s="3">
        <v>72</v>
      </c>
      <c r="B72" s="3" t="s">
        <v>532</v>
      </c>
      <c r="C72" s="3" t="s">
        <v>46</v>
      </c>
      <c r="D72" s="3">
        <v>4030646579</v>
      </c>
      <c r="E72" s="3">
        <v>159930445</v>
      </c>
      <c r="F72" s="3">
        <v>341371492</v>
      </c>
      <c r="G72" s="3" t="s">
        <v>28</v>
      </c>
      <c r="H72" s="3" t="s">
        <v>256</v>
      </c>
      <c r="I72" s="3" t="s">
        <v>533</v>
      </c>
      <c r="J72" s="3" t="s">
        <v>479</v>
      </c>
      <c r="K72" s="3" t="s">
        <v>534</v>
      </c>
      <c r="L72" s="3">
        <v>631376659</v>
      </c>
      <c r="M72" s="3" t="s">
        <v>273</v>
      </c>
      <c r="N72" s="2">
        <v>32462</v>
      </c>
    </row>
    <row r="73" spans="1:14" x14ac:dyDescent="0.25">
      <c r="A73" s="3">
        <v>73</v>
      </c>
      <c r="B73" s="3" t="s">
        <v>535</v>
      </c>
      <c r="C73" s="3" t="s">
        <v>46</v>
      </c>
      <c r="D73" s="3">
        <v>2768257123</v>
      </c>
      <c r="E73" s="3" t="s">
        <v>536</v>
      </c>
      <c r="F73" s="3" t="s">
        <v>537</v>
      </c>
      <c r="G73" s="3" t="s">
        <v>31</v>
      </c>
      <c r="H73" s="3" t="s">
        <v>256</v>
      </c>
      <c r="I73" s="3" t="s">
        <v>257</v>
      </c>
      <c r="J73" s="3" t="s">
        <v>476</v>
      </c>
      <c r="K73" s="3" t="s">
        <v>538</v>
      </c>
      <c r="L73" s="3">
        <v>666666666</v>
      </c>
      <c r="M73" s="3" t="s">
        <v>273</v>
      </c>
      <c r="N73" s="2">
        <v>26465</v>
      </c>
    </row>
    <row r="74" spans="1:14" ht="27" x14ac:dyDescent="0.25">
      <c r="A74" s="3">
        <v>74</v>
      </c>
      <c r="B74" s="3" t="s">
        <v>539</v>
      </c>
      <c r="C74" s="3" t="s">
        <v>46</v>
      </c>
      <c r="D74" s="3">
        <v>2767612547</v>
      </c>
      <c r="E74" s="3" t="s">
        <v>540</v>
      </c>
      <c r="F74" s="3" t="s">
        <v>541</v>
      </c>
      <c r="G74" s="3" t="s">
        <v>157</v>
      </c>
      <c r="H74" s="3" t="s">
        <v>256</v>
      </c>
      <c r="I74" s="3" t="s">
        <v>257</v>
      </c>
      <c r="J74" s="3" t="s">
        <v>474</v>
      </c>
      <c r="K74" s="3" t="s">
        <v>542</v>
      </c>
      <c r="L74" s="3">
        <v>666666666</v>
      </c>
      <c r="M74" s="3" t="s">
        <v>273</v>
      </c>
      <c r="N74" s="2">
        <v>26466</v>
      </c>
    </row>
    <row r="75" spans="1:14" x14ac:dyDescent="0.25">
      <c r="A75" s="3">
        <v>75</v>
      </c>
      <c r="B75" s="3" t="s">
        <v>543</v>
      </c>
      <c r="C75" s="3" t="s">
        <v>47</v>
      </c>
      <c r="D75" s="3">
        <v>174547693</v>
      </c>
      <c r="E75" s="3">
        <v>98826437</v>
      </c>
      <c r="F75" s="3">
        <v>997880243</v>
      </c>
      <c r="G75" s="3" t="s">
        <v>544</v>
      </c>
      <c r="H75" s="3" t="s">
        <v>256</v>
      </c>
      <c r="I75" s="3" t="s">
        <v>270</v>
      </c>
      <c r="J75" s="3" t="s">
        <v>545</v>
      </c>
      <c r="K75" s="3" t="s">
        <v>546</v>
      </c>
      <c r="L75" s="3">
        <v>617586910</v>
      </c>
      <c r="M75" s="3" t="s">
        <v>547</v>
      </c>
      <c r="N75" s="2">
        <v>46090</v>
      </c>
    </row>
    <row r="76" spans="1:14" ht="27" x14ac:dyDescent="0.25">
      <c r="A76" s="3">
        <v>76</v>
      </c>
      <c r="B76" s="3" t="s">
        <v>548</v>
      </c>
      <c r="C76" s="3" t="s">
        <v>46</v>
      </c>
      <c r="D76" s="3">
        <v>4031484995</v>
      </c>
      <c r="E76" s="3" t="s">
        <v>5</v>
      </c>
      <c r="F76" s="3" t="s">
        <v>6</v>
      </c>
      <c r="G76" s="3" t="s">
        <v>7</v>
      </c>
      <c r="H76" s="3" t="s">
        <v>256</v>
      </c>
      <c r="I76" s="3" t="s">
        <v>308</v>
      </c>
      <c r="J76" s="3" t="s">
        <v>549</v>
      </c>
      <c r="K76" s="3" t="s">
        <v>550</v>
      </c>
      <c r="L76" s="3">
        <v>662321028</v>
      </c>
      <c r="M76" s="3" t="s">
        <v>547</v>
      </c>
      <c r="N76" s="2">
        <v>30529</v>
      </c>
    </row>
    <row r="77" spans="1:14" ht="27" x14ac:dyDescent="0.25">
      <c r="A77" s="3">
        <v>77</v>
      </c>
      <c r="B77" s="3" t="s">
        <v>551</v>
      </c>
      <c r="C77" s="3" t="s">
        <v>47</v>
      </c>
      <c r="D77" s="3">
        <v>234700544</v>
      </c>
      <c r="E77" s="3">
        <v>155732556</v>
      </c>
      <c r="F77" s="3">
        <v>888234002</v>
      </c>
      <c r="G77" s="3" t="s">
        <v>552</v>
      </c>
      <c r="H77" s="3" t="s">
        <v>256</v>
      </c>
      <c r="I77" s="3" t="s">
        <v>266</v>
      </c>
      <c r="J77" s="3" t="s">
        <v>553</v>
      </c>
      <c r="K77" s="3" t="s">
        <v>554</v>
      </c>
      <c r="L77" s="3">
        <v>631825255</v>
      </c>
      <c r="M77" s="3" t="s">
        <v>547</v>
      </c>
      <c r="N77" s="2">
        <v>44309</v>
      </c>
    </row>
    <row r="78" spans="1:14" ht="27" x14ac:dyDescent="0.25">
      <c r="A78" s="3">
        <v>78</v>
      </c>
      <c r="B78" s="3" t="s">
        <v>555</v>
      </c>
      <c r="C78" s="3" t="s">
        <v>47</v>
      </c>
      <c r="D78" s="3">
        <v>876981740</v>
      </c>
      <c r="E78" s="3">
        <v>642786847</v>
      </c>
      <c r="F78" s="3">
        <v>34309342</v>
      </c>
      <c r="G78" s="3" t="s">
        <v>556</v>
      </c>
      <c r="H78" s="3" t="s">
        <v>256</v>
      </c>
      <c r="I78" s="3" t="s">
        <v>270</v>
      </c>
      <c r="J78" s="3" t="s">
        <v>557</v>
      </c>
      <c r="K78" s="3" t="s">
        <v>558</v>
      </c>
      <c r="L78" s="3">
        <v>600123123</v>
      </c>
      <c r="M78" s="3" t="s">
        <v>273</v>
      </c>
      <c r="N78" s="2">
        <v>45340</v>
      </c>
    </row>
    <row r="79" spans="1:14" x14ac:dyDescent="0.25">
      <c r="A79" s="3">
        <v>79</v>
      </c>
      <c r="B79" s="3" t="s">
        <v>559</v>
      </c>
      <c r="C79" s="3" t="s">
        <v>47</v>
      </c>
      <c r="D79" s="3">
        <v>971895932</v>
      </c>
      <c r="E79" s="3">
        <v>493701903</v>
      </c>
      <c r="F79" s="3">
        <v>489058625</v>
      </c>
      <c r="G79" s="3" t="s">
        <v>560</v>
      </c>
      <c r="H79" s="3" t="s">
        <v>256</v>
      </c>
      <c r="I79" s="3" t="s">
        <v>270</v>
      </c>
      <c r="J79" s="3" t="s">
        <v>561</v>
      </c>
      <c r="K79" s="3" t="s">
        <v>546</v>
      </c>
      <c r="L79" s="3">
        <v>617587082</v>
      </c>
      <c r="M79" s="3" t="s">
        <v>273</v>
      </c>
      <c r="N79" s="2">
        <v>38757</v>
      </c>
    </row>
    <row r="80" spans="1:14" ht="27" x14ac:dyDescent="0.25">
      <c r="A80" s="3">
        <v>80</v>
      </c>
      <c r="B80" s="3" t="s">
        <v>562</v>
      </c>
      <c r="C80" s="3" t="s">
        <v>46</v>
      </c>
      <c r="D80" s="3">
        <v>1418629603</v>
      </c>
      <c r="E80" s="3" t="s">
        <v>18</v>
      </c>
      <c r="F80" s="3" t="s">
        <v>19</v>
      </c>
      <c r="G80" s="3" t="s">
        <v>20</v>
      </c>
      <c r="H80" s="3" t="s">
        <v>256</v>
      </c>
      <c r="I80" s="3" t="s">
        <v>563</v>
      </c>
      <c r="J80" s="3" t="s">
        <v>564</v>
      </c>
      <c r="K80" s="3" t="s">
        <v>565</v>
      </c>
      <c r="L80" s="3">
        <v>603151585</v>
      </c>
      <c r="M80" s="3" t="s">
        <v>273</v>
      </c>
      <c r="N80" s="2">
        <v>31047</v>
      </c>
    </row>
    <row r="81" spans="1:14" x14ac:dyDescent="0.25">
      <c r="A81" s="3">
        <v>81</v>
      </c>
      <c r="B81" s="3" t="s">
        <v>566</v>
      </c>
      <c r="C81" s="3" t="s">
        <v>47</v>
      </c>
      <c r="D81" s="3">
        <v>700128300</v>
      </c>
      <c r="E81" s="3">
        <v>945303393</v>
      </c>
      <c r="F81" s="3">
        <v>227205085</v>
      </c>
      <c r="G81" s="3" t="s">
        <v>567</v>
      </c>
      <c r="H81" s="3" t="s">
        <v>256</v>
      </c>
      <c r="I81" s="3" t="s">
        <v>257</v>
      </c>
      <c r="J81" s="3" t="s">
        <v>568</v>
      </c>
      <c r="K81" s="3" t="s">
        <v>569</v>
      </c>
      <c r="L81" s="3">
        <v>674278068</v>
      </c>
      <c r="M81" s="3" t="s">
        <v>547</v>
      </c>
      <c r="N81" s="2">
        <v>37643</v>
      </c>
    </row>
    <row r="82" spans="1:14" ht="27" x14ac:dyDescent="0.25">
      <c r="A82" s="3">
        <v>82</v>
      </c>
      <c r="B82" s="3" t="s">
        <v>570</v>
      </c>
      <c r="C82" s="3" t="s">
        <v>47</v>
      </c>
      <c r="D82" s="3">
        <v>707242221</v>
      </c>
      <c r="E82" s="3">
        <v>88683327</v>
      </c>
      <c r="F82" s="3">
        <v>715164532</v>
      </c>
      <c r="G82" s="3" t="s">
        <v>571</v>
      </c>
      <c r="H82" s="3" t="s">
        <v>256</v>
      </c>
      <c r="I82" s="3" t="s">
        <v>257</v>
      </c>
      <c r="J82" s="3" t="s">
        <v>572</v>
      </c>
      <c r="K82" s="3" t="s">
        <v>573</v>
      </c>
      <c r="L82" s="3">
        <v>664427470</v>
      </c>
      <c r="M82" s="3" t="s">
        <v>547</v>
      </c>
      <c r="N82" s="2">
        <v>36072</v>
      </c>
    </row>
    <row r="83" spans="1:14" ht="27" x14ac:dyDescent="0.25">
      <c r="A83" s="3">
        <v>83</v>
      </c>
      <c r="B83" s="3" t="s">
        <v>574</v>
      </c>
      <c r="C83" s="3" t="s">
        <v>47</v>
      </c>
      <c r="D83" s="3">
        <v>866350446</v>
      </c>
      <c r="E83" s="3">
        <v>282042568</v>
      </c>
      <c r="F83" s="3">
        <v>761395001</v>
      </c>
      <c r="G83" s="3" t="s">
        <v>575</v>
      </c>
      <c r="H83" s="3" t="s">
        <v>256</v>
      </c>
      <c r="I83" s="3" t="s">
        <v>270</v>
      </c>
      <c r="J83" s="3" t="s">
        <v>576</v>
      </c>
      <c r="K83" s="3" t="s">
        <v>577</v>
      </c>
      <c r="L83" s="3">
        <v>624129058</v>
      </c>
      <c r="M83" s="3" t="s">
        <v>547</v>
      </c>
      <c r="N83" s="2">
        <v>38480</v>
      </c>
    </row>
    <row r="84" spans="1:14" x14ac:dyDescent="0.25">
      <c r="A84" s="3">
        <v>84</v>
      </c>
      <c r="B84" s="3" t="s">
        <v>578</v>
      </c>
      <c r="C84" s="3" t="s">
        <v>46</v>
      </c>
      <c r="D84" s="3">
        <v>1418178067</v>
      </c>
      <c r="E84" s="3" t="s">
        <v>579</v>
      </c>
      <c r="F84" s="3" t="s">
        <v>530</v>
      </c>
      <c r="G84" s="3" t="s">
        <v>30</v>
      </c>
      <c r="H84" s="3" t="s">
        <v>256</v>
      </c>
      <c r="I84" s="3" t="s">
        <v>308</v>
      </c>
      <c r="J84" s="3" t="s">
        <v>580</v>
      </c>
      <c r="K84" s="3" t="s">
        <v>581</v>
      </c>
      <c r="L84" s="3">
        <v>626229457</v>
      </c>
      <c r="M84" s="3" t="s">
        <v>547</v>
      </c>
      <c r="N84" s="2">
        <v>29746</v>
      </c>
    </row>
    <row r="85" spans="1:14" ht="27" x14ac:dyDescent="0.25">
      <c r="A85" s="3">
        <v>85</v>
      </c>
      <c r="B85" s="3" t="s">
        <v>582</v>
      </c>
      <c r="C85" s="3" t="s">
        <v>47</v>
      </c>
      <c r="D85" s="3">
        <v>2403620</v>
      </c>
      <c r="E85" s="3">
        <v>23067799</v>
      </c>
      <c r="F85" s="3">
        <v>93516154</v>
      </c>
      <c r="G85" s="3" t="s">
        <v>583</v>
      </c>
      <c r="H85" s="3" t="s">
        <v>256</v>
      </c>
      <c r="I85" s="3" t="s">
        <v>270</v>
      </c>
      <c r="J85" s="3" t="s">
        <v>584</v>
      </c>
      <c r="K85" s="3" t="s">
        <v>585</v>
      </c>
      <c r="L85" s="3">
        <v>603861554</v>
      </c>
      <c r="M85" s="3" t="s">
        <v>273</v>
      </c>
      <c r="N85" s="2">
        <v>29652</v>
      </c>
    </row>
    <row r="86" spans="1:14" ht="27" x14ac:dyDescent="0.25">
      <c r="A86" s="3">
        <v>86</v>
      </c>
      <c r="B86" s="3" t="s">
        <v>586</v>
      </c>
      <c r="C86" s="3" t="s">
        <v>47</v>
      </c>
      <c r="D86" s="3">
        <v>635409912</v>
      </c>
      <c r="E86" s="3">
        <v>418670449</v>
      </c>
      <c r="F86" s="3">
        <v>839017499</v>
      </c>
      <c r="G86" s="3" t="s">
        <v>587</v>
      </c>
      <c r="H86" s="3" t="s">
        <v>256</v>
      </c>
      <c r="I86" s="3" t="s">
        <v>308</v>
      </c>
      <c r="J86" s="3" t="s">
        <v>588</v>
      </c>
      <c r="K86" s="3" t="s">
        <v>589</v>
      </c>
      <c r="L86" s="3">
        <v>613443291</v>
      </c>
      <c r="M86" s="3" t="s">
        <v>273</v>
      </c>
      <c r="N86" s="2">
        <v>34703</v>
      </c>
    </row>
    <row r="87" spans="1:14" ht="27" x14ac:dyDescent="0.25">
      <c r="A87" s="3">
        <v>87</v>
      </c>
      <c r="B87" s="3" t="s">
        <v>590</v>
      </c>
      <c r="C87" s="3" t="s">
        <v>47</v>
      </c>
      <c r="D87" s="3">
        <v>424233971</v>
      </c>
      <c r="E87" s="3">
        <v>987654714</v>
      </c>
      <c r="F87" s="3">
        <v>73250440</v>
      </c>
      <c r="G87" s="3" t="s">
        <v>591</v>
      </c>
      <c r="H87" s="3" t="s">
        <v>256</v>
      </c>
      <c r="I87" s="3" t="s">
        <v>308</v>
      </c>
      <c r="J87" s="3" t="s">
        <v>592</v>
      </c>
      <c r="K87" s="3" t="s">
        <v>593</v>
      </c>
      <c r="L87" s="3">
        <v>632534916</v>
      </c>
      <c r="M87" s="3" t="s">
        <v>273</v>
      </c>
      <c r="N87" s="2">
        <v>31570</v>
      </c>
    </row>
    <row r="88" spans="1:14" ht="27" x14ac:dyDescent="0.25">
      <c r="A88" s="3">
        <v>88</v>
      </c>
      <c r="B88" s="3" t="s">
        <v>594</v>
      </c>
      <c r="C88" s="3" t="s">
        <v>46</v>
      </c>
      <c r="D88" s="3">
        <v>4031880531</v>
      </c>
      <c r="E88" s="3" t="s">
        <v>595</v>
      </c>
      <c r="F88" s="3" t="s">
        <v>596</v>
      </c>
      <c r="G88" s="3" t="s">
        <v>29</v>
      </c>
      <c r="H88" s="3" t="s">
        <v>256</v>
      </c>
      <c r="I88" s="3" t="s">
        <v>308</v>
      </c>
      <c r="J88" s="3" t="s">
        <v>597</v>
      </c>
      <c r="K88" s="3" t="s">
        <v>598</v>
      </c>
      <c r="L88" s="3">
        <v>602878007</v>
      </c>
      <c r="M88" s="3" t="s">
        <v>273</v>
      </c>
      <c r="N88" s="3">
        <v>23120075</v>
      </c>
    </row>
    <row r="89" spans="1:14" ht="27" x14ac:dyDescent="0.25">
      <c r="A89" s="3">
        <v>89</v>
      </c>
      <c r="B89" s="3" t="s">
        <v>599</v>
      </c>
      <c r="C89" s="3" t="s">
        <v>47</v>
      </c>
      <c r="D89" s="3">
        <v>785662354</v>
      </c>
      <c r="E89" s="3">
        <v>403937956</v>
      </c>
      <c r="F89" s="3">
        <v>167746046</v>
      </c>
      <c r="G89" s="3" t="s">
        <v>600</v>
      </c>
      <c r="H89" s="3" t="s">
        <v>256</v>
      </c>
      <c r="I89" s="3" t="s">
        <v>491</v>
      </c>
      <c r="J89" s="3" t="s">
        <v>601</v>
      </c>
      <c r="K89" s="3" t="s">
        <v>602</v>
      </c>
      <c r="L89" s="3">
        <v>631709884</v>
      </c>
      <c r="M89" s="3" t="s">
        <v>273</v>
      </c>
      <c r="N89" s="2">
        <v>28305</v>
      </c>
    </row>
    <row r="90" spans="1:14" ht="27" x14ac:dyDescent="0.25">
      <c r="A90" s="3">
        <v>90</v>
      </c>
      <c r="B90" s="3" t="s">
        <v>603</v>
      </c>
      <c r="C90" s="3" t="s">
        <v>46</v>
      </c>
      <c r="D90" s="3">
        <v>287986802</v>
      </c>
      <c r="E90" s="3" t="s">
        <v>604</v>
      </c>
      <c r="F90" s="3" t="s">
        <v>41</v>
      </c>
      <c r="G90" s="3" t="s">
        <v>42</v>
      </c>
      <c r="H90" s="3" t="s">
        <v>256</v>
      </c>
      <c r="I90" s="3" t="s">
        <v>563</v>
      </c>
      <c r="J90" s="3" t="s">
        <v>605</v>
      </c>
      <c r="K90" s="3" t="s">
        <v>606</v>
      </c>
      <c r="L90" s="3">
        <v>602826619</v>
      </c>
      <c r="M90" s="3" t="s">
        <v>273</v>
      </c>
      <c r="N90" s="2">
        <v>28855</v>
      </c>
    </row>
    <row r="91" spans="1:14" x14ac:dyDescent="0.25">
      <c r="A91" s="3">
        <v>91</v>
      </c>
      <c r="B91" s="3" t="s">
        <v>607</v>
      </c>
      <c r="C91" s="3" t="s">
        <v>46</v>
      </c>
      <c r="D91" s="3">
        <v>2768431523</v>
      </c>
      <c r="E91" s="3" t="s">
        <v>608</v>
      </c>
      <c r="F91" s="3" t="s">
        <v>609</v>
      </c>
      <c r="G91" s="3" t="s">
        <v>36</v>
      </c>
      <c r="H91" s="3" t="s">
        <v>256</v>
      </c>
      <c r="I91" s="3" t="s">
        <v>308</v>
      </c>
      <c r="J91" s="3" t="s">
        <v>610</v>
      </c>
      <c r="K91" s="3" t="s">
        <v>611</v>
      </c>
      <c r="L91" s="3">
        <v>695488858</v>
      </c>
      <c r="M91" s="3" t="s">
        <v>273</v>
      </c>
      <c r="N91" s="2">
        <v>34939</v>
      </c>
    </row>
    <row r="92" spans="1:14" ht="27" x14ac:dyDescent="0.25">
      <c r="A92" s="3">
        <v>92</v>
      </c>
      <c r="B92" s="3" t="s">
        <v>612</v>
      </c>
      <c r="C92" s="3" t="s">
        <v>46</v>
      </c>
      <c r="D92" s="3">
        <v>3047221744</v>
      </c>
      <c r="E92" s="3" t="s">
        <v>613</v>
      </c>
      <c r="F92" s="3" t="s">
        <v>614</v>
      </c>
      <c r="G92" s="3" t="s">
        <v>190</v>
      </c>
      <c r="H92" s="3" t="s">
        <v>256</v>
      </c>
      <c r="I92" s="3" t="s">
        <v>491</v>
      </c>
      <c r="J92" s="3" t="s">
        <v>615</v>
      </c>
      <c r="K92" s="3" t="s">
        <v>616</v>
      </c>
      <c r="L92" s="3">
        <v>632331217</v>
      </c>
      <c r="M92" s="3" t="s">
        <v>273</v>
      </c>
      <c r="N92" s="2">
        <v>27760</v>
      </c>
    </row>
    <row r="93" spans="1:14" x14ac:dyDescent="0.25">
      <c r="A93" s="3">
        <v>93</v>
      </c>
      <c r="B93" s="3" t="s">
        <v>617</v>
      </c>
      <c r="C93" s="3" t="s">
        <v>46</v>
      </c>
      <c r="D93" s="3">
        <v>3048118096</v>
      </c>
      <c r="E93" s="3" t="s">
        <v>618</v>
      </c>
      <c r="F93" s="3" t="s">
        <v>619</v>
      </c>
      <c r="G93" s="3" t="s">
        <v>244</v>
      </c>
      <c r="H93" s="3" t="s">
        <v>256</v>
      </c>
      <c r="I93" s="3" t="s">
        <v>270</v>
      </c>
      <c r="J93" s="3" t="s">
        <v>620</v>
      </c>
      <c r="K93" s="3" t="s">
        <v>621</v>
      </c>
      <c r="L93" s="3">
        <v>1233312121</v>
      </c>
      <c r="M93" s="3" t="s">
        <v>273</v>
      </c>
      <c r="N93" s="2">
        <v>24488</v>
      </c>
    </row>
    <row r="94" spans="1:14" ht="27" x14ac:dyDescent="0.25">
      <c r="A94" s="3">
        <v>94</v>
      </c>
      <c r="B94" s="3" t="s">
        <v>622</v>
      </c>
      <c r="C94" s="3" t="s">
        <v>46</v>
      </c>
      <c r="D94" s="3">
        <v>3047429552</v>
      </c>
      <c r="E94" s="3" t="s">
        <v>623</v>
      </c>
      <c r="F94" s="3" t="s">
        <v>624</v>
      </c>
      <c r="G94" s="3" t="s">
        <v>202</v>
      </c>
      <c r="H94" s="3" t="s">
        <v>256</v>
      </c>
      <c r="I94" s="3" t="s">
        <v>270</v>
      </c>
      <c r="J94" s="3" t="s">
        <v>625</v>
      </c>
      <c r="K94" s="3" t="s">
        <v>626</v>
      </c>
      <c r="L94" s="3">
        <v>1</v>
      </c>
      <c r="M94" s="3" t="s">
        <v>273</v>
      </c>
      <c r="N94" s="2">
        <v>24838</v>
      </c>
    </row>
    <row r="95" spans="1:14" ht="27" x14ac:dyDescent="0.25">
      <c r="A95" s="3">
        <v>95</v>
      </c>
      <c r="B95" s="3" t="s">
        <v>627</v>
      </c>
      <c r="C95" s="3" t="s">
        <v>46</v>
      </c>
      <c r="D95" s="3">
        <v>3048237616</v>
      </c>
      <c r="E95" s="3" t="s">
        <v>628</v>
      </c>
      <c r="F95" s="3" t="s">
        <v>629</v>
      </c>
      <c r="G95" s="3" t="s">
        <v>204</v>
      </c>
      <c r="H95" s="3" t="s">
        <v>256</v>
      </c>
      <c r="I95" s="3" t="s">
        <v>270</v>
      </c>
      <c r="J95" s="3" t="s">
        <v>625</v>
      </c>
      <c r="K95" s="3" t="s">
        <v>630</v>
      </c>
      <c r="L95" s="3">
        <v>625299612</v>
      </c>
      <c r="M95" s="3" t="s">
        <v>273</v>
      </c>
      <c r="N95" s="2">
        <v>25569</v>
      </c>
    </row>
    <row r="96" spans="1:14" x14ac:dyDescent="0.25">
      <c r="A96" s="3">
        <v>96</v>
      </c>
      <c r="B96" s="3" t="s">
        <v>631</v>
      </c>
      <c r="C96" s="3" t="s">
        <v>46</v>
      </c>
      <c r="D96" s="3">
        <v>3043471712</v>
      </c>
      <c r="E96" s="3" t="s">
        <v>632</v>
      </c>
      <c r="F96" s="3" t="s">
        <v>633</v>
      </c>
      <c r="G96" s="3" t="s">
        <v>210</v>
      </c>
      <c r="H96" s="3" t="s">
        <v>256</v>
      </c>
      <c r="I96" s="3" t="s">
        <v>266</v>
      </c>
      <c r="J96" s="3" t="s">
        <v>634</v>
      </c>
      <c r="K96" s="3" t="s">
        <v>635</v>
      </c>
      <c r="L96" s="3">
        <v>631462118</v>
      </c>
      <c r="M96" s="3" t="s">
        <v>273</v>
      </c>
      <c r="N96" s="2">
        <v>29586</v>
      </c>
    </row>
    <row r="97" spans="1:14" x14ac:dyDescent="0.25">
      <c r="A97" s="3">
        <v>97</v>
      </c>
      <c r="B97" s="3" t="s">
        <v>636</v>
      </c>
      <c r="C97" s="3" t="s">
        <v>46</v>
      </c>
      <c r="D97" s="3">
        <v>3048185904</v>
      </c>
      <c r="E97" s="3" t="s">
        <v>637</v>
      </c>
      <c r="F97" s="3" t="s">
        <v>638</v>
      </c>
      <c r="G97" s="3" t="s">
        <v>212</v>
      </c>
      <c r="H97" s="3" t="s">
        <v>256</v>
      </c>
      <c r="I97" s="3" t="s">
        <v>270</v>
      </c>
      <c r="J97" s="3" t="s">
        <v>634</v>
      </c>
      <c r="K97" s="3" t="s">
        <v>639</v>
      </c>
      <c r="L97" s="3">
        <v>632488407</v>
      </c>
      <c r="M97" s="3" t="s">
        <v>273</v>
      </c>
      <c r="N97" s="2">
        <v>26355</v>
      </c>
    </row>
    <row r="98" spans="1:14" ht="27" x14ac:dyDescent="0.25">
      <c r="A98" s="3">
        <v>98</v>
      </c>
      <c r="B98" s="3" t="s">
        <v>640</v>
      </c>
      <c r="C98" s="3" t="s">
        <v>46</v>
      </c>
      <c r="D98" s="3">
        <v>3047834624</v>
      </c>
      <c r="E98" s="3" t="s">
        <v>641</v>
      </c>
      <c r="F98" s="3" t="s">
        <v>642</v>
      </c>
      <c r="G98" s="3" t="s">
        <v>214</v>
      </c>
      <c r="H98" s="3" t="s">
        <v>256</v>
      </c>
      <c r="I98" s="3" t="s">
        <v>270</v>
      </c>
      <c r="J98" s="3" t="s">
        <v>643</v>
      </c>
      <c r="K98" s="3" t="s">
        <v>644</v>
      </c>
      <c r="L98" s="3">
        <v>612572316</v>
      </c>
      <c r="M98" s="3" t="s">
        <v>273</v>
      </c>
      <c r="N98" s="2">
        <v>29952</v>
      </c>
    </row>
    <row r="99" spans="1:14" x14ac:dyDescent="0.25">
      <c r="A99" s="3">
        <v>99</v>
      </c>
      <c r="B99" s="3" t="s">
        <v>645</v>
      </c>
      <c r="C99" s="3" t="s">
        <v>46</v>
      </c>
      <c r="D99" s="3">
        <v>3048241520</v>
      </c>
      <c r="E99" s="3" t="s">
        <v>646</v>
      </c>
      <c r="F99" s="3" t="s">
        <v>647</v>
      </c>
      <c r="G99" s="3" t="s">
        <v>216</v>
      </c>
      <c r="H99" s="3" t="s">
        <v>256</v>
      </c>
      <c r="I99" s="3" t="s">
        <v>270</v>
      </c>
      <c r="J99" s="3" t="s">
        <v>634</v>
      </c>
      <c r="K99" s="3" t="s">
        <v>620</v>
      </c>
      <c r="L99" s="3">
        <v>0</v>
      </c>
      <c r="M99" s="3" t="s">
        <v>273</v>
      </c>
      <c r="N99" s="2">
        <v>29221</v>
      </c>
    </row>
    <row r="100" spans="1:14" ht="27" x14ac:dyDescent="0.25">
      <c r="A100" s="3">
        <v>100</v>
      </c>
      <c r="B100" s="3" t="s">
        <v>648</v>
      </c>
      <c r="C100" s="3" t="s">
        <v>46</v>
      </c>
      <c r="D100" s="3">
        <v>3048139952</v>
      </c>
      <c r="E100" s="3" t="s">
        <v>649</v>
      </c>
      <c r="F100" s="3" t="s">
        <v>650</v>
      </c>
      <c r="G100" s="3" t="s">
        <v>218</v>
      </c>
      <c r="H100" s="3" t="s">
        <v>256</v>
      </c>
      <c r="I100" s="3" t="s">
        <v>257</v>
      </c>
      <c r="J100" s="3" t="s">
        <v>634</v>
      </c>
      <c r="K100" s="3" t="s">
        <v>651</v>
      </c>
      <c r="L100" s="3">
        <v>618531701</v>
      </c>
      <c r="M100" s="3" t="s">
        <v>273</v>
      </c>
      <c r="N100" s="2">
        <v>22311</v>
      </c>
    </row>
    <row r="101" spans="1:14" x14ac:dyDescent="0.25">
      <c r="A101" s="3">
        <v>101</v>
      </c>
      <c r="B101" s="3" t="s">
        <v>652</v>
      </c>
      <c r="C101" s="3" t="s">
        <v>46</v>
      </c>
      <c r="D101" s="3">
        <v>3046766832</v>
      </c>
      <c r="E101" s="3" t="s">
        <v>653</v>
      </c>
      <c r="F101" s="3" t="s">
        <v>654</v>
      </c>
      <c r="G101" s="3" t="s">
        <v>192</v>
      </c>
      <c r="H101" s="3" t="s">
        <v>256</v>
      </c>
      <c r="I101" s="3" t="s">
        <v>384</v>
      </c>
      <c r="J101" s="3" t="s">
        <v>655</v>
      </c>
      <c r="K101" s="3" t="s">
        <v>656</v>
      </c>
      <c r="L101" s="3">
        <v>619287255</v>
      </c>
      <c r="M101" s="3" t="s">
        <v>273</v>
      </c>
      <c r="N101" s="2">
        <v>29407</v>
      </c>
    </row>
    <row r="102" spans="1:14" x14ac:dyDescent="0.25">
      <c r="A102" s="3">
        <v>102</v>
      </c>
      <c r="B102" s="3" t="s">
        <v>657</v>
      </c>
      <c r="C102" s="3" t="s">
        <v>46</v>
      </c>
      <c r="D102" s="3">
        <v>3047610416</v>
      </c>
      <c r="E102" s="3" t="s">
        <v>658</v>
      </c>
      <c r="F102" s="3" t="s">
        <v>659</v>
      </c>
      <c r="G102" s="3" t="s">
        <v>194</v>
      </c>
      <c r="H102" s="3" t="s">
        <v>256</v>
      </c>
      <c r="I102" s="3" t="s">
        <v>257</v>
      </c>
      <c r="J102" s="3" t="s">
        <v>634</v>
      </c>
      <c r="K102" s="3" t="s">
        <v>660</v>
      </c>
      <c r="L102" s="3">
        <v>616460839</v>
      </c>
      <c r="M102" s="3" t="s">
        <v>273</v>
      </c>
      <c r="N102" s="2">
        <v>25935</v>
      </c>
    </row>
    <row r="103" spans="1:14" ht="27" x14ac:dyDescent="0.25">
      <c r="A103" s="3">
        <v>103</v>
      </c>
      <c r="B103" s="3" t="s">
        <v>661</v>
      </c>
      <c r="C103" s="3" t="s">
        <v>46</v>
      </c>
      <c r="D103" s="3">
        <v>3042116272</v>
      </c>
      <c r="E103" s="3" t="s">
        <v>662</v>
      </c>
      <c r="F103" s="3" t="s">
        <v>663</v>
      </c>
      <c r="G103" s="3" t="s">
        <v>198</v>
      </c>
      <c r="H103" s="3" t="s">
        <v>256</v>
      </c>
      <c r="I103" s="3" t="s">
        <v>257</v>
      </c>
      <c r="J103" s="3" t="s">
        <v>664</v>
      </c>
      <c r="K103" s="3" t="s">
        <v>665</v>
      </c>
      <c r="L103" s="3">
        <v>609465446</v>
      </c>
      <c r="M103" s="3" t="s">
        <v>273</v>
      </c>
      <c r="N103" s="2">
        <v>35958</v>
      </c>
    </row>
    <row r="104" spans="1:14" x14ac:dyDescent="0.25">
      <c r="A104" s="3">
        <v>104</v>
      </c>
      <c r="B104" s="3" t="s">
        <v>666</v>
      </c>
      <c r="C104" s="3" t="s">
        <v>47</v>
      </c>
      <c r="D104" s="3">
        <v>50830137</v>
      </c>
      <c r="E104" s="3">
        <v>759184140</v>
      </c>
      <c r="F104" s="3">
        <v>958701611</v>
      </c>
      <c r="G104" s="3" t="s">
        <v>667</v>
      </c>
      <c r="H104" s="3" t="s">
        <v>407</v>
      </c>
      <c r="I104" s="3" t="s">
        <v>257</v>
      </c>
      <c r="J104" s="3" t="s">
        <v>667</v>
      </c>
      <c r="K104" s="3" t="s">
        <v>667</v>
      </c>
      <c r="L104" s="3">
        <v>1</v>
      </c>
      <c r="M104" s="3" t="s">
        <v>273</v>
      </c>
      <c r="N104" s="2">
        <v>36526</v>
      </c>
    </row>
    <row r="105" spans="1:14" x14ac:dyDescent="0.25">
      <c r="A105" s="3">
        <v>105</v>
      </c>
      <c r="B105" s="3" t="s">
        <v>668</v>
      </c>
      <c r="C105" s="3" t="s">
        <v>46</v>
      </c>
      <c r="D105" s="3">
        <v>2492292546</v>
      </c>
      <c r="E105" s="3" t="s">
        <v>669</v>
      </c>
      <c r="F105" s="3" t="s">
        <v>670</v>
      </c>
      <c r="G105" s="3" t="s">
        <v>238</v>
      </c>
      <c r="H105" s="3" t="s">
        <v>407</v>
      </c>
      <c r="I105" s="3" t="s">
        <v>270</v>
      </c>
      <c r="J105" s="3" t="s">
        <v>671</v>
      </c>
      <c r="K105" s="3" t="s">
        <v>672</v>
      </c>
      <c r="L105" s="3">
        <v>628771861</v>
      </c>
      <c r="M105" s="3" t="s">
        <v>273</v>
      </c>
      <c r="N105" s="2">
        <v>30666</v>
      </c>
    </row>
    <row r="106" spans="1:14" ht="27" x14ac:dyDescent="0.25">
      <c r="A106" s="3">
        <v>106</v>
      </c>
      <c r="B106" s="3" t="s">
        <v>673</v>
      </c>
      <c r="C106" s="3" t="s">
        <v>46</v>
      </c>
      <c r="D106" s="3">
        <v>3047610304</v>
      </c>
      <c r="E106" s="3" t="s">
        <v>674</v>
      </c>
      <c r="F106" s="3" t="s">
        <v>675</v>
      </c>
      <c r="G106" s="3" t="s">
        <v>240</v>
      </c>
      <c r="H106" s="3" t="s">
        <v>256</v>
      </c>
      <c r="I106" s="3" t="s">
        <v>257</v>
      </c>
      <c r="J106" s="3" t="s">
        <v>676</v>
      </c>
      <c r="K106" s="3" t="s">
        <v>677</v>
      </c>
      <c r="L106" s="3">
        <v>615349753</v>
      </c>
      <c r="M106" s="3" t="s">
        <v>273</v>
      </c>
      <c r="N106" s="2">
        <v>34438</v>
      </c>
    </row>
    <row r="107" spans="1:14" ht="27" x14ac:dyDescent="0.25">
      <c r="A107" s="3">
        <v>107</v>
      </c>
      <c r="B107" s="3" t="s">
        <v>678</v>
      </c>
      <c r="C107" s="3" t="s">
        <v>46</v>
      </c>
      <c r="D107" s="3">
        <v>3051300176</v>
      </c>
      <c r="E107" s="3" t="s">
        <v>679</v>
      </c>
      <c r="F107" s="3" t="s">
        <v>680</v>
      </c>
      <c r="G107" s="3" t="s">
        <v>200</v>
      </c>
      <c r="H107" s="3" t="s">
        <v>256</v>
      </c>
      <c r="I107" s="3" t="s">
        <v>270</v>
      </c>
      <c r="J107" s="3" t="s">
        <v>584</v>
      </c>
      <c r="K107" s="3" t="s">
        <v>681</v>
      </c>
      <c r="L107" s="3">
        <v>651751807</v>
      </c>
      <c r="M107" s="3" t="s">
        <v>273</v>
      </c>
      <c r="N107" s="2">
        <v>24488</v>
      </c>
    </row>
    <row r="108" spans="1:14" x14ac:dyDescent="0.25">
      <c r="A108" s="3">
        <v>108</v>
      </c>
      <c r="B108" s="3" t="s">
        <v>682</v>
      </c>
      <c r="C108" s="3" t="s">
        <v>46</v>
      </c>
      <c r="D108" s="3">
        <v>3043257024</v>
      </c>
      <c r="E108" s="3" t="s">
        <v>683</v>
      </c>
      <c r="F108" s="3" t="s">
        <v>684</v>
      </c>
      <c r="G108" s="3" t="s">
        <v>208</v>
      </c>
      <c r="H108" s="3" t="s">
        <v>256</v>
      </c>
      <c r="I108" s="3" t="s">
        <v>270</v>
      </c>
      <c r="J108" s="3" t="s">
        <v>634</v>
      </c>
      <c r="K108" s="3" t="s">
        <v>685</v>
      </c>
      <c r="L108" s="3">
        <v>678222333</v>
      </c>
      <c r="M108" s="3" t="s">
        <v>273</v>
      </c>
      <c r="N108" s="2">
        <v>27809</v>
      </c>
    </row>
    <row r="109" spans="1:14" ht="27" x14ac:dyDescent="0.25">
      <c r="A109" s="3">
        <v>109</v>
      </c>
      <c r="B109" s="3" t="s">
        <v>686</v>
      </c>
      <c r="C109" s="3" t="s">
        <v>46</v>
      </c>
      <c r="D109" s="3">
        <v>2767657811</v>
      </c>
      <c r="E109" s="3" t="s">
        <v>37</v>
      </c>
      <c r="F109" s="3" t="s">
        <v>687</v>
      </c>
      <c r="G109" s="3" t="s">
        <v>38</v>
      </c>
      <c r="H109" s="3" t="s">
        <v>256</v>
      </c>
      <c r="I109" s="3" t="s">
        <v>257</v>
      </c>
      <c r="J109" s="3" t="s">
        <v>688</v>
      </c>
      <c r="K109" s="3" t="s">
        <v>689</v>
      </c>
      <c r="L109" s="3">
        <v>677735184</v>
      </c>
      <c r="M109" s="3" t="s">
        <v>260</v>
      </c>
      <c r="N109" s="2">
        <v>30688</v>
      </c>
    </row>
    <row r="110" spans="1:14" ht="27" x14ac:dyDescent="0.25">
      <c r="A110" s="3">
        <v>110</v>
      </c>
      <c r="B110" s="3" t="s">
        <v>690</v>
      </c>
      <c r="C110" s="3" t="s">
        <v>46</v>
      </c>
      <c r="D110" s="3">
        <v>270968882</v>
      </c>
      <c r="E110" s="3" t="s">
        <v>691</v>
      </c>
      <c r="F110" s="3" t="s">
        <v>692</v>
      </c>
      <c r="G110" s="3" t="s">
        <v>134</v>
      </c>
      <c r="H110" s="3" t="s">
        <v>256</v>
      </c>
      <c r="I110" s="3" t="s">
        <v>308</v>
      </c>
      <c r="J110" s="3" t="s">
        <v>693</v>
      </c>
      <c r="K110" s="3" t="s">
        <v>694</v>
      </c>
      <c r="L110" s="3">
        <v>622394736</v>
      </c>
      <c r="M110" s="3" t="s">
        <v>273</v>
      </c>
      <c r="N110" s="2">
        <v>31185</v>
      </c>
    </row>
    <row r="111" spans="1:14" x14ac:dyDescent="0.25">
      <c r="A111" s="3">
        <v>111</v>
      </c>
      <c r="B111" s="3" t="s">
        <v>695</v>
      </c>
      <c r="C111" s="3" t="s">
        <v>46</v>
      </c>
      <c r="D111" s="3">
        <v>2767662803</v>
      </c>
      <c r="E111" s="3" t="s">
        <v>696</v>
      </c>
      <c r="F111" s="3" t="s">
        <v>697</v>
      </c>
      <c r="G111" s="3" t="s">
        <v>698</v>
      </c>
      <c r="H111" s="3" t="s">
        <v>256</v>
      </c>
      <c r="I111" s="3" t="s">
        <v>308</v>
      </c>
      <c r="J111" s="3" t="s">
        <v>699</v>
      </c>
      <c r="K111" s="3" t="s">
        <v>700</v>
      </c>
      <c r="L111" s="3">
        <v>692497261</v>
      </c>
      <c r="M111" s="3" t="s">
        <v>273</v>
      </c>
      <c r="N111" s="2">
        <v>29363</v>
      </c>
    </row>
  </sheetData>
  <sortState xmlns:xlrd2="http://schemas.microsoft.com/office/spreadsheetml/2017/richdata2" ref="A2:D1639">
    <sortCondition ref="A2:A1639"/>
  </sortState>
  <conditionalFormatting sqref="C1:C1048576">
    <cfRule type="cellIs" dxfId="0" priority="1" operator="equal">
      <formula>"DE BAJA"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NOMINA</vt:lpstr>
      <vt:lpstr>MOBIBUK</vt:lpstr>
      <vt:lpstr>MOBIBUK</vt:lpstr>
      <vt:lpstr>NOMINA_CODIGO</vt:lpstr>
      <vt:lpstr>NOMINA_DNI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Miguel Antonio Lugo Zamora</cp:lastModifiedBy>
  <dcterms:created xsi:type="dcterms:W3CDTF">2024-09-15T20:33:14Z</dcterms:created>
  <dcterms:modified xsi:type="dcterms:W3CDTF">2024-10-09T19:58:41Z</dcterms:modified>
</cp:coreProperties>
</file>
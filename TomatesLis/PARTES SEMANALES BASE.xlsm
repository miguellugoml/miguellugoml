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gue\Documents\TomatesLis\"/>
    </mc:Choice>
  </mc:AlternateContent>
  <xr:revisionPtr revIDLastSave="0" documentId="13_ncr:1_{DD5A4F5B-E42E-4BA7-9FD0-501318905571}" xr6:coauthVersionLast="47" xr6:coauthVersionMax="47" xr10:uidLastSave="{00000000-0000-0000-0000-000000000000}"/>
  <bookViews>
    <workbookView xWindow="-120" yWindow="-120" windowWidth="20730" windowHeight="11040" tabRatio="769" xr2:uid="{FB7D1B7B-0160-4AC8-B207-E1A9D5F2893C}"/>
  </bookViews>
  <sheets>
    <sheet name="MES" sheetId="1" r:id="rId1"/>
    <sheet name="VARIABLES" sheetId="24" r:id="rId2"/>
    <sheet name="JORNADAS" sheetId="23" r:id="rId3"/>
    <sheet name="LLAMADOS" sheetId="17" r:id="rId4"/>
    <sheet name="Hoja_Base" sheetId="26" r:id="rId5"/>
    <sheet name="Fichaje" sheetId="20" r:id="rId6"/>
    <sheet name="TRABAJADORES" sheetId="29" r:id="rId7"/>
    <sheet name="MOBIBUK" sheetId="22" r:id="rId8"/>
    <sheet name="CONFIG" sheetId="28" r:id="rId9"/>
    <sheet name="Hoja1" sheetId="10" state="hidden" r:id="rId10"/>
  </sheets>
  <functionGroups builtInGroupCount="19"/>
  <definedNames>
    <definedName name="_xlnm._FilterDatabase" localSheetId="0" hidden="1">MES!$C$16:$AE$16</definedName>
    <definedName name="_xleta.DATE" hidden="1" xlm="1">#NAME?</definedName>
    <definedName name="_xleta.DATEDIF" hidden="1" xlm="1">#NAME?</definedName>
    <definedName name="_xleta.DAYS" hidden="1" xlm="1">#NAME?</definedName>
    <definedName name="_xleta.N" hidden="1" xlm="1">#NAME?</definedName>
    <definedName name="_xleta.NOW" hidden="1" xlm="1">#NAME?</definedName>
    <definedName name="_xleta.T" hidden="1" xlm="1">#NAME?</definedName>
    <definedName name="ANHO_LIBRO">MES!$AC$1</definedName>
    <definedName name="DatosExternos_1" localSheetId="6" hidden="1">TRABAJADORES!$A$1:$AA$132</definedName>
    <definedName name="ExternalData_3" localSheetId="5" hidden="1">Fichaje!$A$1:$G$1489</definedName>
    <definedName name="ExternalData_5" localSheetId="7" hidden="1">MOBIBUK!$A$1:$N$111</definedName>
    <definedName name="FACTOR_HORAS">CONFIG!$B$5:$E$7</definedName>
    <definedName name="FESTIVOS">CONFIG!$G$2:$J$31</definedName>
    <definedName name="FichajePath">Fichaje!$Z$1</definedName>
    <definedName name="MobibukPath">MOBIBUK!$AA$1</definedName>
    <definedName name="Nomina">MES!$A$5:$B$23</definedName>
    <definedName name="NominaPath">#REF!</definedName>
    <definedName name="PathFichaje">CONFIG!$L$3</definedName>
    <definedName name="PathMobibuk">CONFIG!$L$4</definedName>
    <definedName name="PathTrabajadores">CONFIG!$L$2</definedName>
    <definedName name="SEM_AGO_1">#REF!</definedName>
    <definedName name="SEM_SEP_1">#REF!</definedName>
    <definedName name="SEM_SEP_2">#REF!</definedName>
    <definedName name="SEM_SEP_3">#REF!</definedName>
    <definedName name="SEM_SEP_4">#REF!</definedName>
    <definedName name="SEM_SEP_5">#REF!</definedName>
    <definedName name="SEM_SEP_6">#REF!</definedName>
    <definedName name="TIPOS">CONFIG!$K$9:$M$12</definedName>
    <definedName name="Total_Jornadas">JORNADAS!$B$10</definedName>
    <definedName name="Total_Llamados">LLAMADOS!$A$3</definedName>
    <definedName name="Total_Variables">VARIABLES!$B$9</definedName>
    <definedName name="Totales_Almacen">MES!$A$6</definedName>
    <definedName name="Totales_GOB_I">MES!$A$18</definedName>
    <definedName name="Totales_GOB_II">MES!$A$24</definedName>
    <definedName name="Totales_La_Torre">MES!$A$12</definedName>
    <definedName name="TrabajadoresPath">TRABAJADORES!$AY$1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NOMINA_85076dd5-b13f-4857-9cd0-91d0f06d989a" name="NOMINA" connection="Query - NOMINA"/>
          <x15:modelTable id="MOBIBUK_fdfde85b-8d68-4e3f-957b-cab8b583db70" name="MOBIBUK" connection="Query - MOBIBUK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X6" i="1" l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W5" i="1"/>
  <c r="W6" i="1" s="1"/>
  <c r="V5" i="1"/>
  <c r="Y5" i="1" s="1"/>
  <c r="Y6" i="1" s="1"/>
  <c r="U5" i="1"/>
  <c r="X5" i="1" s="1"/>
  <c r="B18" i="1"/>
  <c r="L96" i="10"/>
  <c r="L57" i="10"/>
  <c r="L18" i="10"/>
  <c r="AF7" i="26"/>
  <c r="AF6" i="26"/>
  <c r="AF5" i="26"/>
  <c r="AF4" i="26"/>
  <c r="B24" i="1"/>
  <c r="B12" i="1"/>
  <c r="T24" i="1"/>
  <c r="S24" i="1"/>
  <c r="R24" i="1"/>
  <c r="T18" i="1"/>
  <c r="S18" i="1"/>
  <c r="R18" i="1"/>
  <c r="T12" i="1"/>
  <c r="S12" i="1"/>
  <c r="R12" i="1"/>
  <c r="V6" i="1" l="1"/>
  <c r="Z5" i="1"/>
  <c r="Z6" i="1" s="1"/>
  <c r="AG4" i="26"/>
  <c r="AA5" i="1" l="1"/>
  <c r="AA6" i="1" s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D24" i="1"/>
  <c r="C24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/>
  <c r="C12" i="1"/>
  <c r="Z18" i="1" l="1"/>
  <c r="W18" i="1"/>
  <c r="Y18" i="1"/>
  <c r="V18" i="1"/>
  <c r="U18" i="1"/>
  <c r="H31" i="1"/>
  <c r="H33" i="1"/>
  <c r="H32" i="1"/>
  <c r="H30" i="1"/>
  <c r="D33" i="1"/>
  <c r="E32" i="1"/>
  <c r="G30" i="1"/>
  <c r="C33" i="1"/>
  <c r="D31" i="1"/>
  <c r="C30" i="1"/>
  <c r="F30" i="1"/>
  <c r="C31" i="1"/>
  <c r="G32" i="1"/>
  <c r="F31" i="1"/>
  <c r="F33" i="1"/>
  <c r="G31" i="1"/>
  <c r="C32" i="1"/>
  <c r="G33" i="1"/>
  <c r="E30" i="1"/>
  <c r="F32" i="1"/>
  <c r="E31" i="1"/>
  <c r="E33" i="1"/>
  <c r="D30" i="1"/>
  <c r="D32" i="1"/>
  <c r="V24" i="1"/>
  <c r="Y12" i="1"/>
  <c r="Y24" i="1"/>
  <c r="U12" i="1"/>
  <c r="W24" i="1"/>
  <c r="Z24" i="1"/>
  <c r="W12" i="1"/>
  <c r="V12" i="1"/>
  <c r="U24" i="1"/>
  <c r="X18" i="1"/>
  <c r="Z12" i="1"/>
  <c r="H37" i="1" l="1"/>
  <c r="H34" i="1"/>
  <c r="G37" i="1"/>
  <c r="F37" i="1"/>
  <c r="E37" i="1"/>
  <c r="D37" i="1"/>
  <c r="C37" i="1"/>
  <c r="C34" i="1"/>
  <c r="G34" i="1"/>
  <c r="I33" i="1"/>
  <c r="I31" i="1"/>
  <c r="E34" i="1"/>
  <c r="F34" i="1"/>
  <c r="I30" i="1"/>
  <c r="D34" i="1"/>
  <c r="I32" i="1"/>
  <c r="W30" i="1"/>
  <c r="U30" i="1"/>
  <c r="Y30" i="1"/>
  <c r="V30" i="1"/>
  <c r="V26" i="1"/>
  <c r="Z30" i="1"/>
  <c r="Y26" i="1"/>
  <c r="W26" i="1"/>
  <c r="X12" i="1"/>
  <c r="AA12" i="1"/>
  <c r="U26" i="1"/>
  <c r="Z26" i="1"/>
  <c r="AA18" i="1"/>
  <c r="AA24" i="1"/>
  <c r="X24" i="1"/>
  <c r="W28" i="1" l="1"/>
  <c r="U28" i="1"/>
  <c r="V28" i="1"/>
  <c r="I35" i="1"/>
  <c r="I37" i="1"/>
  <c r="AA26" i="1"/>
  <c r="X2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982E5C4-1BB0-4C39-ADE3-A185857E50A4}" keepAlive="1" name="Consulta - TRABAJADORES" description="Conexión a la consulta 'TRABAJADORES' en el libro." type="5" refreshedVersion="8" background="1" saveData="1">
    <dbPr connection="Provider=Microsoft.Mashup.OleDb.1;Data Source=$Workbook$;Location=TRABAJADORES;Extended Properties=&quot;&quot;" command="SELECT * FROM [TRABAJADORES]"/>
  </connection>
  <connection id="2" xr16:uid="{4E247760-ED85-43E9-B4FB-CEEB3AABCED1}" keepAlive="1" name="ModelConnection_ExternalData_5" description="Data Model" type="5" refreshedVersion="8" minRefreshableVersion="5" saveData="1">
    <dbPr connection="Data Model Connection" command="MOBIBUK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6EA0A044-16D0-420B-A1F9-1A24F503373C}" keepAlive="1" name="Query - Fichaje" description="Connection to the 'Fichaje' query in the workbook." type="5" refreshedVersion="8" background="1" saveData="1">
    <dbPr connection="Provider=Microsoft.Mashup.OleDb.1;Data Source=$Workbook$;Location=Fichaje;Extended Properties=&quot;&quot;" command="SELECT * FROM [Fichaje]"/>
  </connection>
  <connection id="4" xr16:uid="{1A69E7F0-927E-42F6-A7E8-073D50396FC5}" name="Query - MOBIBUK" description="Connection to the 'MOBIBUK' query in the workbook." type="100" refreshedVersion="8" minRefreshableVersion="5">
    <extLst>
      <ext xmlns:x15="http://schemas.microsoft.com/office/spreadsheetml/2010/11/main" uri="{DE250136-89BD-433C-8126-D09CA5730AF9}">
        <x15:connection id="45bf5136-88e9-47aa-91a8-9126a35287bb"/>
      </ext>
    </extLst>
  </connection>
  <connection id="5" xr16:uid="{5A8951D5-C445-408C-9FA6-1DAD3AFB784C}" name="Query - NOMINA" description="Connection to the 'NOMINA' query in the workbook." type="100" refreshedVersion="8" minRefreshableVersion="5">
    <extLst>
      <ext xmlns:x15="http://schemas.microsoft.com/office/spreadsheetml/2010/11/main" uri="{DE250136-89BD-433C-8126-D09CA5730AF9}">
        <x15:connection id="ee29af0d-232e-4255-ad97-bd2f10f58100">
          <x15:oledbPr connection="Provider=Microsoft.Mashup.OleDb.1;Data Source=$Workbook$;Location=NOMINA;Extended Properties=&quot;&quot;">
            <x15:dbTables>
              <x15:dbTable name="NOMINA"/>
            </x15:dbTables>
          </x15:oledbPr>
        </x15:connection>
      </ext>
    </extLst>
  </connection>
  <connection id="6" xr16:uid="{6FEBC194-1D59-41F4-903D-CDD55A877F5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<sst xmlns="http://schemas.openxmlformats.org/spreadsheetml/2006/main" count="5730" uniqueCount="2435">
  <si>
    <t>Código</t>
  </si>
  <si>
    <t>Nombre</t>
  </si>
  <si>
    <t>CUERVA BOIX, IGNACIO</t>
  </si>
  <si>
    <t>CUERVA CUERVA, JOSE LUIS</t>
  </si>
  <si>
    <t>FARES, ABDELHAK</t>
  </si>
  <si>
    <t>HIGUERAS JIMENEZ, ANTONIO</t>
  </si>
  <si>
    <t>HOUDANE, MUSTAPHA</t>
  </si>
  <si>
    <t>RUIZ GONZALEZ, ANTONIO</t>
  </si>
  <si>
    <t>PP.</t>
  </si>
  <si>
    <t>MV.</t>
  </si>
  <si>
    <t>N</t>
  </si>
  <si>
    <t>TOTAL €</t>
  </si>
  <si>
    <t>TOTAL HORAS</t>
  </si>
  <si>
    <t>BRUTO</t>
  </si>
  <si>
    <t>APOLO APOLO, TANIA DEL CARMEN</t>
  </si>
  <si>
    <t>ATFA, LAHCEN</t>
  </si>
  <si>
    <t>CALVILLO HERREY, CATALINA</t>
  </si>
  <si>
    <t>CARDONA VIVEROS, DANAY ALEXANDRA</t>
  </si>
  <si>
    <t>TAMA SÁNCHEZ, EVELYN JULIANA</t>
  </si>
  <si>
    <t>ZAVALA SANDOVAL, GABRIELA JOHANNA</t>
  </si>
  <si>
    <t>ALMACÉN</t>
  </si>
  <si>
    <t>ARREDONDO GONZALEZ, JUAN JOSE</t>
  </si>
  <si>
    <t>ATYQ, MUSTAPHA</t>
  </si>
  <si>
    <t>AYAD, AZZRAF</t>
  </si>
  <si>
    <t>BALLESTER MARTINEZ, MARIA CARM</t>
  </si>
  <si>
    <t>BIAD, ABDELMAOULA</t>
  </si>
  <si>
    <t>CAMARA, KORO</t>
  </si>
  <si>
    <t>CUERVA RUIZ, JOSE</t>
  </si>
  <si>
    <t>DAHHAK,RACHID</t>
  </si>
  <si>
    <t>DRIHIM, EL BACHIR</t>
  </si>
  <si>
    <t>DRIOUCHE BRHAIBERH, JEMAA</t>
  </si>
  <si>
    <t>ECHTIYI, RACHID</t>
  </si>
  <si>
    <t>EL AMRANI, RAHHAL</t>
  </si>
  <si>
    <t>ESSAADI, ABDERRAZZAK</t>
  </si>
  <si>
    <t>FADLANE,TARIK</t>
  </si>
  <si>
    <t>FERNANDEZ FRASES, SUSANA</t>
  </si>
  <si>
    <t>GUAMAN PINEDA, JEAN PAUL</t>
  </si>
  <si>
    <t>HIDALGO LOPEZ, JOSE MANUEL</t>
  </si>
  <si>
    <t>HOUDANE, EL HABIBE</t>
  </si>
  <si>
    <t>JIMENEZ JIMENEZ, MANUEL</t>
  </si>
  <si>
    <t>JIMENEZ MULLOR, MARIA BEGOÑA</t>
  </si>
  <si>
    <t>KADI, FARID</t>
  </si>
  <si>
    <t>LAKRINII, AZ EDDINE</t>
  </si>
  <si>
    <t>LOPEZ HIDALGO, JOSEFA</t>
  </si>
  <si>
    <t>MAROUF, MBAREK</t>
  </si>
  <si>
    <t>MARZOUK, RADOUNE</t>
  </si>
  <si>
    <t>ORTIZ GARCIA, JUANA</t>
  </si>
  <si>
    <t>QUIRANT MANRIQUE, TRINIDAD</t>
  </si>
  <si>
    <t>SANCHEZ LOPEZ, RAMON</t>
  </si>
  <si>
    <t>SANCHEZ MONREAL, VERONICA</t>
  </si>
  <si>
    <t>TIMZOURA, HICHAM</t>
  </si>
  <si>
    <t>ZINEDIN, NOUREDINE</t>
  </si>
  <si>
    <t>FINCA LA TORRE</t>
  </si>
  <si>
    <t>ARMIJOS SANCHEZ, CRISTIAN JORD</t>
  </si>
  <si>
    <t>ASUNCIÓN PEREZ, DORA ALICIA</t>
  </si>
  <si>
    <t>BENITEZ PULLAGUARI, DAYANA GIS</t>
  </si>
  <si>
    <t>CAJILEMA GUAMAN, ANA LUCIA</t>
  </si>
  <si>
    <t>CEDEÑO ZAMBRANO, LENNY ARACELL</t>
  </si>
  <si>
    <t>CRIOLLO SAQUISILLI, ROSA MARIA</t>
  </si>
  <si>
    <t>DAQUILEMA AUCACAMA, MARIA ESCO</t>
  </si>
  <si>
    <t>EL AZIZI, YASSINE</t>
  </si>
  <si>
    <t>EL MOUSSAOUI, MIMOUN</t>
  </si>
  <si>
    <t>HOUDANE, ABDESSAMAD</t>
  </si>
  <si>
    <t>ILLAPA CORO, MARIA TRANSITO</t>
  </si>
  <si>
    <t>LEON NIVELO, ROSA ERMELINDA</t>
  </si>
  <si>
    <t>LIMACHI LEMACHE, DIANA ELIZABE</t>
  </si>
  <si>
    <t>MALLA YUNGA, LUIS EDWARD</t>
  </si>
  <si>
    <t>MARTINEZ VILLON, JENNY MARILU</t>
  </si>
  <si>
    <t>MARTINEZ VILLON, JESSICA TERES</t>
  </si>
  <si>
    <t>MARZOUKI, EL MUSTAPHA</t>
  </si>
  <si>
    <t>MENDOZA MENDOZA, MARIA GEORGIN</t>
  </si>
  <si>
    <t>MENDOZA TAPAY, MARIA BALTAZARA</t>
  </si>
  <si>
    <t>PALA TENEMAZA, MARIA CATALINA</t>
  </si>
  <si>
    <t>PULLAGUARI CHIRIBOGA, FANNY MA</t>
  </si>
  <si>
    <t>RODRIGUEZ BARBERO GARCIA,ANGEL</t>
  </si>
  <si>
    <t>ROMERO VEGARA, NOELIA</t>
  </si>
  <si>
    <t>SANCHEZ CEDEÑO, VEMS ARACELY</t>
  </si>
  <si>
    <t>SAQUISILLI SAQUISILLI, MARIA E</t>
  </si>
  <si>
    <t>TERUEL MENDOZA, CANDIDO</t>
  </si>
  <si>
    <t>TOAQUIZA CHUGCHILAN, MARIA ERC</t>
  </si>
  <si>
    <t>ZHININ MINCHALA, MIRIAN ROSANA</t>
  </si>
  <si>
    <t>INV.2.1</t>
  </si>
  <si>
    <t>INV.3.1</t>
  </si>
  <si>
    <t>PINTO MONTAÑO, ALINDA</t>
  </si>
  <si>
    <t>CASTILLO SARANGO, CARMEN OLINDA</t>
  </si>
  <si>
    <t>NIETO MORAN, TANYA MARIA</t>
  </si>
  <si>
    <t>PEÑARRETA CHACON, JENY MAGALI</t>
  </si>
  <si>
    <t>PUMAQUERO AMBO, JESSICA SILVANA</t>
  </si>
  <si>
    <t>SANTILLAN MONTESDEOCA, MONICA ELIZABETH</t>
  </si>
  <si>
    <t>FIALLOS PARRALES, NEIVA KATALINA</t>
  </si>
  <si>
    <t>NEIRA CAMPOVERDE, ROSA FLORINDA</t>
  </si>
  <si>
    <t>JAYA FARINANGO, NANCY VERONICA</t>
  </si>
  <si>
    <t>PANTA ORDOÑEZ, EVELING ELIZABETH</t>
  </si>
  <si>
    <t>CATOTA VALDEZ,ERIKA ESTEFANIA</t>
  </si>
  <si>
    <t>ERAHILI, HAMID</t>
  </si>
  <si>
    <t>THIAM GUEYE, PAPA</t>
  </si>
  <si>
    <t>EL KOUIRA, KARIM</t>
  </si>
  <si>
    <t>MARTINEZ LOPEZ, JAVIER</t>
  </si>
  <si>
    <t>ER RAHMOUNY, MANAL</t>
  </si>
  <si>
    <t>FARES, FATIMA</t>
  </si>
  <si>
    <t>MENDOZA GUAMAN, AGUSTINA MERCEDES</t>
  </si>
  <si>
    <t>MARTINEZ LOPEZ, DANIEL</t>
  </si>
  <si>
    <t>GOMEZ MARQUEZ, ADRIAN</t>
  </si>
  <si>
    <t>COULIBARY, HAWA</t>
  </si>
  <si>
    <t>BERNA GUADALCAZAR DANIEL</t>
  </si>
  <si>
    <t>MENDOZA TENEMAZA MARIA MARTINA</t>
  </si>
  <si>
    <t>HEREDIA ALCALA MARIO</t>
  </si>
  <si>
    <t>MUÑOZ MUÑOZ, MARÍA DOLORES</t>
  </si>
  <si>
    <t>CURCO OÑA, GENESIS ROSARIO</t>
  </si>
  <si>
    <t>ALARCON CEDEÑO SHERWIN WILLIAM</t>
  </si>
  <si>
    <t>MORENO VERDEZOTO AVERY VICENTE</t>
  </si>
  <si>
    <t>MENDOZA TENEMAZA MARIA ALEXANDRA</t>
  </si>
  <si>
    <t>MAYANCELA PUNIN MARIA SENAIDA</t>
  </si>
  <si>
    <t>YAMASCA MENDOZA CRISTINA</t>
  </si>
  <si>
    <t>VACACELA FERNADEZ MARIA MANUELA</t>
  </si>
  <si>
    <t>YACELGA CABASCANGO BEATRIZ</t>
  </si>
  <si>
    <t>CASTILLO MURILLO LIANABEL DEL CARMEN</t>
  </si>
  <si>
    <t>SUAREZ CAMPOVERDE ANDREA KAMILA</t>
  </si>
  <si>
    <t>KARIM KARIM NOUREDDINE</t>
  </si>
  <si>
    <t>LOPEZ PARAMO MARIA TERESA</t>
  </si>
  <si>
    <t>PEREIRA PARRA ROSA CRISTINA</t>
  </si>
  <si>
    <t>TRAORE, BAYAN</t>
  </si>
  <si>
    <t>QUEZADA FERNANDEZ, NORMA JULEYSI</t>
  </si>
  <si>
    <t>NOMBRE  APELLIDOS</t>
  </si>
  <si>
    <t>FINCA</t>
  </si>
  <si>
    <t>TAREA</t>
  </si>
  <si>
    <t>HORAS</t>
  </si>
  <si>
    <t>SC</t>
  </si>
  <si>
    <t>CARMEN OLINDA CASTILLO SARANGO</t>
  </si>
  <si>
    <t>AGUSTINA MERCEDES MENDOZA GUAMAN</t>
  </si>
  <si>
    <t>TANIA MARIA NIETO MORAN</t>
  </si>
  <si>
    <t>HAWA COULIBARY</t>
  </si>
  <si>
    <t>MARIA BALTAZARA MENDOZA TAPAY</t>
  </si>
  <si>
    <t>DIANA ELISABETH LIMACHI LEMACHE</t>
  </si>
  <si>
    <t>ALINDA PINTO MONTAÑO</t>
  </si>
  <si>
    <t>CANDIDO TERUEL MENDOZA</t>
  </si>
  <si>
    <t>NORMA JULEYSI QUEZADA FERNANDEZ</t>
  </si>
  <si>
    <t>MARIA MANUELA VACACELA FERNANDEZ</t>
  </si>
  <si>
    <t xml:space="preserve">ALMACÉN </t>
  </si>
  <si>
    <t xml:space="preserve">FINCA LA TORRE </t>
  </si>
  <si>
    <t xml:space="preserve">INV.2.1 </t>
  </si>
  <si>
    <t xml:space="preserve">INV.3.1 </t>
  </si>
  <si>
    <t xml:space="preserve">TOTAL HORAS DEL MES </t>
  </si>
  <si>
    <t>SEM_1</t>
  </si>
  <si>
    <t>SEM_2</t>
  </si>
  <si>
    <t>SEM_3</t>
  </si>
  <si>
    <t>SEM_4</t>
  </si>
  <si>
    <t>SEM_5</t>
  </si>
  <si>
    <t xml:space="preserve">TOTAL HORAS DEL SEMANA </t>
  </si>
  <si>
    <t>Cod Empleado</t>
  </si>
  <si>
    <t>LA GOBERNADORA</t>
  </si>
  <si>
    <t>Año</t>
  </si>
  <si>
    <t>MARIA CATALINA PALA TENEMAZA</t>
  </si>
  <si>
    <t>DAYANA GISSELA BENITEZ PULLAGUARI</t>
  </si>
  <si>
    <t>RAUL QUIROS HIGUERAS</t>
  </si>
  <si>
    <t>034070011831082024NC00006     1</t>
  </si>
  <si>
    <t>EMPRESA:</t>
  </si>
  <si>
    <t>00118 - TOMATES LIS, S.L.</t>
  </si>
  <si>
    <t>CENTRO:</t>
  </si>
  <si>
    <t>00006 - TOMATESLIS BAIONA BAIXA - GOB  AGR - JOR</t>
  </si>
  <si>
    <t>Laborales</t>
  </si>
  <si>
    <t>Fin de Semana</t>
  </si>
  <si>
    <t>FECHA:</t>
  </si>
  <si>
    <t>31 de Agosto de 2024</t>
  </si>
  <si>
    <t>Festivos</t>
  </si>
  <si>
    <t>Anote con una X las celdas correspondientes a cada trabajador y días que haya trabajado.</t>
  </si>
  <si>
    <t>Anote con una I para cada trabajador los días correspondientes a periodos de inactividad  (solo para S.E. Frutas, Hortalizas y C.V.)</t>
  </si>
  <si>
    <t>Trabajadores</t>
  </si>
  <si>
    <t>ARMIJOS SANCHEZ, CRISTIAN JORDI</t>
  </si>
  <si>
    <t>COULIBALY, HAWA</t>
  </si>
  <si>
    <t>LIMACHI LEMACHE, DIANA ELIZABETH</t>
  </si>
  <si>
    <t>MARTINEZ VILLON, JESSICA TERESA</t>
  </si>
  <si>
    <t>PULLAGUARI CHIRIBOGA, FANNY MARITZA</t>
  </si>
  <si>
    <t>SAQUISILLI SAQUISILLI, MARIA ELVIRA</t>
  </si>
  <si>
    <t>TOAQUIZA CHUGCHILAN, MARIA ERCELINDA</t>
  </si>
  <si>
    <t>VACACELA FERNANDEZ, MARIA MANUELA</t>
  </si>
  <si>
    <t>SEMANA 1</t>
  </si>
  <si>
    <t>SEMANA 2</t>
  </si>
  <si>
    <t>SEMANA 3</t>
  </si>
  <si>
    <t>SEMANA 4</t>
  </si>
  <si>
    <t>SEMANA 5</t>
  </si>
  <si>
    <t>SEMANA 6</t>
  </si>
  <si>
    <t>ALMACEN</t>
  </si>
  <si>
    <t>INGRESO</t>
  </si>
  <si>
    <t>ANTIGÜEDAD</t>
  </si>
  <si>
    <t>TIPO</t>
  </si>
  <si>
    <t>LLAMADO</t>
  </si>
  <si>
    <t>INCORPORACION</t>
  </si>
  <si>
    <t>Años</t>
  </si>
  <si>
    <t>Meses</t>
  </si>
  <si>
    <t>Días</t>
  </si>
  <si>
    <t>A</t>
  </si>
  <si>
    <t>B</t>
  </si>
  <si>
    <t>VENCIDO</t>
  </si>
  <si>
    <t>VENCIENDO</t>
  </si>
  <si>
    <t>entre 1 y 5</t>
  </si>
  <si>
    <t>POR VENCER</t>
  </si>
  <si>
    <t>entre 6 y 10</t>
  </si>
  <si>
    <t>CONTIEMPO</t>
  </si>
  <si>
    <t>más de 10</t>
  </si>
  <si>
    <t>0 ó menos</t>
  </si>
  <si>
    <t>TEMPOS DE DURACION</t>
  </si>
  <si>
    <t>X7037372Q</t>
  </si>
  <si>
    <t/>
  </si>
  <si>
    <t>SI</t>
  </si>
  <si>
    <t>Y1552978D</t>
  </si>
  <si>
    <t>ACTIVO</t>
  </si>
  <si>
    <t>X7638357B</t>
  </si>
  <si>
    <t>NO</t>
  </si>
  <si>
    <t>74531861Q</t>
  </si>
  <si>
    <t>48733747J</t>
  </si>
  <si>
    <t>74533510D</t>
  </si>
  <si>
    <t>X3293241D</t>
  </si>
  <si>
    <t>ER RAHMOUNI, MANAL</t>
  </si>
  <si>
    <t>53977890H</t>
  </si>
  <si>
    <t>52512289T</t>
  </si>
  <si>
    <t>54959187C</t>
  </si>
  <si>
    <t>KARIM KARIM, NOUREDDINE</t>
  </si>
  <si>
    <t>X7182318Q</t>
  </si>
  <si>
    <t>21466597F</t>
  </si>
  <si>
    <t>GOBERNADORA FASE I</t>
  </si>
  <si>
    <t>74536075K</t>
  </si>
  <si>
    <t>X6792357C</t>
  </si>
  <si>
    <t>X6760346W</t>
  </si>
  <si>
    <t>29523006E</t>
  </si>
  <si>
    <t>X3610498G</t>
  </si>
  <si>
    <t>X3887397Y</t>
  </si>
  <si>
    <t>Y0154209P</t>
  </si>
  <si>
    <t>29526079J</t>
  </si>
  <si>
    <t>48796665A</t>
  </si>
  <si>
    <t>SANTILLAN MONTESDEOCA, MONICA ELISABETH</t>
  </si>
  <si>
    <t>52766229C</t>
  </si>
  <si>
    <t>RODRIGUEZ-BARBERO GARCÍA, ANGEL MANUEL</t>
  </si>
  <si>
    <t xml:space="preserve"> SI</t>
  </si>
  <si>
    <t>29575369Z</t>
  </si>
  <si>
    <t>73405007R</t>
  </si>
  <si>
    <t>GUAMAN YUBI, NUBE MARIELA</t>
  </si>
  <si>
    <t>77043559E</t>
  </si>
  <si>
    <t>SARANGO QUEZADA, BETTY JOSEFINA</t>
  </si>
  <si>
    <t>74040433Y</t>
  </si>
  <si>
    <t>GUAMAN YUBI, JENNY SUSANA</t>
  </si>
  <si>
    <t>X6667355T</t>
  </si>
  <si>
    <t>MORAN ENDARA, FATIMA ESTHER</t>
  </si>
  <si>
    <t>Y0202239Z</t>
  </si>
  <si>
    <t>23904300D</t>
  </si>
  <si>
    <t>78293661M</t>
  </si>
  <si>
    <t>Y3371101M</t>
  </si>
  <si>
    <t>X9098796L</t>
  </si>
  <si>
    <t>14057906F</t>
  </si>
  <si>
    <t>X3983145M</t>
  </si>
  <si>
    <t>ATTAF, ABDERRAHMANE</t>
  </si>
  <si>
    <t>Y8409957K</t>
  </si>
  <si>
    <t>BARAGHDOUCH, MOSTAPHA</t>
  </si>
  <si>
    <t>HDOURI, MOHAMMED</t>
  </si>
  <si>
    <t>Y6097231Z</t>
  </si>
  <si>
    <t>LEMHAMDI, ABDELHAMID</t>
  </si>
  <si>
    <t>X3167337F</t>
  </si>
  <si>
    <t>SUOKRAT, ABDENABI</t>
  </si>
  <si>
    <t>48567868X</t>
  </si>
  <si>
    <t>48566871W</t>
  </si>
  <si>
    <t>X6408252S</t>
  </si>
  <si>
    <t>26480317A</t>
  </si>
  <si>
    <t>48775540S</t>
  </si>
  <si>
    <t>MUÑOZ MUÑOZ, MARIA DOLORES</t>
  </si>
  <si>
    <t>Y4651790P</t>
  </si>
  <si>
    <t>78009181N</t>
  </si>
  <si>
    <t>MONTIEL BARSALLO, MAYRA ALEXANDRA</t>
  </si>
  <si>
    <t>48566245C</t>
  </si>
  <si>
    <t>QUIROS HIGUERAS, RAUL</t>
  </si>
  <si>
    <t>GOBERNADORA FASE II</t>
  </si>
  <si>
    <t>Y9189028J</t>
  </si>
  <si>
    <t>X6694276B</t>
  </si>
  <si>
    <t>Y4056688P</t>
  </si>
  <si>
    <t>X1975594D</t>
  </si>
  <si>
    <t>X6900497Z</t>
  </si>
  <si>
    <t>04767915S</t>
  </si>
  <si>
    <t>01888071R</t>
  </si>
  <si>
    <t>74376595T</t>
  </si>
  <si>
    <t>74389417B</t>
  </si>
  <si>
    <t>CEDEÑO ZAMBRANO, LENNY ARACELY</t>
  </si>
  <si>
    <t>77953988L</t>
  </si>
  <si>
    <t>X8222694X</t>
  </si>
  <si>
    <t>48358034M</t>
  </si>
  <si>
    <t>24513616D</t>
  </si>
  <si>
    <t>13440711V</t>
  </si>
  <si>
    <t>BENITEZ PULLAGUARI, DAYANA GISELA</t>
  </si>
  <si>
    <t>29575524P</t>
  </si>
  <si>
    <t>30302328N</t>
  </si>
  <si>
    <t>78132611R</t>
  </si>
  <si>
    <t>Y8538840N</t>
  </si>
  <si>
    <t>48752774L</t>
  </si>
  <si>
    <t>X6462318P</t>
  </si>
  <si>
    <t>X7223829N</t>
  </si>
  <si>
    <t>29596627C</t>
  </si>
  <si>
    <t>02381100W</t>
  </si>
  <si>
    <t>GARCIA TORRES, ALCIRA JUDITH</t>
  </si>
  <si>
    <t>OFICINA</t>
  </si>
  <si>
    <t>45704407A</t>
  </si>
  <si>
    <t>BETHENCOURT MENDOZA, YURENA</t>
  </si>
  <si>
    <t>44758088L</t>
  </si>
  <si>
    <t>CONEJERO MARTINEZ, RAUL</t>
  </si>
  <si>
    <t>CUERVA GONZALEZ, JOSE IGNACIO</t>
  </si>
  <si>
    <t>48570188F</t>
  </si>
  <si>
    <t>GARCIA MONZO, DANIEL</t>
  </si>
  <si>
    <t>48530501H</t>
  </si>
  <si>
    <t>GARCIA MONZO, MARCOS</t>
  </si>
  <si>
    <t>78296568Z</t>
  </si>
  <si>
    <t>BOUKHAZMA ENOUCH, HACHIM</t>
  </si>
  <si>
    <t>TORRE</t>
  </si>
  <si>
    <t>X2341353E</t>
  </si>
  <si>
    <t>X5255510X</t>
  </si>
  <si>
    <t>48347958A</t>
  </si>
  <si>
    <t>X6609814M</t>
  </si>
  <si>
    <t>52777184G</t>
  </si>
  <si>
    <t>21403956H</t>
  </si>
  <si>
    <t>Y9445497D</t>
  </si>
  <si>
    <t>X5935927H</t>
  </si>
  <si>
    <t>30967295A</t>
  </si>
  <si>
    <t>21499856P</t>
  </si>
  <si>
    <t>X5759975Q</t>
  </si>
  <si>
    <t>24509517G</t>
  </si>
  <si>
    <t>X5069913T</t>
  </si>
  <si>
    <t>X7494990A</t>
  </si>
  <si>
    <t>X6644077K</t>
  </si>
  <si>
    <t>55176806J</t>
  </si>
  <si>
    <t>EL KOUIRA EL KOUIRA, KARIM</t>
  </si>
  <si>
    <t>X4242863F</t>
  </si>
  <si>
    <t>X4429422J</t>
  </si>
  <si>
    <t>X2312405P</t>
  </si>
  <si>
    <t>Y2779899H</t>
  </si>
  <si>
    <t>X9181003R</t>
  </si>
  <si>
    <t>74622652A</t>
  </si>
  <si>
    <t>48352550H</t>
  </si>
  <si>
    <t>21459038S</t>
  </si>
  <si>
    <t>BALLESTER MARTINEZ, MARIA CARMEN</t>
  </si>
  <si>
    <t>52512184X</t>
  </si>
  <si>
    <t>13442894S</t>
  </si>
  <si>
    <t>48533589R</t>
  </si>
  <si>
    <t>Y7096516H</t>
  </si>
  <si>
    <t>Y3961735E</t>
  </si>
  <si>
    <t>01888270Q</t>
  </si>
  <si>
    <t>48317653N</t>
  </si>
  <si>
    <t>X4532862E</t>
  </si>
  <si>
    <t>48668858F</t>
  </si>
  <si>
    <t>X4154584W</t>
  </si>
  <si>
    <t>X3837506W</t>
  </si>
  <si>
    <t>29577076L</t>
  </si>
  <si>
    <t>Y9944143S</t>
  </si>
  <si>
    <t>77040523E</t>
  </si>
  <si>
    <t>HEREDIA ALCALA, MARIO</t>
  </si>
  <si>
    <t>74393602X</t>
  </si>
  <si>
    <t>ALARCON CEDEÑO SHERWIN WILLIAN</t>
  </si>
  <si>
    <t>FERRER VALERA, NOEMI</t>
  </si>
  <si>
    <t>51773552T</t>
  </si>
  <si>
    <t>54208086F</t>
  </si>
  <si>
    <t>54208085Y</t>
  </si>
  <si>
    <t>SUAREZ CAMPOVERDE, ANDREA KAMILA</t>
  </si>
  <si>
    <t>DE BAJA</t>
  </si>
  <si>
    <t>Trabajador</t>
  </si>
  <si>
    <t>ESPAÑOLA</t>
  </si>
  <si>
    <t>aaaa@aa.com</t>
  </si>
  <si>
    <t>CALLE DOCTOR BROTONS POVEDO,22, EL CAMPELLO</t>
  </si>
  <si>
    <t>Permanente</t>
  </si>
  <si>
    <t>ANTONIO HIGUERAS JIMENEZ</t>
  </si>
  <si>
    <t>ANTONIO</t>
  </si>
  <si>
    <t>HIGUERAS</t>
  </si>
  <si>
    <t>ANTONIOHIGUERASJIMENEZ1@GMAIL.COM</t>
  </si>
  <si>
    <t>SERRA DEL CAVALL VERT 18 1B</t>
  </si>
  <si>
    <t>MUSTAPHA HOUDANE (de baja)</t>
  </si>
  <si>
    <t>ESPAÑA</t>
  </si>
  <si>
    <t>AAA@GMAIL.COM</t>
  </si>
  <si>
    <t>CALLE BENAI 2 PO5 1</t>
  </si>
  <si>
    <t>ABDENABI SOUKRAT (de baja)</t>
  </si>
  <si>
    <t>MARROQUI</t>
  </si>
  <si>
    <t>Asgre@GMAIL.COM</t>
  </si>
  <si>
    <t>CALLE ESPERIDON PORTA REQUESEN 52 PO6 2</t>
  </si>
  <si>
    <t>FijoDiscontinuo</t>
  </si>
  <si>
    <t>ABDESSAMAD HOUDANE</t>
  </si>
  <si>
    <t>ABDESSAMAD</t>
  </si>
  <si>
    <t>HOUDANE</t>
  </si>
  <si>
    <t>ABDESNAD@GMAIL.COM</t>
  </si>
  <si>
    <t>CALLE JOSÉ GÓMEZ MOMPEAN 79 PO4 2</t>
  </si>
  <si>
    <t>ELMUSTAPHA MARZOUKI</t>
  </si>
  <si>
    <t>ELMUSTAPHA</t>
  </si>
  <si>
    <t>MARZOUKI</t>
  </si>
  <si>
    <t>FUIbvyi@gmail.com</t>
  </si>
  <si>
    <t>CALLE MANUEL RUIZ MAGRO 17 PO3 2</t>
  </si>
  <si>
    <t>ABDERRAHMANE ATTAF (de baja)</t>
  </si>
  <si>
    <t>FDJEBGQKÑLB@GMAIL.COM</t>
  </si>
  <si>
    <t>AVDA PINTOR GASTON CASTELLO 23 PO3 IZQ</t>
  </si>
  <si>
    <t>MOHAMMED HDOURI (de baja)</t>
  </si>
  <si>
    <t>X3092625E</t>
  </si>
  <si>
    <t>ECUADOR</t>
  </si>
  <si>
    <t>JFSDAÑHRFUAHG@GMAIL.COM</t>
  </si>
  <si>
    <t>CALLE REAL LAS LOMAS 36</t>
  </si>
  <si>
    <t>ABDELHAMID LEMHAMDI (de baja)</t>
  </si>
  <si>
    <t>FJDKILQA@GMAIL.COM</t>
  </si>
  <si>
    <t>CALLE MATEMATICO ROMERO 1 PO4B</t>
  </si>
  <si>
    <t>MIMOUN ELMOUSSAOUI</t>
  </si>
  <si>
    <t>MIMOUN</t>
  </si>
  <si>
    <t>ELMUSSAOUI</t>
  </si>
  <si>
    <t>JFKEAHG@GMAIL.COM</t>
  </si>
  <si>
    <t>CALLE ALHADRE 44 PO5 2</t>
  </si>
  <si>
    <t>MOSTAPHA BARAGHDOUCH (de baja)</t>
  </si>
  <si>
    <t>JGFDSÑHB@GMAIL.COM</t>
  </si>
  <si>
    <t>CALLE AGATA 8 PO3 IZQ</t>
  </si>
  <si>
    <t>VEMS ARACELY SANCHEZ CEDEÑO</t>
  </si>
  <si>
    <t>VEMSARACELI</t>
  </si>
  <si>
    <t>SANCHEZ</t>
  </si>
  <si>
    <t>HJFKA@GMAIL.COM</t>
  </si>
  <si>
    <t>CALLE FRANCISCO VICENTE RODRIGUEZ 44 PO5 1</t>
  </si>
  <si>
    <t>LENNY ARACELY CEDEÑO ZAMBRANO</t>
  </si>
  <si>
    <t>LENNY</t>
  </si>
  <si>
    <t>ARACELY</t>
  </si>
  <si>
    <t>ECUATORIANA</t>
  </si>
  <si>
    <t>HGJFAHL@GMAIL.COM</t>
  </si>
  <si>
    <t>CALLE ANTONIO MORA FERNANDEZ 38 PO4</t>
  </si>
  <si>
    <t>YASSINE EL AZIZI</t>
  </si>
  <si>
    <t>YASSINE</t>
  </si>
  <si>
    <t>ELAZIZI</t>
  </si>
  <si>
    <t>FJDKSAG@GMAIL.COM</t>
  </si>
  <si>
    <t>CALLE CONRADO DEL CAMPO 72 PO5</t>
  </si>
  <si>
    <t>JESSICA TERESA MARTINEZ VILLÓN</t>
  </si>
  <si>
    <t>JESSICA</t>
  </si>
  <si>
    <t>TERESA</t>
  </si>
  <si>
    <t>AAA@AAA.COM</t>
  </si>
  <si>
    <t>CALLE VICARI SAMUEL RIQUELME16,P02 DERECHA</t>
  </si>
  <si>
    <t>DORA ALICIA ASUNCIÓN PÉREZ</t>
  </si>
  <si>
    <t>DORA</t>
  </si>
  <si>
    <t>ALICIA</t>
  </si>
  <si>
    <t>CALLE VICARI SAMUEL RIQUELME 16,903,A</t>
  </si>
  <si>
    <t>CRISTIAN JORDI ARMIJOS SÁNCHEZ</t>
  </si>
  <si>
    <t>CRISTIAN</t>
  </si>
  <si>
    <t>JORDI</t>
  </si>
  <si>
    <t>CALLE MARIO PASTOR SEMPERE,14,P4,01</t>
  </si>
  <si>
    <t>NOELIA ROMERO VEGARA</t>
  </si>
  <si>
    <t>NOELIA</t>
  </si>
  <si>
    <t>ROMERO</t>
  </si>
  <si>
    <t>EL CAMPELLO</t>
  </si>
  <si>
    <t>JENNY MARILU MARTINEZ VILLON</t>
  </si>
  <si>
    <t>JENNY</t>
  </si>
  <si>
    <t>MARILUZ</t>
  </si>
  <si>
    <t>JESSENIA PAOLA MANTILLA SOLIS (de baja)</t>
  </si>
  <si>
    <t>26785053N</t>
  </si>
  <si>
    <t>KARINA SILVANA CASTILLO VERA (de baja)</t>
  </si>
  <si>
    <t>24513554Q</t>
  </si>
  <si>
    <t>SANDRA ESTEFANIA GUERRERO CEDEÑO (de baja)</t>
  </si>
  <si>
    <t>24439256P</t>
  </si>
  <si>
    <t>CALLE HERMANOS QUINTERO 4 POR A</t>
  </si>
  <si>
    <t>TANYAMARIA</t>
  </si>
  <si>
    <t>NIETO</t>
  </si>
  <si>
    <t>JSWAV@GMAIL.COM</t>
  </si>
  <si>
    <t>C. ALTOSMOROS 27</t>
  </si>
  <si>
    <t>AINHOA MELISSA PRECIADO RAMIREZ PRECIADO RAMIREZ (de baja)</t>
  </si>
  <si>
    <t>48629314T</t>
  </si>
  <si>
    <t>FNBJDEWKIL@GMAIL.COM</t>
  </si>
  <si>
    <t>C. PIUS XII 14 P01 DR</t>
  </si>
  <si>
    <t>JENY MAGALI PEÑARRETA CHACON</t>
  </si>
  <si>
    <t>JENYMAGALI</t>
  </si>
  <si>
    <t>PEÑARRETA</t>
  </si>
  <si>
    <t>FGJK@GMAIL.COM</t>
  </si>
  <si>
    <t>C. LUGO 10 P04 I</t>
  </si>
  <si>
    <t>MONICA ELIZABETH SANTILLANA MONTESDEOCA</t>
  </si>
  <si>
    <t>MONICAELIZABETH</t>
  </si>
  <si>
    <t>SANTILLANA</t>
  </si>
  <si>
    <t>FJDK@GMAIL.COM</t>
  </si>
  <si>
    <t>CRER. FORCALL 6 PBJ</t>
  </si>
  <si>
    <t>MARIA DOLORES MUÑOZ MUÑOZ</t>
  </si>
  <si>
    <t>FDVNJS@GMAIL.COM</t>
  </si>
  <si>
    <t>C. PEDRO CANO 43 A</t>
  </si>
  <si>
    <t>EVELING ELIZABETH PANTA ORDOÑEZ</t>
  </si>
  <si>
    <t>EVELING</t>
  </si>
  <si>
    <t>PANTA</t>
  </si>
  <si>
    <t>GVNFJDAI@GMAIL.COM</t>
  </si>
  <si>
    <t>C. MARIA PASTOR SEMPERE 74 PO4</t>
  </si>
  <si>
    <t>ALBERTO ANGUAYA MALES (de baja)</t>
  </si>
  <si>
    <t>X5582662X</t>
  </si>
  <si>
    <t>HFDJSVB@GMAIL.COM</t>
  </si>
  <si>
    <t>C. GEMA 5 PBE IZ</t>
  </si>
  <si>
    <t>LUZ MARIA CACHIMUEL ANRANGO (de baja)</t>
  </si>
  <si>
    <t>X5582607R</t>
  </si>
  <si>
    <t>BDHJKVB@GMAIL.COM</t>
  </si>
  <si>
    <t>C. GEMA 5 PBJ IZQ</t>
  </si>
  <si>
    <t>GUSTAVO ANGUAYA CACHIMUEL (de baja)</t>
  </si>
  <si>
    <t>X8224255F</t>
  </si>
  <si>
    <t>HDUJSA@GMAIL.COM</t>
  </si>
  <si>
    <t>C. GEMA 5 PB IZ</t>
  </si>
  <si>
    <t>CRISTIAN GERALDE ANGUAYA CACHIMUEL (de baja)</t>
  </si>
  <si>
    <t>13323581A</t>
  </si>
  <si>
    <t>COLOMBIANA</t>
  </si>
  <si>
    <t>FDJSK@gmail.com</t>
  </si>
  <si>
    <t>C. GEMA 5 PBJ IZ</t>
  </si>
  <si>
    <t>ANDREA EVELIN PINCAY LOPEZ (de baja)</t>
  </si>
  <si>
    <t>Y8728046C</t>
  </si>
  <si>
    <t>BOLIVIA</t>
  </si>
  <si>
    <t>djhs@gmail.com</t>
  </si>
  <si>
    <t>C. LUGO 10 P04 IZQ</t>
  </si>
  <si>
    <t>LUIS ANGEL SOTO VASCONES (de baja)</t>
  </si>
  <si>
    <t>X6767085W</t>
  </si>
  <si>
    <t>djhdg@gmail.com</t>
  </si>
  <si>
    <t>C. MAESTRO RAMIS 89 PBJ B</t>
  </si>
  <si>
    <t>VERONICA NANCY JAYA FARINANGO</t>
  </si>
  <si>
    <t>VERONICANANCY</t>
  </si>
  <si>
    <t>JAYA</t>
  </si>
  <si>
    <t>lsjjhrf@gmail.com</t>
  </si>
  <si>
    <t>C. JOSE BERNAD AMOROS 26PO21</t>
  </si>
  <si>
    <t>DILVER HORLAVINTON CORTES PASUY (de baja)</t>
  </si>
  <si>
    <t>Y4197352G</t>
  </si>
  <si>
    <t>lkhfh@gmail.com</t>
  </si>
  <si>
    <t>C. TIBI 1 PO1 F</t>
  </si>
  <si>
    <t>CANDIDO</t>
  </si>
  <si>
    <t>TERUEL</t>
  </si>
  <si>
    <t>Encargado</t>
  </si>
  <si>
    <t>lalala@gmsail.com</t>
  </si>
  <si>
    <t>C. SAN JOSE 64 P01 A</t>
  </si>
  <si>
    <t>JESSICA SILVANA PUMAQUERO AMBO</t>
  </si>
  <si>
    <t>JESSICASILVANA</t>
  </si>
  <si>
    <t>PUMAQUERO</t>
  </si>
  <si>
    <t>C. SAN MIGUEL 1 P01 IZ</t>
  </si>
  <si>
    <t>NEIVA KATALINA FIALLOS PARRALES</t>
  </si>
  <si>
    <t>NEIVAKATALINA</t>
  </si>
  <si>
    <t>FIALLOS</t>
  </si>
  <si>
    <t>jsgdy@gmail.com</t>
  </si>
  <si>
    <t>C. POETA FERMIN LIMORTE 19PO2G</t>
  </si>
  <si>
    <t>ALINDA</t>
  </si>
  <si>
    <t>PINTO</t>
  </si>
  <si>
    <t>LAJSGE@GMAIL.COM</t>
  </si>
  <si>
    <t>C. NUEVA 10 P03 N</t>
  </si>
  <si>
    <t>INGRID DIANEY CASTILLO AGUILAR (de baja)</t>
  </si>
  <si>
    <t>Y5471636L</t>
  </si>
  <si>
    <t>OWIER@GMAIL.COM</t>
  </si>
  <si>
    <t>C. NUEVE DE OCTUBRE 6 P01 2</t>
  </si>
  <si>
    <t>ANDREA SOLEDAD FARINANGO GOMEZ (de baja)</t>
  </si>
  <si>
    <t>55538932G</t>
  </si>
  <si>
    <t>JFWKGHK@GMAIL.COM</t>
  </si>
  <si>
    <t>C. ANTONIO GALVEZ 6 P03 D</t>
  </si>
  <si>
    <t>CARMENOLINDA</t>
  </si>
  <si>
    <t>CASTILLO</t>
  </si>
  <si>
    <t>KSHJFBR@GMAIL.COM</t>
  </si>
  <si>
    <t>C. ANTONIO PASCUAL QUILES 16 P05 2</t>
  </si>
  <si>
    <t>ANDREA STEFANY ROMERO CORREA (de baja)</t>
  </si>
  <si>
    <t>Y8128772B</t>
  </si>
  <si>
    <t>LAJJUUD@GMAIL.COM</t>
  </si>
  <si>
    <t>C. OBISPO WINIBAL 3 P02 3</t>
  </si>
  <si>
    <t>GENESIS ROSARIO CURCO OÑA (de baja)</t>
  </si>
  <si>
    <t>JUDSIQ@GMAIL.COM</t>
  </si>
  <si>
    <t>C. PRIMERO DE MAYO 8 P01 C</t>
  </si>
  <si>
    <t>ROSA FLORINDA NEIRA CAMPOVERD</t>
  </si>
  <si>
    <t>ROSAFLORINDA</t>
  </si>
  <si>
    <t>NEIRA</t>
  </si>
  <si>
    <t>Fwfnog@gmail.com</t>
  </si>
  <si>
    <t>C. MTS JOSEASUNCION 0004 P01 IZ</t>
  </si>
  <si>
    <t>SORAYA ESTELA TASHINTUÑA CALLAGUADO (de baja)</t>
  </si>
  <si>
    <t>79502703Y</t>
  </si>
  <si>
    <t>0000000@0000000.COM</t>
  </si>
  <si>
    <t>CALLE MARIANO BENLLIURE 140 PTA3 1</t>
  </si>
  <si>
    <t>DELFIN ANTONIO HERNANDEZ PACHERES (de baja)</t>
  </si>
  <si>
    <t>35694555G</t>
  </si>
  <si>
    <t>00000@00000.COM</t>
  </si>
  <si>
    <t>CALLE ALTOSMOROS 27</t>
  </si>
  <si>
    <t>ROSA ERMELINDA LEON NIVELO</t>
  </si>
  <si>
    <t>ROSAERMELINDA</t>
  </si>
  <si>
    <t>LEON</t>
  </si>
  <si>
    <t>C MANUEL DE LA MORENA, 8 PTA 2 1</t>
  </si>
  <si>
    <t>MIRIAN ROSANA ZHININ MINCHALA</t>
  </si>
  <si>
    <t>MIRIANROSANA</t>
  </si>
  <si>
    <t>ZHININ</t>
  </si>
  <si>
    <t>X8685493A</t>
  </si>
  <si>
    <t>C 12 DE OCTUBRE, 8 P1A</t>
  </si>
  <si>
    <t>FANNY MARITZA PULLAGUARI</t>
  </si>
  <si>
    <t>FANNYMARITZA</t>
  </si>
  <si>
    <t>PULLAGUARI</t>
  </si>
  <si>
    <t>C NUÑEZ DE BALBOA 2 PTA 2 A</t>
  </si>
  <si>
    <t>DIANAELISABETH</t>
  </si>
  <si>
    <t>LIMACHI</t>
  </si>
  <si>
    <t>AAAAAAA@GMAIL.COM</t>
  </si>
  <si>
    <t>AAAAAAAAAAA</t>
  </si>
  <si>
    <t>JENNY SUSANA GUAMAN YUBI (de baja)</t>
  </si>
  <si>
    <t>AAAAAAAAA@GMAIL.COM</t>
  </si>
  <si>
    <t>NUBE MARIELA GUAMAN YUBI (de baja)</t>
  </si>
  <si>
    <t>AAAAAAAAAA@GMAIL.COM</t>
  </si>
  <si>
    <t>AAAAAAAAAA</t>
  </si>
  <si>
    <t>FATIMA ESTHER MORAN ENDARA (de baja)</t>
  </si>
  <si>
    <t>AAAAA@GMAIL.COM</t>
  </si>
  <si>
    <t>AAAAAAAAAAAA</t>
  </si>
  <si>
    <t>LUIS EDWARD MALLA YUNGA (de baja)</t>
  </si>
  <si>
    <t>Y9884472Y</t>
  </si>
  <si>
    <t>CALLE DOCTOR FLEMING, 64 PISO P03</t>
  </si>
  <si>
    <t>MARIA ALCIRA PILAMUNGA ZAVAL (de baja)</t>
  </si>
  <si>
    <t>48735689T</t>
  </si>
  <si>
    <t>CALLE SAN MIGUEL, 3 P1,12</t>
  </si>
  <si>
    <t>INES MARIA LOPEZ RIVAS (de baja)</t>
  </si>
  <si>
    <t>X6495155R</t>
  </si>
  <si>
    <t>CCC</t>
  </si>
  <si>
    <t>BETTY JOSEFINA SARANGO QUESADA (de baja)</t>
  </si>
  <si>
    <t>MARROQUÍ</t>
  </si>
  <si>
    <t>CCCCCCCCC</t>
  </si>
  <si>
    <t>TANYA ESTEFANIA MORAN NIETO (de baja)</t>
  </si>
  <si>
    <t>X8004161T</t>
  </si>
  <si>
    <t>ROSA MARIA CRIOLLO SAQUISILLI</t>
  </si>
  <si>
    <t>ROSAMARIA</t>
  </si>
  <si>
    <t>CRIOLLO</t>
  </si>
  <si>
    <t>CCCCCCC</t>
  </si>
  <si>
    <t>MAGALY ALEXANDRA NIETO MORAN (de baja)</t>
  </si>
  <si>
    <t>Z0643254H</t>
  </si>
  <si>
    <t>DAYANAGISSELA</t>
  </si>
  <si>
    <t>BENITEZ</t>
  </si>
  <si>
    <t>SAN VICENTE</t>
  </si>
  <si>
    <t>MARIA ELVIRA SAQUISILLI SAQUISILLI</t>
  </si>
  <si>
    <t>MARIAELVIRA</t>
  </si>
  <si>
    <t>SAQUISILLI</t>
  </si>
  <si>
    <t>SAN PACRACIO,1 P1 DR</t>
  </si>
  <si>
    <t>MARIACATALINA</t>
  </si>
  <si>
    <t>PALA</t>
  </si>
  <si>
    <t>LABRADOR, 4 P01C</t>
  </si>
  <si>
    <t>MARIA ERCELINDA TOAQUIZA CHUGCHILAN</t>
  </si>
  <si>
    <t>mariae</t>
  </si>
  <si>
    <t>ecelinda</t>
  </si>
  <si>
    <t>AAAAAAAAAAAAAAAAAAA</t>
  </si>
  <si>
    <t>ANGEL MANUEL RODRIGUEZ BARBERO GARCIA</t>
  </si>
  <si>
    <t>ANGELMANUEL</t>
  </si>
  <si>
    <t>RODRIGUEZ</t>
  </si>
  <si>
    <t>C/LA HUERTA, 144</t>
  </si>
  <si>
    <t>EDISON FABIAN TOAQUIZA TOAQUIZA (de baja)</t>
  </si>
  <si>
    <t>X9995454E</t>
  </si>
  <si>
    <t>CALLE EMILIO HERNANDEZ SELVA, 20 P41</t>
  </si>
  <si>
    <t>ANA LUCIA CAJILEMA GUAMAN (de baja)</t>
  </si>
  <si>
    <t>CALLE NUÑEZ QUIROS,15X COX</t>
  </si>
  <si>
    <t>MARIABALTAZARA</t>
  </si>
  <si>
    <t>MENDOZA</t>
  </si>
  <si>
    <t>C RUIZ CAPDEPON, 25A ORIHUELA</t>
  </si>
  <si>
    <t>MARIA GEORGINA MENDOZA MENDOZA</t>
  </si>
  <si>
    <t>ECUATORIANO</t>
  </si>
  <si>
    <t>CALLE FORTUNA 22,3D</t>
  </si>
  <si>
    <t>MARIA TRANSITO ILLAPA CORO</t>
  </si>
  <si>
    <t>MARIATRANSITO</t>
  </si>
  <si>
    <t>ILLAPA</t>
  </si>
  <si>
    <t>CALLE SAN JUAN 35 BAJO</t>
  </si>
  <si>
    <t>MARIA ESCOLASTICA DAQUILEMA AUCACAMA</t>
  </si>
  <si>
    <t>MARIAESCOLASTICA</t>
  </si>
  <si>
    <t>DAQUILEMA</t>
  </si>
  <si>
    <t>aaaaaaaaaaaaaaaaaa</t>
  </si>
  <si>
    <t>JAVIER MARTINEZ LOPEZ (de baja)</t>
  </si>
  <si>
    <t>AAAAAAAAAAA@GMAIL.COM</t>
  </si>
  <si>
    <t>RAMON Y CAJAL 19 P01 D</t>
  </si>
  <si>
    <t>Temporal</t>
  </si>
  <si>
    <t>AGUSTINA MERCEDES</t>
  </si>
  <si>
    <t>MENDOZA GUAMAN</t>
  </si>
  <si>
    <t>AAAAAAAAAAAAAAA@MAIL.COM</t>
  </si>
  <si>
    <t>SAN MIGUEL 3 P01 DR</t>
  </si>
  <si>
    <t>NATALY LILIANA MENDOZA TAPAY (de baja)</t>
  </si>
  <si>
    <t>17594233S</t>
  </si>
  <si>
    <t>AAAAAAAAAAAAAAA@GMAIL.COM</t>
  </si>
  <si>
    <t>ALFONSO XII2 P01 DR</t>
  </si>
  <si>
    <t>ADRIAN GOMEZ MARQUEZ (de baja)</t>
  </si>
  <si>
    <t>AAAAAAAAA1AA@GMAIL.COM</t>
  </si>
  <si>
    <t>CRER VALL DE GALLINERA 1 PBJ 0052</t>
  </si>
  <si>
    <t>DANIEL MARTINEZ LOPEZ (de baja)</t>
  </si>
  <si>
    <t>AAAAAAAAA21AA@GMAIL.COM</t>
  </si>
  <si>
    <t>HAWA</t>
  </si>
  <si>
    <t>COULIBARY</t>
  </si>
  <si>
    <t>MALI</t>
  </si>
  <si>
    <t>AAAAAAAAA121AA@GMAIL.COM</t>
  </si>
  <si>
    <t>JOSE GOMEZ MOMPEAN 27 P01 03</t>
  </si>
  <si>
    <t>MARIO HEREDIA ALCALA (de baja)</t>
  </si>
  <si>
    <t>AAAAAAA2AAA7AAA22A@GMAIL.COM</t>
  </si>
  <si>
    <t>ASTRONAUTAS 24 P02 1</t>
  </si>
  <si>
    <t>SHERWIN WILLIAM ALARCON CEDEÑO (de baja)</t>
  </si>
  <si>
    <t>AAAAAAAAAAA42AAA@GMAIL.COM</t>
  </si>
  <si>
    <t>ANTONIO MORA FERNANDEZ</t>
  </si>
  <si>
    <t>AVERY VICENTE MORENO VERDEZOTO (de baja)</t>
  </si>
  <si>
    <t>74384943E</t>
  </si>
  <si>
    <t>AAAAAAAAA4AAAA22A@GMAIL.COM</t>
  </si>
  <si>
    <t>AVGD LLAURADORS 0007 P01 0004</t>
  </si>
  <si>
    <t>MARIA MARTINA MENDOZA TENEMAZA</t>
  </si>
  <si>
    <t>MARIA</t>
  </si>
  <si>
    <t>29529223Y</t>
  </si>
  <si>
    <t>AAAAAAAA4AAA2AAA@GMAIL.COM</t>
  </si>
  <si>
    <t>AZORIN 15 P02 A</t>
  </si>
  <si>
    <t>DANIEL BERNA GUADALCAZAR (de baja)</t>
  </si>
  <si>
    <t>48373649A</t>
  </si>
  <si>
    <t>C DE LOS DONANTES 82,P02 PTB</t>
  </si>
  <si>
    <t>MARIA ALEXANDRA MENDOZA TELEMAZA (de baja)</t>
  </si>
  <si>
    <t>AAAAAAAAA1AA2AAA@GMAIL.COM</t>
  </si>
  <si>
    <t>CALLE VIRGEN DEL PILAR 22</t>
  </si>
  <si>
    <t>MARIA SENAIDA MAYANCELA PUNIN (de baja)</t>
  </si>
  <si>
    <t>30299584M</t>
  </si>
  <si>
    <t>AAAA1AAAAAAAAA22A@GMAIL.COM</t>
  </si>
  <si>
    <t>CALLE CASTELLON 4 P02 DR</t>
  </si>
  <si>
    <t>MARIAMANUELA</t>
  </si>
  <si>
    <t>VACACELA</t>
  </si>
  <si>
    <t>AAAAAAAA2AAAAAAA@GMAIL.COM</t>
  </si>
  <si>
    <t>CALLE ALFONSO XIII 28 LA MURADA POB</t>
  </si>
  <si>
    <t>BEATRIZ YACELGA CABASCANGO (de baja)</t>
  </si>
  <si>
    <t>48793227S</t>
  </si>
  <si>
    <t>AAAAAAAA2AAAAA22A@GMAIL.COM</t>
  </si>
  <si>
    <t>CALLE SIERRA MAIGMO 3 P04 4</t>
  </si>
  <si>
    <t>TRAORE BAYAN</t>
  </si>
  <si>
    <t>TRORE</t>
  </si>
  <si>
    <t>BAYAN</t>
  </si>
  <si>
    <t>AAAAAAAAA51AAAA22A@GMAIL.COM</t>
  </si>
  <si>
    <t>CALLE JOSE GOMEZ MOMPEAN 27 P01 3</t>
  </si>
  <si>
    <t>NORMA</t>
  </si>
  <si>
    <t>QUEZADA</t>
  </si>
  <si>
    <t>12825669H</t>
  </si>
  <si>
    <t>AAAAAAA2A7AAAAA22A@GMAIL.COM</t>
  </si>
  <si>
    <t>CMNO MULAGAR 2 P01 G</t>
  </si>
  <si>
    <t>AYAD AZZRAF</t>
  </si>
  <si>
    <t>LISAYAD</t>
  </si>
  <si>
    <t>LISTORRE1</t>
  </si>
  <si>
    <t>AYADAZRAF@ICLOUD.COM</t>
  </si>
  <si>
    <t>C MUSICO ALFONSO 3 BAJO C</t>
  </si>
  <si>
    <t>DAHHAK RACHID</t>
  </si>
  <si>
    <t>LISDAHHAK</t>
  </si>
  <si>
    <t>LISTORRE10</t>
  </si>
  <si>
    <t>NO INDICADA</t>
  </si>
  <si>
    <t>HOUDANE EL HABIBE</t>
  </si>
  <si>
    <t>LISHOUDANE</t>
  </si>
  <si>
    <t>LISTORRE3</t>
  </si>
  <si>
    <t>houdaneelhabibe40@gmail.com</t>
  </si>
  <si>
    <t>C JOSE GOMEZ MONPEAN 79 PO42</t>
  </si>
  <si>
    <t>EL AMRANI RAHHAL</t>
  </si>
  <si>
    <t>LISELAMRANI</t>
  </si>
  <si>
    <t>LISTORRE4</t>
  </si>
  <si>
    <t>C ANTONIO BROTONS PASTOR 8 P04</t>
  </si>
  <si>
    <t>CAMARA KORO</t>
  </si>
  <si>
    <t>LISCAMARA</t>
  </si>
  <si>
    <t>LISTORRE5</t>
  </si>
  <si>
    <t>CESPERIADION 118 PO4</t>
  </si>
  <si>
    <t>ATYQ MUSTAPHA</t>
  </si>
  <si>
    <t>LISATYQ</t>
  </si>
  <si>
    <t>LISTORRE6</t>
  </si>
  <si>
    <t>C OBISPO CUBERO 6E 271</t>
  </si>
  <si>
    <t>BIAD ABDELMAOULA</t>
  </si>
  <si>
    <t>LISBIAD</t>
  </si>
  <si>
    <t>LISTORRE7</t>
  </si>
  <si>
    <t>okk629123@gmail.com</t>
  </si>
  <si>
    <t>C PINTOR PEREZ PIZARRO,12 5B</t>
  </si>
  <si>
    <t>MARZOUK RADOUNE</t>
  </si>
  <si>
    <t>LISMARZOUK</t>
  </si>
  <si>
    <t>LISTORRE8</t>
  </si>
  <si>
    <t>JUAN JOSE ARREDONDO GONZALEZ</t>
  </si>
  <si>
    <t>LISJUANJOSE</t>
  </si>
  <si>
    <t>LISTORRE9</t>
  </si>
  <si>
    <t>C ALMIRANTE, 15 REBOLLEDO</t>
  </si>
  <si>
    <t>CATALINA CALVILLO HERREY</t>
  </si>
  <si>
    <t>LISCATALINA</t>
  </si>
  <si>
    <t>LISTORRE11</t>
  </si>
  <si>
    <t>katcalher@gmail.com</t>
  </si>
  <si>
    <t>C LA HIGUERA,10 2ºD</t>
  </si>
  <si>
    <t>JOSE CUERVA RUIZ</t>
  </si>
  <si>
    <t>LISJOSE</t>
  </si>
  <si>
    <t>LISTORRE12</t>
  </si>
  <si>
    <t>C AGUILAS 43 1D</t>
  </si>
  <si>
    <t>JEAN PAUL GUAMAN PINEDA</t>
  </si>
  <si>
    <t>LISJEAN</t>
  </si>
  <si>
    <t>LISTORRE13</t>
  </si>
  <si>
    <t>guamanpinedajeanpaul@gmail.com</t>
  </si>
  <si>
    <t>C velazquez, 9 3A (monovar)</t>
  </si>
  <si>
    <t>DEMO DEMO (de baja)</t>
  </si>
  <si>
    <t>DEMO</t>
  </si>
  <si>
    <t>ABDELHAK FARES</t>
  </si>
  <si>
    <t>LISABDELHAK</t>
  </si>
  <si>
    <t>LISTORRE14</t>
  </si>
  <si>
    <t>abdelhakfares1983@gmail.com</t>
  </si>
  <si>
    <t>C LA HIGUERA 10 2ºD</t>
  </si>
  <si>
    <t>JOSE MANUEL HIDALGO LOPEZ</t>
  </si>
  <si>
    <t>LISJOSEMA</t>
  </si>
  <si>
    <t>LISTORRE15</t>
  </si>
  <si>
    <t>josemanuel@hotmail.com</t>
  </si>
  <si>
    <t>C CONDE DE TORRELLANO 73 1ºA</t>
  </si>
  <si>
    <t>MAROUF MBAREK</t>
  </si>
  <si>
    <t>LISMAROUF</t>
  </si>
  <si>
    <t>LISTORRE2</t>
  </si>
  <si>
    <t>C TRAVERTINO 1 4ºDERECHA</t>
  </si>
  <si>
    <t>ZINEDINE NOUREDINE</t>
  </si>
  <si>
    <t>LISZINEDINE</t>
  </si>
  <si>
    <t>LISTORRE16</t>
  </si>
  <si>
    <t>C FELIPE PIDRELLE 11</t>
  </si>
  <si>
    <t>RAUL</t>
  </si>
  <si>
    <t>QUIROS</t>
  </si>
  <si>
    <t>raulqh84@gmail.com</t>
  </si>
  <si>
    <t>CALLE MARIA GUERRERO P01 C</t>
  </si>
  <si>
    <t>MAYRA ALEXANDRA MONTIEL BARSAYO</t>
  </si>
  <si>
    <t>MAYRAALEXANDRA</t>
  </si>
  <si>
    <t>MONTIEL</t>
  </si>
  <si>
    <t>AAAAAAAAA2AAAA22A@GMAIL.COM</t>
  </si>
  <si>
    <t>CALLE FRA PERE BALAGUER 30 P05</t>
  </si>
  <si>
    <t>MARIA DOLORES TELEMAZA MENDOZA</t>
  </si>
  <si>
    <t>MARIADOLORES</t>
  </si>
  <si>
    <t>TELEMAZAMENDOZA</t>
  </si>
  <si>
    <t>14058693N</t>
  </si>
  <si>
    <t>AAAAAAAAAA3AAA22A@GMAIL.COM</t>
  </si>
  <si>
    <t>CALLE SAN JUAN 33</t>
  </si>
  <si>
    <t>ID_TRABAJADOR</t>
  </si>
  <si>
    <t>NOMBRE</t>
  </si>
  <si>
    <t>APELLIDOS</t>
  </si>
  <si>
    <t>DNI</t>
  </si>
  <si>
    <t>FECHA</t>
  </si>
  <si>
    <t>ENTRADA/SALIDA</t>
  </si>
  <si>
    <t>NUM</t>
  </si>
  <si>
    <t>DNI/NIE</t>
  </si>
  <si>
    <t>ID</t>
  </si>
  <si>
    <t>NOMBRE Y APELLIDOS</t>
  </si>
  <si>
    <t>TIPO DE CONTRATO</t>
  </si>
  <si>
    <t>ALTA</t>
  </si>
  <si>
    <t>BAJA</t>
  </si>
  <si>
    <t>ACTIVOS</t>
  </si>
  <si>
    <t>PREVISION ALTA</t>
  </si>
  <si>
    <t>PREVISION BAJA</t>
  </si>
  <si>
    <t>ULT. FORMACION</t>
  </si>
  <si>
    <t>RECO</t>
  </si>
  <si>
    <t>VIGENCIA NIE</t>
  </si>
  <si>
    <t>CATEGORIA PROFESIONAL</t>
  </si>
  <si>
    <t>F. DE NACIMIENTO</t>
  </si>
  <si>
    <t>TELEFONO</t>
  </si>
  <si>
    <t>CORREO ELECTRONICO</t>
  </si>
  <si>
    <t>DIRECCIÓN</t>
  </si>
  <si>
    <t>DAQUILEMA AUCAMACA MARIA ECOLASTICA</t>
  </si>
  <si>
    <t>NOMBRE_Y_APELLIDOS</t>
  </si>
  <si>
    <t>SITUACION</t>
  </si>
  <si>
    <t>LLAVERO_NFC</t>
  </si>
  <si>
    <t>USUARIO</t>
  </si>
  <si>
    <t>CONTRASEÑA</t>
  </si>
  <si>
    <t>PRIVILEGIOS</t>
  </si>
  <si>
    <t>NACIONALIDAD</t>
  </si>
  <si>
    <t>EMAIL</t>
  </si>
  <si>
    <t>TELÉFONO</t>
  </si>
  <si>
    <t>TIPO_DE_CONTRATO</t>
  </si>
  <si>
    <t>FECHA_DE_NACIMIENTO</t>
  </si>
  <si>
    <t>416988195</t>
  </si>
  <si>
    <t>179114521</t>
  </si>
  <si>
    <t>06/08/1984</t>
  </si>
  <si>
    <t>16/05/1983</t>
  </si>
  <si>
    <t>914380609</t>
  </si>
  <si>
    <t>544388133</t>
  </si>
  <si>
    <t>07/10/1973</t>
  </si>
  <si>
    <t>391206382</t>
  </si>
  <si>
    <t>748240513</t>
  </si>
  <si>
    <t>01/01/1973</t>
  </si>
  <si>
    <t>16/07/2000</t>
  </si>
  <si>
    <t>01/01/1974</t>
  </si>
  <si>
    <t>371246171</t>
  </si>
  <si>
    <t>921205441</t>
  </si>
  <si>
    <t>02/02/1977</t>
  </si>
  <si>
    <t>280019467</t>
  </si>
  <si>
    <t>383740920</t>
  </si>
  <si>
    <t>01/01/1969</t>
  </si>
  <si>
    <t>859077890</t>
  </si>
  <si>
    <t>282791286</t>
  </si>
  <si>
    <t>05/02/1984</t>
  </si>
  <si>
    <t>10/06/1976</t>
  </si>
  <si>
    <t>666217808</t>
  </si>
  <si>
    <t>490876617</t>
  </si>
  <si>
    <t>20/10/1981</t>
  </si>
  <si>
    <t>03/08/1979</t>
  </si>
  <si>
    <t>17/08/1963</t>
  </si>
  <si>
    <t>22/05/1991</t>
  </si>
  <si>
    <t>01/10/1979</t>
  </si>
  <si>
    <t>29/11/1987</t>
  </si>
  <si>
    <t>05/07/2002</t>
  </si>
  <si>
    <t>08/06/1980</t>
  </si>
  <si>
    <t>491490662</t>
  </si>
  <si>
    <t>662141847</t>
  </si>
  <si>
    <t>09/05/1978</t>
  </si>
  <si>
    <t>137389930</t>
  </si>
  <si>
    <t>924386096</t>
  </si>
  <si>
    <t>13/07/1974</t>
  </si>
  <si>
    <t>939924001</t>
  </si>
  <si>
    <t>546355942</t>
  </si>
  <si>
    <t>16/03/1993</t>
  </si>
  <si>
    <t>27/08/1972</t>
  </si>
  <si>
    <t>748571586</t>
  </si>
  <si>
    <t>197791269</t>
  </si>
  <si>
    <t>30/11/2001</t>
  </si>
  <si>
    <t>25/08/1980</t>
  </si>
  <si>
    <t>19/12/1982</t>
  </si>
  <si>
    <t>308162650</t>
  </si>
  <si>
    <t>703890532</t>
  </si>
  <si>
    <t>10/02/1994</t>
  </si>
  <si>
    <t>12/11/1981</t>
  </si>
  <si>
    <t>132890418</t>
  </si>
  <si>
    <t>553918784</t>
  </si>
  <si>
    <t>14/02/1963</t>
  </si>
  <si>
    <t>488300520</t>
  </si>
  <si>
    <t>266858479</t>
  </si>
  <si>
    <t>21/02/1967</t>
  </si>
  <si>
    <t>62384282</t>
  </si>
  <si>
    <t>433489627</t>
  </si>
  <si>
    <t>05/08/1991</t>
  </si>
  <si>
    <t>944130496</t>
  </si>
  <si>
    <t>351345144</t>
  </si>
  <si>
    <t>30/08/1998</t>
  </si>
  <si>
    <t>615857202</t>
  </si>
  <si>
    <t>52937929</t>
  </si>
  <si>
    <t>09/01/1998</t>
  </si>
  <si>
    <t>40313471</t>
  </si>
  <si>
    <t>805127742</t>
  </si>
  <si>
    <t>14/12/1981</t>
  </si>
  <si>
    <t>27/05/1980</t>
  </si>
  <si>
    <t>303594667</t>
  </si>
  <si>
    <t>929136920</t>
  </si>
  <si>
    <t>12/01/1982</t>
  </si>
  <si>
    <t>16/08/1969</t>
  </si>
  <si>
    <t>784322664</t>
  </si>
  <si>
    <t>25/09/1994</t>
  </si>
  <si>
    <t>08/07/1987</t>
  </si>
  <si>
    <t>09/02/1985</t>
  </si>
  <si>
    <t>121468062</t>
  </si>
  <si>
    <t>24031793</t>
  </si>
  <si>
    <t>06/06/1987</t>
  </si>
  <si>
    <t>86880612</t>
  </si>
  <si>
    <t>665703333</t>
  </si>
  <si>
    <t>04/05/1991</t>
  </si>
  <si>
    <t>28/01/1977</t>
  </si>
  <si>
    <t>570812129</t>
  </si>
  <si>
    <t>786439317</t>
  </si>
  <si>
    <t>17/03/1991</t>
  </si>
  <si>
    <t>403191240</t>
  </si>
  <si>
    <t>226258207</t>
  </si>
  <si>
    <t>01/10/1997</t>
  </si>
  <si>
    <t>13/08/1979</t>
  </si>
  <si>
    <t>664375200</t>
  </si>
  <si>
    <t>423555499</t>
  </si>
  <si>
    <t>10/11/1982</t>
  </si>
  <si>
    <t>617499790</t>
  </si>
  <si>
    <t>2088703</t>
  </si>
  <si>
    <t>30/06/1965</t>
  </si>
  <si>
    <t>29/09/1976</t>
  </si>
  <si>
    <t>26/10/1996</t>
  </si>
  <si>
    <t>03/10/1985</t>
  </si>
  <si>
    <t>10/01/1994</t>
  </si>
  <si>
    <t>122258811</t>
  </si>
  <si>
    <t>785220906</t>
  </si>
  <si>
    <t>05/03/1997</t>
  </si>
  <si>
    <t>912523262</t>
  </si>
  <si>
    <t>3304176</t>
  </si>
  <si>
    <t>21/02/1999</t>
  </si>
  <si>
    <t>570966308</t>
  </si>
  <si>
    <t>154984600</t>
  </si>
  <si>
    <t>02/04/1978</t>
  </si>
  <si>
    <t>770591990</t>
  </si>
  <si>
    <t>667096575</t>
  </si>
  <si>
    <t>18/10/1997</t>
  </si>
  <si>
    <t>12195791</t>
  </si>
  <si>
    <t>365329689</t>
  </si>
  <si>
    <t>06/08/1977</t>
  </si>
  <si>
    <t>908828210</t>
  </si>
  <si>
    <t>48881200</t>
  </si>
  <si>
    <t>29/12/1976</t>
  </si>
  <si>
    <t>510562589</t>
  </si>
  <si>
    <t>53504266</t>
  </si>
  <si>
    <t>19/04/1971</t>
  </si>
  <si>
    <t>512666982</t>
  </si>
  <si>
    <t>210662485</t>
  </si>
  <si>
    <t>17/05/1991</t>
  </si>
  <si>
    <t>13/07/1984</t>
  </si>
  <si>
    <t>523668689</t>
  </si>
  <si>
    <t>589375436</t>
  </si>
  <si>
    <t>30/08/1974</t>
  </si>
  <si>
    <t>12/09/2002</t>
  </si>
  <si>
    <t>05/04/1981</t>
  </si>
  <si>
    <t>07/12/1979</t>
  </si>
  <si>
    <t>15/11/1973</t>
  </si>
  <si>
    <t>05/03/1977</t>
  </si>
  <si>
    <t>599937412</t>
  </si>
  <si>
    <t>46950171</t>
  </si>
  <si>
    <t>03/05/1995</t>
  </si>
  <si>
    <t>8595368</t>
  </si>
  <si>
    <t>492255365</t>
  </si>
  <si>
    <t>08/06/1986</t>
  </si>
  <si>
    <t>15/09/1989</t>
  </si>
  <si>
    <t>159930445</t>
  </si>
  <si>
    <t>341371492</t>
  </si>
  <si>
    <t>15/11/1988</t>
  </si>
  <si>
    <t>15/06/1972</t>
  </si>
  <si>
    <t>16/06/1972</t>
  </si>
  <si>
    <t>98826437</t>
  </si>
  <si>
    <t>997880243</t>
  </si>
  <si>
    <t>09/03/2026</t>
  </si>
  <si>
    <t>01/08/1983</t>
  </si>
  <si>
    <t>155732556</t>
  </si>
  <si>
    <t>888234002</t>
  </si>
  <si>
    <t>23/04/2021</t>
  </si>
  <si>
    <t>642786847</t>
  </si>
  <si>
    <t>34309342</t>
  </si>
  <si>
    <t>18/02/2024</t>
  </si>
  <si>
    <t>493701903</t>
  </si>
  <si>
    <t>489058625</t>
  </si>
  <si>
    <t>09/02/2006</t>
  </si>
  <si>
    <t>31/12/1984</t>
  </si>
  <si>
    <t>945303393</t>
  </si>
  <si>
    <t>227205085</t>
  </si>
  <si>
    <t>22/01/2003</t>
  </si>
  <si>
    <t>88683327</t>
  </si>
  <si>
    <t>715164532</t>
  </si>
  <si>
    <t>04/10/1998</t>
  </si>
  <si>
    <t>282042568</t>
  </si>
  <si>
    <t>761395001</t>
  </si>
  <si>
    <t>08/05/2005</t>
  </si>
  <si>
    <t>09/06/1981</t>
  </si>
  <si>
    <t>23067799</t>
  </si>
  <si>
    <t>93516154</t>
  </si>
  <si>
    <t>07/03/1981</t>
  </si>
  <si>
    <t>418670449</t>
  </si>
  <si>
    <t>839017499</t>
  </si>
  <si>
    <t>04/01/1995</t>
  </si>
  <si>
    <t>987654714</t>
  </si>
  <si>
    <t>73250440</t>
  </si>
  <si>
    <t>07/06/1986</t>
  </si>
  <si>
    <t>23120075</t>
  </si>
  <si>
    <t>403937956</t>
  </si>
  <si>
    <t>167746046</t>
  </si>
  <si>
    <t>29/06/1977</t>
  </si>
  <si>
    <t>31/12/1978</t>
  </si>
  <si>
    <t>28/08/1995</t>
  </si>
  <si>
    <t>01/01/1976</t>
  </si>
  <si>
    <t>16/01/1967</t>
  </si>
  <si>
    <t>01/01/1968</t>
  </si>
  <si>
    <t>01/01/1970</t>
  </si>
  <si>
    <t>31/12/1980</t>
  </si>
  <si>
    <t>26/02/1972</t>
  </si>
  <si>
    <t>01/01/1982</t>
  </si>
  <si>
    <t>01/01/1980</t>
  </si>
  <si>
    <t>30/01/1961</t>
  </si>
  <si>
    <t>05/07/1980</t>
  </si>
  <si>
    <t>02/01/1971</t>
  </si>
  <si>
    <t>12/06/1998</t>
  </si>
  <si>
    <t>759184140</t>
  </si>
  <si>
    <t>958701611</t>
  </si>
  <si>
    <t>01/01/2000</t>
  </si>
  <si>
    <t>16/12/1983</t>
  </si>
  <si>
    <t>14/04/1994</t>
  </si>
  <si>
    <t>19/02/1976</t>
  </si>
  <si>
    <t>07/01/1984</t>
  </si>
  <si>
    <t>18/05/1985</t>
  </si>
  <si>
    <t>22/05/1980</t>
  </si>
  <si>
    <t>JOSE LUIS CUERVA CUERVA (de baja)ddd</t>
  </si>
  <si>
    <t>LUNES 26</t>
  </si>
  <si>
    <t>MARTES 27</t>
  </si>
  <si>
    <t>MIERCOLES 28</t>
  </si>
  <si>
    <t>JUEVES 29</t>
  </si>
  <si>
    <t>VIERNES 30</t>
  </si>
  <si>
    <t>SABADO 31</t>
  </si>
  <si>
    <t>DOMINGO 01</t>
  </si>
  <si>
    <t>075020011831082024NC00006     1</t>
  </si>
  <si>
    <t>TOMATES LIS, S.L.</t>
  </si>
  <si>
    <t>TOMATESLIS BAIONA BAIXA - GOB  AGR - JOR</t>
  </si>
  <si>
    <t>001 - Sal Base (U)</t>
  </si>
  <si>
    <t>003 - M.Volunt (I)</t>
  </si>
  <si>
    <t>045 - Plus Pro (I)</t>
  </si>
  <si>
    <t>DEL 1</t>
  </si>
  <si>
    <t>DEL 2 AL 8</t>
  </si>
  <si>
    <t>DEL 9 AL 15</t>
  </si>
  <si>
    <t>DEL 16 AL 22</t>
  </si>
  <si>
    <t>DEL 23 AL 29</t>
  </si>
  <si>
    <t>DEL 30</t>
  </si>
  <si>
    <t>48628134Q</t>
  </si>
  <si>
    <t>CUERVA BOIX, HECTOR</t>
  </si>
  <si>
    <t>TENEMAZA MENDOZA, MARIA DOLORES</t>
  </si>
  <si>
    <t>SEM_6</t>
  </si>
  <si>
    <t>codigo</t>
  </si>
  <si>
    <t>nombre</t>
  </si>
  <si>
    <t>inv</t>
  </si>
  <si>
    <t>C:\Users\migue\Documents\TomatesLis\Fichaje.xlsx</t>
  </si>
  <si>
    <t>Factores para el cálculo de nómina</t>
  </si>
  <si>
    <t>TIPO CONTRATO</t>
  </si>
  <si>
    <t>FACTOR HORAS</t>
  </si>
  <si>
    <t>NORMALES</t>
  </si>
  <si>
    <t>MV</t>
  </si>
  <si>
    <t>PP</t>
  </si>
  <si>
    <t>Año nuevo (Festivo nacional)</t>
  </si>
  <si>
    <t>Epifanía del Señor (Festivo nacional)</t>
  </si>
  <si>
    <t>San José (Festivo autonomico)</t>
  </si>
  <si>
    <t>Santa Faz (Festivo local)</t>
  </si>
  <si>
    <t>Viernes Santo (Festivo nacional)</t>
  </si>
  <si>
    <t>Lunes de Pascua (Festivo autonomico)</t>
  </si>
  <si>
    <t>Día del Trabajo (Festivo nacional)</t>
  </si>
  <si>
    <t>Les fogueres (Festivo local)</t>
  </si>
  <si>
    <t>Día de San Juan (Festivo autonomico)</t>
  </si>
  <si>
    <t>Día de la Asunción (Festivo nacional)</t>
  </si>
  <si>
    <t>Fiesta Nacional Española (se pasa al día 13 de Octubre) (Festivo nacional)</t>
  </si>
  <si>
    <t>Día de la Comunidad Valenciana (Festivo autonomico)</t>
  </si>
  <si>
    <t>Día de Todos los Santos (Festivo nacional)</t>
  </si>
  <si>
    <t>Día de la Constitución Española (Festivo nacional)</t>
  </si>
  <si>
    <t>Inmaculada Concepción (Festivo nacional)</t>
  </si>
  <si>
    <t>Enero</t>
  </si>
  <si>
    <t>Marzo</t>
  </si>
  <si>
    <t>Abril</t>
  </si>
  <si>
    <t>Mayo</t>
  </si>
  <si>
    <t>Junio</t>
  </si>
  <si>
    <t>Agosto</t>
  </si>
  <si>
    <t>Octubre</t>
  </si>
  <si>
    <t>Noviembre</t>
  </si>
  <si>
    <t>Diciembre</t>
  </si>
  <si>
    <t>DIA</t>
  </si>
  <si>
    <t>MES</t>
  </si>
  <si>
    <t>FESTIVIDAD</t>
  </si>
  <si>
    <t>01-09-2024 D</t>
  </si>
  <si>
    <t>02/09/2024</t>
  </si>
  <si>
    <t>03/09/2024</t>
  </si>
  <si>
    <t>04/09/2024</t>
  </si>
  <si>
    <t>05/09/2024</t>
  </si>
  <si>
    <t>E: 06:01:55, S: 11:19:33; E: 12:00:28, S: 13:45:45;</t>
  </si>
  <si>
    <t>06/09/2024</t>
  </si>
  <si>
    <t>E: 06:00:17, S: 11:15:43; E: 12:02:30, S: 14:07:38;</t>
  </si>
  <si>
    <t>07-09-2024 S</t>
  </si>
  <si>
    <t>E: 06:01:24, S: 10:57:39;</t>
  </si>
  <si>
    <t>08-09-2024 D</t>
  </si>
  <si>
    <t>09/09/2024</t>
  </si>
  <si>
    <t>E: 06:01:52, S: 11:15:53; E: 12:03:21, S: 13:48:47;</t>
  </si>
  <si>
    <t>10/09/2024</t>
  </si>
  <si>
    <t>E: 06:01:01, S: 11:16:25; E: 12:03:51, S: 13:45:15;</t>
  </si>
  <si>
    <t>11/09/2024</t>
  </si>
  <si>
    <t>E: 06:03:06, S: 11:16:06; E: 11:59:48, S: 13:46:47;</t>
  </si>
  <si>
    <t>12/09/2024</t>
  </si>
  <si>
    <t>E: 06:00:49, S: 11:15:19; E: 12:02:30, S: 13:46:58;</t>
  </si>
  <si>
    <t>13/09/2024</t>
  </si>
  <si>
    <t>E: 06:00:07, S: 11:16:35; E: 12:02:00, S: 14:45:56;</t>
  </si>
  <si>
    <t>14-09-2024 S</t>
  </si>
  <si>
    <t>E: 06:00:06, S: 11:03:48;</t>
  </si>
  <si>
    <t>15-09-2024 D</t>
  </si>
  <si>
    <t>16/09/2024</t>
  </si>
  <si>
    <t>E: 05:56:30, S: 11:17:53; E: 12:00:43, S: 13:49:30;</t>
  </si>
  <si>
    <t>17/09/2024</t>
  </si>
  <si>
    <t>E: 06:01:03, S: 11:16:10; E: 12:00:20, S: 13:48:43;</t>
  </si>
  <si>
    <t>18/09/2024</t>
  </si>
  <si>
    <t>E: 05:59:50, S: 11:16:40; E: 11:57:49, S: 11:57:51; E: 12:01:53, S: 13:47:13;</t>
  </si>
  <si>
    <t>19/09/2024</t>
  </si>
  <si>
    <t>E: 06:59:39, S: 12:15:19; E: 13:00:50, S: 14:50:19;</t>
  </si>
  <si>
    <t>20/09/2024</t>
  </si>
  <si>
    <t>E: 06:59:53, S: 12:17:54; E: 13:03:25, S: 14:45:16;</t>
  </si>
  <si>
    <t>21-09-2024 S</t>
  </si>
  <si>
    <t>E: 06:59:31, S: 12:00:07;</t>
  </si>
  <si>
    <t>22-09-2024 D</t>
  </si>
  <si>
    <t>23/09/2024</t>
  </si>
  <si>
    <t>E: 07:00:45, S: 12:18:08; E: 12:58:46, S: 14:48:01;</t>
  </si>
  <si>
    <t>24/09/2024</t>
  </si>
  <si>
    <t>E: 07:45:00, S: 12:15:43; E: 12:59:00, S: 16:31:04;</t>
  </si>
  <si>
    <t>25/09/2024</t>
  </si>
  <si>
    <t>E: 07:43:19, S: 12:17:10; E: 12:59:18, S: 16:31:55;</t>
  </si>
  <si>
    <t>26/09/2024</t>
  </si>
  <si>
    <t>E: 07:40:16, S: 12:17:57; E: 13:03:37, S: 16:31:22;</t>
  </si>
  <si>
    <t>27/09/2024</t>
  </si>
  <si>
    <t>E: 07:46:27, S: 12:17:01; E: 13:00:32, S: 16:29:34;</t>
  </si>
  <si>
    <t>28-09-2024 S</t>
  </si>
  <si>
    <t>29-09-2024 D</t>
  </si>
  <si>
    <t>30/09/2024</t>
  </si>
  <si>
    <t>E: 07:45:00, S: 12:16:06; E: 13:01:39, S: 16:31:15;</t>
  </si>
  <si>
    <t>TOTAL (HH:mm):</t>
  </si>
  <si>
    <t>.</t>
  </si>
  <si>
    <t>E: 06:00:41, S: 11:17:08; E: 11:58:48, S: 14:17:35;</t>
  </si>
  <si>
    <t>E: 06:00:02, S: 11:17:01; E: 11:59:36, S: 13:44:17;</t>
  </si>
  <si>
    <t>E: 05:59:33, S: 11:16:39; E: 12:00:29, S: 13:46:58;</t>
  </si>
  <si>
    <t>* E: 05:58:49, S: 11:16:48; E: 12:43:50, S: 16:30:00;</t>
  </si>
  <si>
    <t>E: 06:03:01, S: 10:57:44;</t>
  </si>
  <si>
    <t>E: 05:59:06, S: 11:15:12; E: 11:59:38, S: 13:47:05;</t>
  </si>
  <si>
    <t>E: 05:59:29, S: 11:17:04; E: 12:01:24, S: 13:49:30;</t>
  </si>
  <si>
    <t>E: 05:58:58, S: 11:15:48; E: 12:02:04, S: 13:47:20;</t>
  </si>
  <si>
    <t>E: 05:58:21, S: 11:16:39; E: 12:02:36, S: 13:45:43;</t>
  </si>
  <si>
    <t>E: 06:02:29, S: 06:02:36; E: 06:03:27, S: 11:16:18; E: 12:01:16, S: 14:46:30;</t>
  </si>
  <si>
    <t>E: 05:59:27, S: 11:06:23;</t>
  </si>
  <si>
    <t>E: 06:01:41, S: 11:16:02; E: 12:01:55, S: 13:45:23;</t>
  </si>
  <si>
    <t>E: 06:01:41, S: 11:16:10; E: 12:01:53, S: 13:46:48;</t>
  </si>
  <si>
    <t>E: 06:04:52, S: 11:16:01; E: 12:00:08, S: 13:45:29;</t>
  </si>
  <si>
    <t>E: 06:57:38, S: 12:16:31; E: 12:58:08, S: 14:48:42;</t>
  </si>
  <si>
    <t>E: 06:59:48, S: 12:22:02; E: 13:00:51, S: 14:47:06;</t>
  </si>
  <si>
    <t>E: 06:57:12, S: 11:58:16;</t>
  </si>
  <si>
    <t>E: 07:00:11, S: 12:16:51; E: 12:58:33, S: 14:49:42;</t>
  </si>
  <si>
    <t>E: 07:45:00, S: 12:17:03; E: 13:00:09, S: 16:35:04;</t>
  </si>
  <si>
    <t>E: 07:43:05, S: 12:15:54; E: 13:02:09, S: 16:30:00;</t>
  </si>
  <si>
    <t>E: 07:45:00, S: 12:16:00; E: 13:02:37, S: 16:31:12;</t>
  </si>
  <si>
    <t>E: 07:42:27, S: 11:51:56;</t>
  </si>
  <si>
    <t>* E: 07:43:51, S: 12:16:31; E: 13:00:05, S: 16:30:00;</t>
  </si>
  <si>
    <t>PINTO MONTAÑO</t>
  </si>
  <si>
    <t>Y-0154209-P</t>
  </si>
  <si>
    <t>E: 05:41:56, S: 11:19:20; E: 12:02:44, S: 13:48:35;</t>
  </si>
  <si>
    <t>E: 05:56:00, S: 11:22:18; E: 11:58:28, S: 14:22:07;</t>
  </si>
  <si>
    <t>E: 05:57:26, S: 11:20:24; E: 12:00:09, S: 13:49:05;</t>
  </si>
  <si>
    <t>E: 05:52:01, S: 11:18:04; E: 12:00:30, S: 13:46:11;</t>
  </si>
  <si>
    <t>E: 05:56:42, S: 11:16:42; E: 12:01:25, S: 14:09:58;</t>
  </si>
  <si>
    <t>E: 05:56:18, S: 11:03:16;</t>
  </si>
  <si>
    <t>E: 05:50:59, S: 11:15:01; E: 12:02:03, S: 13:45:54;</t>
  </si>
  <si>
    <t>E: 05:58:57, S: 11:15:12; E: 11:59:37, S: 13:46:10;</t>
  </si>
  <si>
    <t>E: 05:54:25, S: 11:15:11; E: 11:56:38, S: 13:45:24;</t>
  </si>
  <si>
    <t>E: 05:53:25, S: 11:15:24; E: 12:00:14, S: 13:48:46;</t>
  </si>
  <si>
    <t>E: 05:59:44, S: 11:23:43; E: 12:02:57, S: 14:45:23;</t>
  </si>
  <si>
    <t>E: 05:44:22, S: 11:02:21;</t>
  </si>
  <si>
    <t>E: 05:43:23, S: 11:16:04; E: 12:00:15, S: 13:46:59;</t>
  </si>
  <si>
    <t>E: 05:44:05, S: 11:15:36; E: 12:05:30, S: 13:50:20;</t>
  </si>
  <si>
    <t>E: 05:37:55, S: 11:16:23; E: 11:54:35, S: 13:46:57;</t>
  </si>
  <si>
    <t>E: 06:41:14, S: 12:18:05; E: 12:59:10, S: 14:47:37;</t>
  </si>
  <si>
    <t>E: 06:50:20, S: 12:18:33; E: 13:00:15, S: 14:48:20;</t>
  </si>
  <si>
    <t>E: 07:14:37, S: 12:00:16;</t>
  </si>
  <si>
    <t>E: 06:43:34, S: 12:40:12; E: 13:14:52, S: 14:47:06;</t>
  </si>
  <si>
    <t>E: 07:39:09, S: 12:15:27; E: 12:58:41, S: 16:33:40;</t>
  </si>
  <si>
    <t>E: 07:41:42, S: 12:56:50; E: 13:25:01, S: 16:31:26;</t>
  </si>
  <si>
    <t>E: 07:46:06, S: 12:20:19; E: 13:00:24, S: 16:33:58;</t>
  </si>
  <si>
    <t>E: 07:36:44, S: 11:51:08;</t>
  </si>
  <si>
    <t>E: 07:40:10, S: 12:19:21; E: 13:01:15, S: 16:32:06;</t>
  </si>
  <si>
    <t>ANGEL MANUEL</t>
  </si>
  <si>
    <t>RODRIGUEZ BARBERO GARCIA</t>
  </si>
  <si>
    <t>E: 05:30:45, S: 05:32:55; E: 05:33:01, S: 11:15:12; E: 11:56:20, S: 16:00:37;</t>
  </si>
  <si>
    <t>E: 06:16:25, S: 11:32:41; E: 12:03:22, S: 15:31:36;</t>
  </si>
  <si>
    <t>E: 05:27:37, S: 11:11:58; E: 12:28:51, S: 15:23:25;</t>
  </si>
  <si>
    <t>E: 05:31:34, S: 11:05:17; E: 11:46:23, S: 15:30:16;</t>
  </si>
  <si>
    <t>E: 05:32:05, S: 11:15:25; E: 12:02:19, S: 15:42:19;</t>
  </si>
  <si>
    <t>E: 05:29:37, S: 09:32:31;</t>
  </si>
  <si>
    <t>E: 05:26:58, S: 11:15:54; E: 11:57:54, S: 15:48:33;</t>
  </si>
  <si>
    <t>E: 05:27:51, S: 11:41:54; E: 12:06:01, S: 15:15:14;</t>
  </si>
  <si>
    <t>E: 05:32:00, S: 15:17:01;</t>
  </si>
  <si>
    <t>E: 05:32:17, S: 11:27:50; E: 11:59:01, S: 15:28:41;</t>
  </si>
  <si>
    <t>E: 11:22:00, S: 16:25:28;</t>
  </si>
  <si>
    <t>E: 05:28:21, S: 13:33:04; E: 15:26:40, S: 16:11:21;</t>
  </si>
  <si>
    <t>E: 07:36:02, S: 16:44:20;</t>
  </si>
  <si>
    <t>E: 05:33:47, S: 11:17:10; E: 11:51:16, S: 15:23:56;</t>
  </si>
  <si>
    <t>E: 05:34:45, S: 11:24:56; E: 11:56:53, S: 15:42:54;</t>
  </si>
  <si>
    <t>E: 05:30:55, S: 11:15:53; E: 11:56:39, S: 15:30:48;</t>
  </si>
  <si>
    <t>E: 06:29:21, S: 12:17:25; E: 12:57:07, S: 16:38:51;</t>
  </si>
  <si>
    <t>E: 06:30:31, S: 13:20:31; E: 13:53:24, S: 16:31:32;</t>
  </si>
  <si>
    <t>E: 06:34:52, S: 12:03:50;</t>
  </si>
  <si>
    <t>E: 06:27:48, S: 12:15:15; E: 12:57:25, S: 16:25:29;</t>
  </si>
  <si>
    <t>E: 06:31:25, S: 12:15:24; E: 12:58:35, S: 16:30:00;</t>
  </si>
  <si>
    <t>E: 06:34:48, S: 16:34:32;</t>
  </si>
  <si>
    <t>E: 06:35:55, S: 12:21:40; E: 13:00:03, S: 16:33:19;</t>
  </si>
  <si>
    <t>E: 06:42:59, S: 12:17:59; E: 12:58:46, S: 16:37:51;</t>
  </si>
  <si>
    <t>E: 07:30:42, S: 16:39:33;</t>
  </si>
  <si>
    <t>* E: 07:08:13, S: 13:42:08; E: 13:58:11, S: 16:30:00;</t>
  </si>
  <si>
    <t>HIGUERAS JIMENEZ</t>
  </si>
  <si>
    <t>48566871w</t>
  </si>
  <si>
    <t>* E: 06:22:01, S: 16:30:00;</t>
  </si>
  <si>
    <t>* E: 06:34:47, S: 16:30:00;</t>
  </si>
  <si>
    <t>* E: 06:49:31, S: 16:30:00;</t>
  </si>
  <si>
    <t>TERUEL MENDOZA</t>
  </si>
  <si>
    <t>26480317-A</t>
  </si>
  <si>
    <t>* E: 06:04:47, S: 16:30:00;</t>
  </si>
  <si>
    <t>E: 06:24:18, S: 16:32:18;</t>
  </si>
  <si>
    <t>* E: 06:57:12, S: 16:30:00;</t>
  </si>
  <si>
    <t>* E: 05:30:17, S: 16:30:00;</t>
  </si>
  <si>
    <t>E: 09:37:35, S: 16:30:00;</t>
  </si>
  <si>
    <t>* E: 05:32:33, S: 16:30:00;</t>
  </si>
  <si>
    <t>* E: 05:29:32, S: 16:30:00;</t>
  </si>
  <si>
    <t>* E: 05:36:47, S: 16:30:00;</t>
  </si>
  <si>
    <t>* E: 05:49:24, S: 16:30:00;</t>
  </si>
  <si>
    <t>* E: 06:03:10, S: 16:30:00;</t>
  </si>
  <si>
    <t>* E: 07:48:53, S: 16:30:00;</t>
  </si>
  <si>
    <t>* E: 06:24:53, S: 16:30:00;</t>
  </si>
  <si>
    <t>E: 05:30:11, S: 08:58:56; E: 08:59:14, S: 16:30:00;</t>
  </si>
  <si>
    <t>* E: 05:32:00, S: 16:30:00;</t>
  </si>
  <si>
    <t>E: 06:11:50, S: 07:58:01; E: 07:58:27, S: 10:41:53; E: 11:17:06, S: 20:25:09;</t>
  </si>
  <si>
    <t>* E: 07:36:02, S: 10:48:43; E: 10:58:55, S: 16:30:00;</t>
  </si>
  <si>
    <t>* E: 13:50:22, S: 13:52:26; E: 13:52:44, S: 16:30:00;</t>
  </si>
  <si>
    <t>* E: 06:29:48, S: 16:30:00;</t>
  </si>
  <si>
    <t>* E: 07:17:32, S: 16:30:00;</t>
  </si>
  <si>
    <t>* E: 07:15:54, S: 16:30:00;</t>
  </si>
  <si>
    <t>* E: 07:21:12, S: 16:30:00;</t>
  </si>
  <si>
    <t>* E: 08:49:27, S: 16:30:00;</t>
  </si>
  <si>
    <t>* E: 06:45:05, S: 16:30:00;</t>
  </si>
  <si>
    <t>* E: 08:16:28, S: 16:30:00;</t>
  </si>
  <si>
    <t>CARMEN OLINDA</t>
  </si>
  <si>
    <t>CASTILLO SARANGO</t>
  </si>
  <si>
    <t>74536075-K</t>
  </si>
  <si>
    <t>E: 05:53:38, S: 11:15:47; E: 12:03:19, S: 13:48:48;</t>
  </si>
  <si>
    <t>E: 05:55:02, S: 11:17:08; E: 12:04:49, S: 13:50:15;</t>
  </si>
  <si>
    <t>E: 05:56:01, S: 11:15:13; E: 12:03:24, S: 13:45:22;</t>
  </si>
  <si>
    <t>E: 05:54:13, S: 11:15:57; E: 12:03:19, S: 14:02:37;</t>
  </si>
  <si>
    <t>E: 05:59:04, S: 10:56:45;</t>
  </si>
  <si>
    <t>E: 05:58:02, S: 11:16:29; E: 12:03:36, S: 13:45:25;</t>
  </si>
  <si>
    <t>E: 05:53:17, S: 11:16:57; E: 12:04:33, S: 13:46:49;</t>
  </si>
  <si>
    <t>E: 05:53:28, S: 11:15:43; E: 12:04:06, S: 13:46:12;</t>
  </si>
  <si>
    <t>* E: 05:56:33, S: 11:16:35; E: 12:01:05, S: 16:30:00;</t>
  </si>
  <si>
    <t>E: 05:57:21, S: 11:16:46; E: 12:04:04, S: 14:45:44;</t>
  </si>
  <si>
    <t>E: 05:56:41, S: 11:04:00;</t>
  </si>
  <si>
    <t>E: 05:51:29, S: 11:15:56; E: 12:03:54, S: 13:45:32;</t>
  </si>
  <si>
    <t>E: 05:55:49, S: 11:16:31; E: 12:01:42, S: 13:47:04;</t>
  </si>
  <si>
    <t>E: 05:55:57, S: 11:15:50; E: 12:00:53, S: 13:46:22;</t>
  </si>
  <si>
    <t>E: 06:54:09, S: 12:16:02; E: 13:01:27, S: 14:45:13;</t>
  </si>
  <si>
    <t>E: 06:40:14, S: 12:16:57; E: 13:03:42, S: 14:45:37;</t>
  </si>
  <si>
    <t>E: 06:50:32, S: 11:59:14;</t>
  </si>
  <si>
    <t>E: 06:43:21, S: 12:15:36; E: 13:02:30, S: 14:47:08;</t>
  </si>
  <si>
    <t>E: 07:39:20, S: 12:15:05; E: 13:01:05, S: 16:33:49;</t>
  </si>
  <si>
    <t>E: 07:35:38, S: 12:17:51; E: 13:05:34, S: 16:30:00;</t>
  </si>
  <si>
    <t>E: 07:39:43, S: 12:16:13; E: 13:03:09, S: 16:30:00;</t>
  </si>
  <si>
    <t>E: 07:38:06, S: 11:52:34;</t>
  </si>
  <si>
    <t>E: 07:39:08, S: 12:15:18; E: 13:01:47, S: 16:31:28;</t>
  </si>
  <si>
    <t>CRISTIAN JORDI</t>
  </si>
  <si>
    <t>ARMIJOS SÁNCHEZ</t>
  </si>
  <si>
    <t>E: 06:01:25, S: 11:18:35; E: 12:00:24, S: 13:47:42;</t>
  </si>
  <si>
    <t>E: 06:02:55, S: 11:17:53; E: 11:58:49, S: 14:25:01;</t>
  </si>
  <si>
    <t>E: 06:03:26, S: 11:17:11; E: 11:58:16, S: 13:44:28;</t>
  </si>
  <si>
    <t>E: 06:03:46, S: 10:56:08;</t>
  </si>
  <si>
    <t>E: 06:04:07, S: 11:15:14; E: 12:03:26, S: 13:45:24;</t>
  </si>
  <si>
    <t>E: 06:01:36, S: 11:16:19; E: 12:01:16, S: 13:50:18;</t>
  </si>
  <si>
    <t>E: 06:02:32, S: 11:15:25; E: 12:02:16, S: 13:44:53;</t>
  </si>
  <si>
    <t>E: 06:02:33, S: 11:15:42; E: 12:00:06, S: 13:47:23;</t>
  </si>
  <si>
    <t>E: 06:00:57, S: 11:16:11; E: 12:12:21, S: 14:46:07;</t>
  </si>
  <si>
    <t>E: 06:05:00, S: 11:17:42; E: 11:17:43, S: 11:17:44; E: 12:03:11, S: 13:45:23;</t>
  </si>
  <si>
    <t>E: 06:03:45, S: 11:14:55; E: 12:03:21, S: 13:45:15;</t>
  </si>
  <si>
    <t>E: 06:00:54, S: 12:03:57; E: 12:04:01, S: 13:49:34;</t>
  </si>
  <si>
    <t>E: 06:57:47, S: 12:16:32; E: 13:01:14, S: 14:45:10;</t>
  </si>
  <si>
    <t>E: 07:05:43, S: 11:59:21;</t>
  </si>
  <si>
    <t>E: 06:57:29, S: 12:15:37; E: 13:01:53, S: 14:45:08;</t>
  </si>
  <si>
    <t>E: 07:46:01, S: 12:15:26; E: 13:03:06, S: 13:03:09; E: 13:03:18, S: 16:33:19;</t>
  </si>
  <si>
    <t>E: 07:41:20, S: 12:15:35; E: 13:07:25, S: 13:07:28; E: 13:19:23, S: 16:31:32;</t>
  </si>
  <si>
    <t>E: 07:42:43, S: 12:15:03; E: 13:04:10, S: 16:30:00;</t>
  </si>
  <si>
    <t>E: 07:46:10, S: 11:52:06;</t>
  </si>
  <si>
    <t>DAYANA GISSELA</t>
  </si>
  <si>
    <t>BENITEZ PULLAGUARI</t>
  </si>
  <si>
    <t>E: 05:58:02, S: 12:01:50; E: 12:01:56, S: 14:20:19;</t>
  </si>
  <si>
    <t>E: 05:53:22, S: 11:15:22;</t>
  </si>
  <si>
    <t>E: 05:45:59, S: 11:16:12; E: 12:06:19, S: 13:45:31;</t>
  </si>
  <si>
    <t>E: 05:47:44, S: 11:15:08; E: 12:01:11, S: 14:05:51;</t>
  </si>
  <si>
    <t>* E: 05:57:06, S: 16:30:00;</t>
  </si>
  <si>
    <t>E: 09:50:55, S: 11:15:04; E: 12:09:22, S: 13:52:03;</t>
  </si>
  <si>
    <t>E: 05:53:23, S: 11:15:14; E: 12:00:33, S: 13:45:08;</t>
  </si>
  <si>
    <t>E: 05:53:31, S: 11:16:11; E: 11:59:16, S: 13:50:52;</t>
  </si>
  <si>
    <t>E: 05:54:53, S: 11:58:43; E: 11:59:07, S: 11:59:18; E: 11:59:22, S: 13:45:40;</t>
  </si>
  <si>
    <t>E: 05:49:33, S: 12:05:02; E: 12:05:09, S: 14:45:13;</t>
  </si>
  <si>
    <t>E: 05:45:21, S: 11:00:50;</t>
  </si>
  <si>
    <t>E: 05:48:17, S: 11:16:19; E: 12:00:05, S: 13:48:35;</t>
  </si>
  <si>
    <t>E: 05:55:43, S: 11:18:27; E: 11:59:39, S: 13:53:51;</t>
  </si>
  <si>
    <t>E: 05:54:27, S: 11:16:17; E: 12:01:21, S: 13:53:26;</t>
  </si>
  <si>
    <t>E: 06:54:38, S: 12:16:55; E: 13:00:44, S: 14:47:36;</t>
  </si>
  <si>
    <t>E: 06:57:16, S: 11:03:18; E: 12:57:40, S: 14:45:26;</t>
  </si>
  <si>
    <t>E: 06:50:40, S: 12:00:07;</t>
  </si>
  <si>
    <t>E: 06:56:28, S: 12:16:45; E: 12:58:45, S: 14:46:36;</t>
  </si>
  <si>
    <t>E: 07:39:07, S: 12:16:29; E: 12:59:03, S: 16:31:42;</t>
  </si>
  <si>
    <t>E: 07:47:55, S: 12:17:16; E: 13:03:07, S: 16:30:00; E: 16:31:30, S: 16:31:33;</t>
  </si>
  <si>
    <t>E: 07:35:17, S: 12:17:14; E: 13:03:28, S: 16:31:34;</t>
  </si>
  <si>
    <t>E: 07:38:03, S: 11:52:12;</t>
  </si>
  <si>
    <t>E: 07:40:47, S: 12:15:29; E: 13:01:22, S: 16:32:50;</t>
  </si>
  <si>
    <t>DIANA ELISABETH</t>
  </si>
  <si>
    <t>LIMACHI LEMACHE</t>
  </si>
  <si>
    <t>E: 05:50:24, S: 11:16:10; E: 12:02:49, S: 13:46:35;</t>
  </si>
  <si>
    <t>E: 05:49:59, S: 11:16:20; E: 12:02:42, S: 14:15:21;</t>
  </si>
  <si>
    <t>E: 05:49:48, S: 11:16:10;</t>
  </si>
  <si>
    <t>E: 05:52:55, S: 11:16:09; E: 12:04:08, S: 13:47:33;</t>
  </si>
  <si>
    <t>E: 05:51:55, S: 10:57:22;</t>
  </si>
  <si>
    <t>E: 05:46:25, S: 11:16:33; E: 12:01:46, S: 13:45:33;</t>
  </si>
  <si>
    <t>E: 05:53:04, S: 11:16:21; E: 12:04:53, S: 13:45:29;</t>
  </si>
  <si>
    <t>E: 05:53:00, S: 11:15:42; E: 12:02:31, S: 13:45:29;</t>
  </si>
  <si>
    <t>E: 05:46:08, S: 11:16:39; E: 12:02:26, S: 13:45:18;</t>
  </si>
  <si>
    <t>E: 05:44:05, S: 11:16:09; E: 12:03:22, S: 14:45:20;</t>
  </si>
  <si>
    <t>E: 05:46:29, S: 11:03:32;</t>
  </si>
  <si>
    <t>E: 05:51:01, S: 11:20:51; E: 12:00:04, S: 13:47:39;</t>
  </si>
  <si>
    <t>E: 05:46:38, S: 11:17:20; E: 12:00:59, S: 13:45:26;</t>
  </si>
  <si>
    <t>E: 05:51:40, S: 11:28:40; E: 12:01:39, S: 13:46:30;</t>
  </si>
  <si>
    <t>E: 06:48:58, S: 12:16:33; E: 13:04:56, S: 14:49:51;</t>
  </si>
  <si>
    <t>E: 06:48:13, S: 12:16:03; E: 13:01:22, S: 14:45:28;</t>
  </si>
  <si>
    <t>E: 06:53:59, S: 11:59:06;</t>
  </si>
  <si>
    <t>E: 06:50:19, S: 12:15:47; E: 13:01:00, S: 14:45:30;</t>
  </si>
  <si>
    <t>E: 07:28:10, S: 12:33:04; E: 13:02:52, S: 16:30:00;</t>
  </si>
  <si>
    <t>E: 07:31:04, S: 11:07:52; E: 11:07:58, S: 12:15:29; E: 13:02:46, S: 16:30:00;</t>
  </si>
  <si>
    <t>E: 07:30:17, S: 12:16:04; E: 13:03:57, S: 16:31:17;</t>
  </si>
  <si>
    <t>E: 07:33:15, S: 11:52:26;</t>
  </si>
  <si>
    <t>E: 07:31:41, S: 12:15:34; E: 13:02:16, S: 16:30:00;</t>
  </si>
  <si>
    <t>DORA ALICIA</t>
  </si>
  <si>
    <t>ASUNCIÓN PÉREZ</t>
  </si>
  <si>
    <t>E: 06:00:38, S: 11:18:43; E: 11:59:15, S: 13:45:14;</t>
  </si>
  <si>
    <t>E: 06:03:13, S: 11:15:00; E: 11:59:28, S: 13:45:29;</t>
  </si>
  <si>
    <t>E: 06:05:18, S: 11:15:21; E: 11:59:06, S: 13:49:19;</t>
  </si>
  <si>
    <t>E: 05:59:51, S: 11:16:14; E: 12:00:12, S: 13:47:58;</t>
  </si>
  <si>
    <t>E: 06:04:34, S: 11:13:18; E: 11:59:24, S: 14:05:55;</t>
  </si>
  <si>
    <t>E: 06:03:59, S: 10:59:22;</t>
  </si>
  <si>
    <t>E: 06:00:45, S: 11:14:16; E: 11:14:41, S: 11:14:48; E: 11:59:15, S: 13:46:29;</t>
  </si>
  <si>
    <t>E: 06:02:44, S: 11:16:11; E: 11:58:26, S: 13:45:10;</t>
  </si>
  <si>
    <t>E: 06:09:22, S: 12:03:43; E: 12:03:48, S: 14:45:19;</t>
  </si>
  <si>
    <t>E: 06:03:15, S: 11:04:53;</t>
  </si>
  <si>
    <t>E: 05:59:58, S: 11:15:53; E: 11:58:43, S: 13:47:28;</t>
  </si>
  <si>
    <t>E: 06:03:05, S: 11:16:22; E: 11:58:02, S: 13:47:40;</t>
  </si>
  <si>
    <t>E: 06:02:43, S: 11:20:38; E: 11:58:06, S: 13:46:06;</t>
  </si>
  <si>
    <t>E: 07:01:58, S: 12:35:00; E: 13:03:00, S: 14:47:35;</t>
  </si>
  <si>
    <t>E: 06:59:36, S: 12:15:22; E: 13:00:16, S: 14:47:00;</t>
  </si>
  <si>
    <t>E: 06:59:43, S: 11:59:09;</t>
  </si>
  <si>
    <t>E: 06:59:33, S: 12:17:30; E: 12:21:57, S: 12:21:59; E: 12:56:54, S: 14:45:44;</t>
  </si>
  <si>
    <t>E: 07:46:51, S: 12:16:53; E: 13:01:03, S: 16:31:10;</t>
  </si>
  <si>
    <t>E: 07:44:59, S: 12:19:29; E: 12:59:26, S: 16:32:18;</t>
  </si>
  <si>
    <t>E: 07:48:03, S: 12:22:44; E: 12:58:51, S: 16:31:46;</t>
  </si>
  <si>
    <t>E: 07:47:05, S: 11:56:29;</t>
  </si>
  <si>
    <t>E: 07:46:39, S: 12:15:44; E: 12:57:47, S: 16:30:00;</t>
  </si>
  <si>
    <t>E: 06:11:32, S: 11:18:24; E: 11:43:37, S: 13:52:55;</t>
  </si>
  <si>
    <t>E: 05:50:15, S: 11:17:45; E: 12:01:09, S: 13:50:15;</t>
  </si>
  <si>
    <t>E: 05:52:39, S: 11:39:17; E: 11:58:15, S: 13:51:50;</t>
  </si>
  <si>
    <t>* E: 05:52:35, S: 05:52:42; E: 05:52:56, S: 16:30:00;</t>
  </si>
  <si>
    <t>E: 07:54:29, S: 11:08:15;</t>
  </si>
  <si>
    <t>E: 05:52:52, S: 11:38:38; E: 11:48:38, S: 13:48:01;</t>
  </si>
  <si>
    <t>E: 07:50:50, S: 18:00:58;</t>
  </si>
  <si>
    <t>E: 07:54:45, S: 14:01:34; E: 14:50:36, S: 18:02:56;</t>
  </si>
  <si>
    <t>E: 07:08:56, S: 14:02:40; E: 14:57:37, S: 18:01:21;</t>
  </si>
  <si>
    <t>E: 07:07:45, S: 15:03:40; E: 15:03:52, S: 17:27:54;</t>
  </si>
  <si>
    <t>E: 07:04:56, S: 14:04:23; E: 15:02:34, S: 18:00:09;</t>
  </si>
  <si>
    <t>E: 07:10:44, S: 18:02:52;</t>
  </si>
  <si>
    <t>E: 07:14:01, S: 14:27:30; E: 14:58:43, S: 18:04:35;</t>
  </si>
  <si>
    <t>E: 07:19:21, S: 14:02:18; E: 14:58:51, S: 17:32:46;</t>
  </si>
  <si>
    <t>E: 07:16:57, S: 14:02:53; E: 14:57:48, S: 16:36:18;</t>
  </si>
  <si>
    <t>E: 07:11:23, S: 18:00:44;</t>
  </si>
  <si>
    <t>EVELING ELIZABETH</t>
  </si>
  <si>
    <t>PANTA ORDOÑEZ</t>
  </si>
  <si>
    <t>X-3610498-G</t>
  </si>
  <si>
    <t>E: 05:36:19, S: 11:16:30; E: 12:02:50, S: 13:45:39;</t>
  </si>
  <si>
    <t>E: 05:35:43, S: 11:15:13; E: 12:01:24, S: 14:16:03;</t>
  </si>
  <si>
    <t>E: 06:01:31, S: 11:16:22; E: 12:03:16, S: 13:45:03;</t>
  </si>
  <si>
    <t>E: 05:46:02, S: 11:17:27; E: 12:03:25, S: 13:45:23;</t>
  </si>
  <si>
    <t>E: 05:38:24, S: 11:15:04; E: 12:04:33, S: 14:02:34;</t>
  </si>
  <si>
    <t>E: 05:44:11, S: 11:15:14; E: 12:02:17, S: 13:47:04;</t>
  </si>
  <si>
    <t>E: 05:54:40, S: 11:17:04; E: 12:08:27, S: 13:46:42;</t>
  </si>
  <si>
    <t>E: 05:42:25, S: 11:15:32; E: 12:01:04, S: 13:46:23;</t>
  </si>
  <si>
    <t>E: 05:40:16, S: 11:15:42; E: 12:01:11, S: 13:48:02;</t>
  </si>
  <si>
    <t>E: 05:36:42, S: 11:16:07; E: 12:02:42, S: 14:47:36;</t>
  </si>
  <si>
    <t>E: 05:40:54, S: 11:09:44;</t>
  </si>
  <si>
    <t>E: 06:00:32, S: 06:37:10; E: 08:43:34, S: 11:15:16; E: 12:03:11, S: 13:45:20;</t>
  </si>
  <si>
    <t>E: 05:36:40, S: 11:16:27; E: 12:01:54, S: 13:46:57;</t>
  </si>
  <si>
    <t>E: 05:40:26, S: 11:17:49; E: 12:01:27, S: 13:45:10;</t>
  </si>
  <si>
    <t>E: 06:43:58, S: 12:37:05; E: 13:01:24, S: 14:56:19;</t>
  </si>
  <si>
    <t>E: 06:42:39, S: 12:15:17; E: 13:00:46, S: 14:46:02;</t>
  </si>
  <si>
    <t>E: 06:39:35, S: 12:00:46;</t>
  </si>
  <si>
    <t>E: 06:38:29, S: 12:15:07; E: 13:00:31, S: 14:47:25;</t>
  </si>
  <si>
    <t>E: 07:16:52, S: 12:15:08; E: 13:02:38, S: 16:30:00;</t>
  </si>
  <si>
    <t>E: 07:26:47, S: 12:15:27; E: 13:05:52, S: 16:30:00;</t>
  </si>
  <si>
    <t>E: 07:17:12, S: 12:15:54; E: 13:01:25, S: 16:34:31;</t>
  </si>
  <si>
    <t>* E: 07:23:12, S: 16:30:00;</t>
  </si>
  <si>
    <t>E: 07:39:52, S: 12:15:01; E: 13:02:08, S: 16:32:35;</t>
  </si>
  <si>
    <t>FANNY MARITZA</t>
  </si>
  <si>
    <t>E: 05:52:37, S: 11:16:31; E: 12:04:19, S: 13:48:50;</t>
  </si>
  <si>
    <t>E: 05:58:21, S: 11:32:59; E: 12:02:49, S: 14:19:42;</t>
  </si>
  <si>
    <t>E: 05:58:55, S: 11:18:23; E: 12:05:15, S: 13:47:26;</t>
  </si>
  <si>
    <t>E: 05:55:14, S: 11:19:16; E: 12:06:53, S: 13:45:57;</t>
  </si>
  <si>
    <t>E: 05:54:31, S: 11:19:24; E: 12:07:57, S: 14:05:14;</t>
  </si>
  <si>
    <t>E: 06:00:00, S: 10:56:57;</t>
  </si>
  <si>
    <t>E: 05:56:50, S: 11:16:26; E: 12:33:40, S: 13:50:05;</t>
  </si>
  <si>
    <t>E: 05:56:59, S: 11:16:21; E: 12:00:06, S: 13:45:28;</t>
  </si>
  <si>
    <t>E: 05:59:07, S: 11:58:15; E: 12:03:16, S: 13:50:32;</t>
  </si>
  <si>
    <t>E: 06:00:02, S: 11:17:01; E: 12:06:39, S: 13:45:25;</t>
  </si>
  <si>
    <t>E: 05:55:17, S: 11:15:34; E: 12:05:30, S: 14:45:34;</t>
  </si>
  <si>
    <t>* E: 05:52:17, S: 16:30:00;</t>
  </si>
  <si>
    <t>E: 05:56:52, S: 11:21:21; E: 11:59:22, S: 13:48:13;</t>
  </si>
  <si>
    <t>* E: 05:57:35, S: 11:19:12; E: 12:14:23, S: 16:30:00;</t>
  </si>
  <si>
    <t>* E: 05:59:56, S: 05:59:56; E: 12:00:28, S: 13:43:51;</t>
  </si>
  <si>
    <t>*** E: 06:54:17, S: 14:49:32;</t>
  </si>
  <si>
    <t>E: 07:00:26, S: 12:16:14; E: 13:03:13, S: 14:45:29;</t>
  </si>
  <si>
    <t>E: 06:56:06, S: 11:59:43;</t>
  </si>
  <si>
    <t>E: 07:01:08, S: 12:16:36; E: 13:01:27, S: 14:46:13;</t>
  </si>
  <si>
    <t>E: 07:43:21, S: 12:17:17; E: 13:02:56, S: 16:30:00;</t>
  </si>
  <si>
    <t>E: 07:39:10, S: 12:20:30; E: 13:05:41, S: 16:34:08;</t>
  </si>
  <si>
    <t>E: 07:42:06, S: 13:04:17; E: 13:04:29, S: 16:31:00;</t>
  </si>
  <si>
    <t>E: 07:42:06, S: 12:00:45;</t>
  </si>
  <si>
    <t>E: 07:43:48, S: 12:16:41; E: 13:21:04, S: 16:33:03;</t>
  </si>
  <si>
    <t>GENESIS ROSARIO</t>
  </si>
  <si>
    <t>CURCO OÑA</t>
  </si>
  <si>
    <t>Y-0202239-Z (DE BAJA)</t>
  </si>
  <si>
    <t>E: 05:54:49, S: 14:17:27;</t>
  </si>
  <si>
    <t>E: 05:45:34, S: 11:16:25;</t>
  </si>
  <si>
    <t>E: 05:59:25, S: 11:59:46; E: 12:03:48, S: 13:45:50;</t>
  </si>
  <si>
    <t>E: 05:54:57, S: 11:20:08; E: 11:59:05, S: 14:06:18;</t>
  </si>
  <si>
    <t>E: 05:59:18, S: 11:16:13; E: 12:03:29, S: 13:49:42;</t>
  </si>
  <si>
    <t>E: 05:53:45, S: 13:45:24;</t>
  </si>
  <si>
    <t>X7223829N (DE BAJA)</t>
  </si>
  <si>
    <t>* E: 05:44:42, S: 11:16:27; E: 12:24:26, S: 16:30:00;</t>
  </si>
  <si>
    <t>* E: 05:45:26, S: 05:45:26; E: 11:55:39, S: 14:16:39;</t>
  </si>
  <si>
    <t>E: 05:48:32, S: 11:16:02; E: 12:02:51, S: 13:44:33;</t>
  </si>
  <si>
    <t>E: 05:48:07, S: 11:17:42; E: 12:01:48, S: 13:45:58;</t>
  </si>
  <si>
    <t>E: 05:54:20, S: 11:15:32; E: 12:03:36, S: 14:05:33;</t>
  </si>
  <si>
    <t>* E: 05:55:01, S: 10:42:24; E: 10:46:38, S: 16:30:00;</t>
  </si>
  <si>
    <t>E: 05:59:17, S: 11:15:28; E: 11:59:07, S: 13:48:21;</t>
  </si>
  <si>
    <t>E: 05:46:20, S: 11:19:03; E: 12:01:32, S: 13:45:47;</t>
  </si>
  <si>
    <t>E: 06:05:17, S: 11:52:58; E: 12:01:57, S: 13:45:27;</t>
  </si>
  <si>
    <t>E: 06:01:34, S: 11:15:54; E: 12:04:44, S: 14:46:05;</t>
  </si>
  <si>
    <t>E: 06:09:54, S: 11:17:50; E: 11:20:27, S: 11:20:28; E: 12:02:05, S: 13:45:44;</t>
  </si>
  <si>
    <t>E: 05:49:06, S: 11:19:08; E: 11:56:43, S: 13:48:57;</t>
  </si>
  <si>
    <t>E: 06:13:53, S: 11:15:25; E: 12:00:08, S: 13:46:09;</t>
  </si>
  <si>
    <t>E: 06:50:52, S: 12:17:05; E: 12:56:19, S: 14:45:45;</t>
  </si>
  <si>
    <t>E: 06:50:21, S: 12:00:37;</t>
  </si>
  <si>
    <t>E: 07:43:18, S: 12:17:58; E: 12:56:44, S: 16:31:43;</t>
  </si>
  <si>
    <t>E: 07:47:21, S: 12:26:46; E: 13:04:00, S: 16:34:50;</t>
  </si>
  <si>
    <t>E: 07:44:07, S: 11:54:01;</t>
  </si>
  <si>
    <t>E: 07:43:46, S: 12:15:32; E: 12:58:07, S: 16:32:12;</t>
  </si>
  <si>
    <t>JENNY MARILU</t>
  </si>
  <si>
    <t>MARTINEZ VILLON</t>
  </si>
  <si>
    <t>E: 05:38:56, S: 11:16:50; E: 12:01:32, S: 13:47:09;</t>
  </si>
  <si>
    <t>E: 05:38:32, S: 11:15:56; E: 12:00:32, S: 14:19:33;</t>
  </si>
  <si>
    <t>E: 05:39:07, S: 11:47:08; E: 12:02:43, S: 13:45:34;</t>
  </si>
  <si>
    <t>E: 05:42:35, S: 11:16:26; E: 12:17:38, S: 14:02:44;</t>
  </si>
  <si>
    <t>E: 05:40:51, S: 11:17:45; E: 12:00:26, S: 13:45:37;</t>
  </si>
  <si>
    <t>E: 05:38:31, S: 11:16:02; E: 12:00:57, S: 13:45:22;</t>
  </si>
  <si>
    <t>E: 05:42:38, S: 11:16:10; E: 12:00:51, S: 13:44:57;</t>
  </si>
  <si>
    <t>E: 05:39:57, S: 11:15:40; E: 12:01:05, S: 13:47:07;</t>
  </si>
  <si>
    <t>E: 05:41:20, S: 11:16:03; E: 12:02:38, S: 13:53:43;</t>
  </si>
  <si>
    <t>E: 05:39:56, S: 11:04:03;</t>
  </si>
  <si>
    <t>E: 06:00:15, S: 11:16:15; E: 12:01:45, S: 13:45:24;</t>
  </si>
  <si>
    <t>E: 05:40:25, S: 11:16:08; E: 12:00:27, S: 13:47:17;</t>
  </si>
  <si>
    <t>E: 06:24:24, S: 11:15:43; E: 11:59:51, S: 13:45:45;</t>
  </si>
  <si>
    <t>E: 06:39:25, S: 12:16:25; E: 13:01:38, S: 14:46:20;</t>
  </si>
  <si>
    <t>E: 06:39:59, S: 12:16:17; E: 13:01:37, S: 14:45:58;</t>
  </si>
  <si>
    <t>E: 06:46:38, S: 11:58:10;</t>
  </si>
  <si>
    <t>E: 06:47:38, S: 06:47:42; E: 06:47:57, S: 12:15:57; E: 13:00:01, S: 14:47:19;</t>
  </si>
  <si>
    <t>E: 07:49:33, S: 12:17:40; E: 13:01:54, S: 16:30:00;</t>
  </si>
  <si>
    <t>E: 07:35:27, S: 12:15:37; E: 13:02:22, S: 16:30:00;</t>
  </si>
  <si>
    <t>E: 07:34:40, S: 12:16:49; E: 13:02:39, S: 16:31:20;</t>
  </si>
  <si>
    <t>E: 07:43:17, S: 11:52:17;</t>
  </si>
  <si>
    <t>E: 07:37:45, S: 12:15:21; E: 13:01:48, S: 16:30:00;</t>
  </si>
  <si>
    <t>JENY MAGALI</t>
  </si>
  <si>
    <t>PEÑARRETA CHACON</t>
  </si>
  <si>
    <t>X-3887397-Y</t>
  </si>
  <si>
    <t>E: 05:37:35, S: 11:15:28; E: 12:01:10, S: 13:46:00;</t>
  </si>
  <si>
    <t>E: 05:35:51, S: 11:15:36; E: 11:56:46, S: 14:15:28;</t>
  </si>
  <si>
    <t>E: 05:37:23, S: 11:16:02; E: 12:01:40, S: 13:45:25;</t>
  </si>
  <si>
    <t>E: 05:38:40, S: 11:17:50; E: 12:01:52, S: 13:45:51;</t>
  </si>
  <si>
    <t>E: 05:37:44, S: 10:59:12;</t>
  </si>
  <si>
    <t>E: 05:36:37, S: 11:50:36; E: 11:50:50, S: 11:51:02; E: 11:57:37, S: 13:45:28;</t>
  </si>
  <si>
    <t>E: 05:34:56, S: 11:16:47; E: 11:58:35, S: 13:45:43;</t>
  </si>
  <si>
    <t>E: 05:39:42, S: 11:15:24; E: 11:59:22, S: 13:46:56;</t>
  </si>
  <si>
    <t>E: 05:36:46, S: 11:16:10; E: 12:01:07, S: 13:46:34;</t>
  </si>
  <si>
    <t>E: 05:35:56, S: 11:16:06; E: 12:01:45, S: 14:45:58;</t>
  </si>
  <si>
    <t>E: 05:38:17, S: 11:00:37;</t>
  </si>
  <si>
    <t>E: 05:33:32, S: 11:16:01; E: 11:58:16, S: 13:45:14;</t>
  </si>
  <si>
    <t>E: 05:37:40, S: 11:16:35; E: 11:57:53, S: 13:45:56;</t>
  </si>
  <si>
    <t>E: 05:38:53, S: 11:17:55; E: 11:59:30, S: 13:45:49;</t>
  </si>
  <si>
    <t>E: 06:35:11, S: 12:18:12; E: 13:00:51, S: 14:47:32;</t>
  </si>
  <si>
    <t>E: 06:38:57, S: 12:17:50; E: 13:00:10, S: 14:46:16;</t>
  </si>
  <si>
    <t>E: 06:37:20, S: 11:59:15;</t>
  </si>
  <si>
    <t>E: 06:49:36, S: 12:16:35; E: 12:16:41, S: 12:16:44; E: 13:01:47, S: 14:46:16;</t>
  </si>
  <si>
    <t>E: 07:29:20, S: 12:15:57; E: 12:59:52, S: 16:30:00;</t>
  </si>
  <si>
    <t>E: 07:28:16, S: 12:15:49; E: 13:03:50, S: 16:30:00;</t>
  </si>
  <si>
    <t>E: 07:32:58, S: 12:16:54; E: 12:58:47, S: 16:31:16;</t>
  </si>
  <si>
    <t>E: 07:29:35, S: 11:53:18;</t>
  </si>
  <si>
    <t>E: 07:39:56, S: 12:15:14; E: 12:58:18, S: 16:31:16;</t>
  </si>
  <si>
    <t>JESSICA SILVANA</t>
  </si>
  <si>
    <t>PUMAQUERO AMBO</t>
  </si>
  <si>
    <t>29526079-J</t>
  </si>
  <si>
    <t>E: 05:53:25, S: 11:15:45; E: 12:01:09, S: 13:47:43;</t>
  </si>
  <si>
    <t>E: 05:52:26, S: 11:15:28; E: 12:01:07, S: 14:19:23;</t>
  </si>
  <si>
    <t>E: 05:52:59, S: 11:15:41; E: 12:02:20, S: 13:48:08;</t>
  </si>
  <si>
    <t>E: 05:52:52, S: 11:15:13; E: 12:03:34, S: 13:46:50;</t>
  </si>
  <si>
    <t>E: 05:56:40, S: 11:15:20; E: 12:05:43, S: 14:06:21;</t>
  </si>
  <si>
    <t>E: 05:59:27, S: 10:56:52;</t>
  </si>
  <si>
    <t>E: 05:56:49, S: 11:16:44; E: 12:03:07, S: 13:49:26;</t>
  </si>
  <si>
    <t>E: 05:57:38, S: 11:15:01; E: 12:03:04, S: 13:46:33;</t>
  </si>
  <si>
    <t>E: 05:50:26, S: 11:15:06; E: 12:01:29, S: 13:49:16;</t>
  </si>
  <si>
    <t>E: 05:53:18, S: 11:18:41; E: 12:03:31, S: 14:48:03;</t>
  </si>
  <si>
    <t>E: 05:56:56, S: 11:02:59;</t>
  </si>
  <si>
    <t>E: 06:01:55, S: 11:15:13; E: 12:04:18, S: 13:48:19;</t>
  </si>
  <si>
    <t>E: 05:57:47, S: 11:15:04; E: 12:01:30, S: 13:46:17;</t>
  </si>
  <si>
    <t>E: 05:51:50, S: 11:15:30; E: 12:01:13, S: 13:45:43;</t>
  </si>
  <si>
    <t>E: 06:50:43, S: 12:15:14; E: 13:01:04, S: 14:50:03;</t>
  </si>
  <si>
    <t>E: 06:56:12, S: 12:15:04; E: 13:03:03, S: 14:47:32;</t>
  </si>
  <si>
    <t>E: 06:49:27, S: 11:58:24;</t>
  </si>
  <si>
    <t>E: 06:53:13, S: 12:15:15; E: 13:00:59, S: 14:49:36;</t>
  </si>
  <si>
    <t>E: 07:34:36, S: 12:15:09; E: 13:02:21, S: 16:30:00;</t>
  </si>
  <si>
    <t>E: 07:37:30, S: 12:17:04; E: 13:01:09, S: 16:31:30;</t>
  </si>
  <si>
    <t>E: 07:40:50, S: 11:51:50;</t>
  </si>
  <si>
    <t>E: 07:39:04, S: 12:16:04; E: 13:02:33, S: 16:37:08;</t>
  </si>
  <si>
    <t>JESSICA TERESA</t>
  </si>
  <si>
    <t>MARTINEZ VILLÓN</t>
  </si>
  <si>
    <t>E: 06:01:22, S: 11:15:43; E: 13:30:25, S: 13:49:23;</t>
  </si>
  <si>
    <t>E: 06:03:03, S: 14:15:11;</t>
  </si>
  <si>
    <t>* E: 06:04:37, S: 11:14:42; E: 11:58:11, S: 16:30:00;</t>
  </si>
  <si>
    <t>E: 06:05:41, S: 11:14:48; E: 12:00:50, S: 13:46:09;</t>
  </si>
  <si>
    <t>E: 06:05:04, S: 11:15:31; E: 12:01:32, S: 14:03:08;</t>
  </si>
  <si>
    <t>E: 06:05:09, S: 10:59:49;</t>
  </si>
  <si>
    <t>* E: 06:01:40, S: 11:13:56; E: 11:59:15, S: 16:30:00;</t>
  </si>
  <si>
    <t>* E: 06:02:40, S: 11:14:52; E: 12:01:29, S: 16:30:00;</t>
  </si>
  <si>
    <t>E: 06:03:13, S: 11:16:16; E: 11:58:55, S: 13:44:37;</t>
  </si>
  <si>
    <t>E: 06:06:12, S: 11:15:48; E: 11:59:45, S: 13:45:03;</t>
  </si>
  <si>
    <t>E: 06:04:01, S: 11:29:13; E: 11:29:38, S: 11:29:41; E: 12:04:05, S: 14:45:37;</t>
  </si>
  <si>
    <t>E: 06:02:59, S: 11:00:34;</t>
  </si>
  <si>
    <t>E: 06:03:23, S: 11:16:26; E: 11:59:50, S: 13:51:16;</t>
  </si>
  <si>
    <t>E: 06:03:46, S: 13:49:22;</t>
  </si>
  <si>
    <t>E: 06:02:47, S: 11:15:42; E: 11:58:29, S: 13:45:49;</t>
  </si>
  <si>
    <t>E: 07:01:52, S: 12:14:19; E: 13:22:49, S: 14:50:37;</t>
  </si>
  <si>
    <t>E: 07:01:54, S: 12:15:27; E: 13:00:22, S: 14:45:21;</t>
  </si>
  <si>
    <t>E: 07:00:50, S: 12:00:02;</t>
  </si>
  <si>
    <t>E: 07:03:07, S: 12:16:22; E: 12:59:16, S: 14:45:14;</t>
  </si>
  <si>
    <t>E: 08:39:06, S: 12:15:25; E: 12:59:59, S: 16:30:00;</t>
  </si>
  <si>
    <t>E: 07:45:00, S: 12:14:29; E: 13:01:40, S: 16:30:00;</t>
  </si>
  <si>
    <t>E: 07:47:21, S: 12:20:01; E: 13:00:44, S: 16:34:15;</t>
  </si>
  <si>
    <t>* E: 07:51:14, S: 16:30:00;</t>
  </si>
  <si>
    <t>* E: 07:46:53, S: 07:46:53; E: 13:00:55, S: 16:30:00;</t>
  </si>
  <si>
    <t>JOSE</t>
  </si>
  <si>
    <t>CUERVA RUIZ</t>
  </si>
  <si>
    <t>E: 10:44:30, S: 10:44:56; E: 10:45:07, S: 10:45:37; E: 10:45:46, S: 10:46:08; E: 10:46:21, S: 10:46:37; E: 10:46:54, S: 10:46:55; E: 10:47:02, S: 10:47:03; E: 10:47:25, S: 10:47:26; E: 10:48:09, S: 10:50:53; E: 10:51:06, S: 10:51:29; E: 10:52:28, S: 11:16:26;</t>
  </si>
  <si>
    <t>LENNY ARACELY</t>
  </si>
  <si>
    <t>CEDEÑO ZAMBRANO</t>
  </si>
  <si>
    <t>* E: 05:51:23, S: 11:17:34; E: 12:00:11, S: 16:30:00;</t>
  </si>
  <si>
    <t>E: 05:51:22, S: 11:15:26; E: 12:00:51, S: 14:23:28;</t>
  </si>
  <si>
    <t>E: 05:54:33, S: 08:05:44; E: 09:34:28, S: 13:45:39;</t>
  </si>
  <si>
    <t>E: 05:49:12, S: 11:17:42; E: 11:58:03, S: 13:45:52;</t>
  </si>
  <si>
    <t>E: 05:52:20, S: 11:18:50; E: 12:00:47, S: 13:46:50; E: 13:52:03, S: 14:08:13;</t>
  </si>
  <si>
    <t>* E: 05:59:45, S: 16:30:00;</t>
  </si>
  <si>
    <t>E: 05:53:37, S: 11:15:28; E: 11:57:43, S: 13:45:06;</t>
  </si>
  <si>
    <t>E: 05:49:26, S: 11:20:05; E: 11:59:26, S: 13:46:47;</t>
  </si>
  <si>
    <t>E: 05:53:04, S: 11:44:56; E: 11:58:04, S: 13:45:19;</t>
  </si>
  <si>
    <t>E: 05:59:45, S: 11:15:59; E: 12:02:25, S: 13:46:12;</t>
  </si>
  <si>
    <t>E: 05:53:56, S: 11:20:36; E: 11:59:24, S: 14:45:50;</t>
  </si>
  <si>
    <t>E: 05:51:31, S: 11:00:49;</t>
  </si>
  <si>
    <t>E: 10:02:38, S: 11:15:27; E: 11:59:01, S: 13:46:11;</t>
  </si>
  <si>
    <t>E: 05:53:03, S: 11:15:50; E: 12:01:27, S: 13:48:55;</t>
  </si>
  <si>
    <t>E: 05:55:47, S: 11:17:07; E: 11:59:24, S: 13:44:34;</t>
  </si>
  <si>
    <t>E: 06:50:59, S: 12:17:14; E: 12:57:44, S: 14:45:29;</t>
  </si>
  <si>
    <t>E: 06:36:19, S: 12:17:45; E: 12:58:27, S: 14:45:40;</t>
  </si>
  <si>
    <t>E: 06:35:40, S: 11:58:09;</t>
  </si>
  <si>
    <t>E: 06:37:33, S: 12:16:24; E: 13:05:54, S: 14:45:26;</t>
  </si>
  <si>
    <t>E: 07:33:35, S: 12:16:19; E: 12:57:13, S: 16:36:26;</t>
  </si>
  <si>
    <t>E: 09:30:07, S: 12:18:23; E: 13:02:48, S: 16:30:00;</t>
  </si>
  <si>
    <t>E: 07:40:50, S: 12:15:50; E: 12:58:49, S: 16:34:58;</t>
  </si>
  <si>
    <t>E: 07:38:37, S: 12:00:45;</t>
  </si>
  <si>
    <t>E: 07:48:21, S: 12:17:41; E: 12:59:20, S: 16:31:28;</t>
  </si>
  <si>
    <t>MARIA BALTAZARA</t>
  </si>
  <si>
    <t>MENDOZA TAPAY</t>
  </si>
  <si>
    <t>Y8538840N (DE BAJA)</t>
  </si>
  <si>
    <t>E: 05:59:01, S: 11:17:31; E: 12:18:58, S: 13:48:11;</t>
  </si>
  <si>
    <t>E: 05:57:55, S: 11:15:33; E: 12:03:42, S: 14:19:54;</t>
  </si>
  <si>
    <t>E: 06:00:16, S: 11:17:48; E: 12:05:16, S: 13:46:52;</t>
  </si>
  <si>
    <t>E: 05:59:47, S: 11:17:45; E: 12:01:29, S: 13:46:10;</t>
  </si>
  <si>
    <t>E: 05:54:48, S: 09:56:53; E: 10:02:10, S: 11:15:29; E: 12:04:40, S: 14:04:39;</t>
  </si>
  <si>
    <t>E: 07:05:49, S: 10:57:33;</t>
  </si>
  <si>
    <t>E: 05:59:08, S: 11:16:04; E: 12:02:21, S: 13:45:51;</t>
  </si>
  <si>
    <t>E: 05:57:49, S: 11:15:50; E: 12:03:40, S: 13:45:50;</t>
  </si>
  <si>
    <t>E: 05:58:52, S: 11:16:18; E: 11:59:12, S: 13:46:39;</t>
  </si>
  <si>
    <t>E: 05:58:55, S: 11:15:13; E: 12:05:21, S: 14:46:17;</t>
  </si>
  <si>
    <t>E: 06:04:14, S: 11:03:14;</t>
  </si>
  <si>
    <t>E: 06:01:22, S: 11:19:44; E: 12:06:23, S: 13:46:39;</t>
  </si>
  <si>
    <t>E: 06:01:39, S: 11:15:48; E: 12:00:39, S: 13:49:05;</t>
  </si>
  <si>
    <t>E: 05:58:35, S: 11:16:19; E: 12:01:33, S: 13:46:45;</t>
  </si>
  <si>
    <t>E: 06:57:10, S: 12:15:37; E: 14:20:44, S: 14:48:59; E: 14:49:49, S: 14:50:10;</t>
  </si>
  <si>
    <t>E: 06:58:11, S: 06:58:24; E: 06:58:35, S: 12:15:59; E: 13:03:02, S: 14:45:30;</t>
  </si>
  <si>
    <t>E: 06:56:53, S: 11:58:30;</t>
  </si>
  <si>
    <t>E: 06:59:33, S: 12:16:11; E: 13:07:52, S: 14:47:59;</t>
  </si>
  <si>
    <t>E: 07:43:39, S: 12:16:07; E: 13:08:11, S: 16:30:00;</t>
  </si>
  <si>
    <t>E: 07:41:34, S: 12:15:45; E: 13:04:21, S: 16:33:19;</t>
  </si>
  <si>
    <t>E: 07:42:43, S: 12:15:42; E: 13:05:20, S: 16:32:49;</t>
  </si>
  <si>
    <t>E: 07:42:17, S: 11:52:22;</t>
  </si>
  <si>
    <t>E: 07:43:27, S: 12:23:55; E: 13:01:46, S: 16:31:22;</t>
  </si>
  <si>
    <t>MARIA CATALINA</t>
  </si>
  <si>
    <t>PALA TENEMAZA</t>
  </si>
  <si>
    <t>E: 05:59:16, S: 11:17:28; E: 11:58:33, S: 13:49:21;</t>
  </si>
  <si>
    <t>E: 05:59:48, S: 11:18:40; E: 11:58:10, S: 14:19:03;</t>
  </si>
  <si>
    <t>E: 05:58:54, S: 11:19:42; E: 11:57:15, S: 13:51:28;</t>
  </si>
  <si>
    <t>E: 06:01:49, S: 11:19:37; E: 11:58:36, S: 13:48:32;</t>
  </si>
  <si>
    <t>E: 05:59:21, S: 11:17:45; E: 12:00:27, S: 12:00:28; E: 12:00:35, S: 14:08:08;</t>
  </si>
  <si>
    <t>E: 06:00:23, S: 11:00:35;</t>
  </si>
  <si>
    <t>E: 05:58:47, S: 11:19:02; E: 11:55:27, S: 13:48:28;</t>
  </si>
  <si>
    <t>E: 05:58:59, S: 11:16:30; E: 11:56:25, S: 13:45:41;</t>
  </si>
  <si>
    <t>E: 05:58:57, S: 11:16:04; E: 11:56:22, S: 13:46:31;</t>
  </si>
  <si>
    <t>E: 05:57:54, S: 11:17:45; E: 11:55:06, S: 13:47:04;</t>
  </si>
  <si>
    <t>E: 05:57:49, S: 11:49:21; E: 11:59:59, S: 14:46:51;</t>
  </si>
  <si>
    <t>E: 05:57:42, S: 11:05:19;</t>
  </si>
  <si>
    <t>E: 07:39:45, S: 11:19:02; E: 12:00:12, S: 13:51:22;</t>
  </si>
  <si>
    <t>E: 05:59:06, S: 11:17:35; E: 11:55:37, S: 13:53:55;</t>
  </si>
  <si>
    <t>E: 05:58:30, S: 11:22:22; E: 11:53:42, S: 13:50:30;</t>
  </si>
  <si>
    <t>E: 06:56:04, S: 12:20:58; E: 12:58:38, S: 14:49:09;</t>
  </si>
  <si>
    <t>E: 06:57:57, S: 12:16:13; E: 12:50:23, S: 14:45:57;</t>
  </si>
  <si>
    <t>E: 06:56:48, S: 12:02:17;</t>
  </si>
  <si>
    <t>E: 06:56:20, S: 12:19:30; E: 12:50:32, S: 14:47:29;</t>
  </si>
  <si>
    <t>E: 07:41:24, S: 12:20:19; E: 12:57:33, S: 16:35:01;</t>
  </si>
  <si>
    <t>E: 07:40:57, S: 12:21:55; E: 12:58:53, S: 16:32:01;</t>
  </si>
  <si>
    <t>E: 07:42:32, S: 12:20:03; E: 13:03:24, S: 16:33:32;</t>
  </si>
  <si>
    <t>E: 07:41:43, S: 11:53:06;</t>
  </si>
  <si>
    <t>E: 07:42:09, S: 12:17:36; E: 12:59:40, S: 16:31:55;</t>
  </si>
  <si>
    <t>MARIA DOLORES</t>
  </si>
  <si>
    <t xml:space="preserve">MUÑOZ MUÑOZ </t>
  </si>
  <si>
    <t>48775540-S</t>
  </si>
  <si>
    <t>E: 07:26:05, S: 11:15:49; E: 11:59:43, S: 14:18:59;</t>
  </si>
  <si>
    <t>E: 06:00:12, S: 11:16:01; E: 11:59:04, S: 13:44:19;</t>
  </si>
  <si>
    <t>E: 05:59:50, S: 11:17:47; E: 12:00:19, S: 13:45:39;</t>
  </si>
  <si>
    <t>E: 06:00:35, S: 11:15:40; E: 11:59:35, S: 14:01:34;</t>
  </si>
  <si>
    <t>E: 05:59:47, S: 10:55:16;</t>
  </si>
  <si>
    <t>E: 05:58:33, S: 11:18:12; E: 11:58:04, S: 13:48:05;</t>
  </si>
  <si>
    <t>E: 05:59:24, S: 11:15:24; E: 12:01:39, S: 13:45:05;</t>
  </si>
  <si>
    <t>E: 05:46:57, S: 11:15:19; E: 12:01:26, S: 13:48:41;</t>
  </si>
  <si>
    <t>E: 06:01:29, S: 11:16:05; E: 11:58:50, S: 13:45:34;</t>
  </si>
  <si>
    <t>E: 05:42:35, S: 10:07:01; E: 10:08:20, S: 11:15:21; E: 11:59:00, S: 13:46:37;</t>
  </si>
  <si>
    <t>E: 06:07:57, S: 11:16:15; E: 11:59:15, S: 13:46:44;</t>
  </si>
  <si>
    <t>E: 06:59:16, S: 12:15:26; E: 12:57:32, S: 14:47:33;</t>
  </si>
  <si>
    <t>E: 07:29:20, S: 12:15:10; E: 13:00:37, S: 14:45:50;</t>
  </si>
  <si>
    <t>E: 06:53:53, S: 11:58:02;</t>
  </si>
  <si>
    <t>E: 06:59:54, S: 12:15:19; E: 12:58:45, S: 14:45:12;</t>
  </si>
  <si>
    <t>E: 07:58:03, S: 12:15:26; E: 12:58:38, S: 16:30:00;</t>
  </si>
  <si>
    <t>E: 07:28:14, S: 12:15:22; E: 12:57:13, S: 16:30:00;</t>
  </si>
  <si>
    <t>E: 07:44:56, S: 12:15:46; E: 12:59:06, S: 16:30:00;</t>
  </si>
  <si>
    <t>E: 07:47:50, S: 11:49:33;</t>
  </si>
  <si>
    <t>E: 07:47:31, S: 12:15:44; E: 12:16:14, S: 12:16:24; E: 12:16:34, S: 12:16:48; E: 12:59:23, S: 16:30:00;</t>
  </si>
  <si>
    <t>TELEMAZA MENDOZA</t>
  </si>
  <si>
    <t>E: 06:03:36, S: 13:54:49;</t>
  </si>
  <si>
    <t>E: 06:01:43, S: 11:17:10; E: 12:02:46, S: 14:45:43;</t>
  </si>
  <si>
    <t>E: 06:01:21, S: 11:08:48;</t>
  </si>
  <si>
    <t>E: 05:59:04, S: 11:19:38; E: 11:41:05, S: 11:41:06; E: 11:58:22, S: 13:46:53;</t>
  </si>
  <si>
    <t>E: 06:43:47, S: 11:18:23; E: 11:57:28, S: 13:47:17;</t>
  </si>
  <si>
    <t>E: 05:57:21, S: 11:17:23; E: 11:57:42, S: 13:46:07;</t>
  </si>
  <si>
    <t>E: 06:56:45, S: 12:17:30; E: 12:55:49, S: 14:47:52;</t>
  </si>
  <si>
    <t>E: 06:55:58, S: 12:19:03; E: 12:58:49, S: 14:45:40;</t>
  </si>
  <si>
    <t>E: 06:54:59, S: 11:57:27;</t>
  </si>
  <si>
    <t>* E: 06:53:51, S: 12:16:48; E: 12:56:35, S: 16:30:00;</t>
  </si>
  <si>
    <t>E: 07:41:26, S: 10:09:50; E: 10:11:12, S: 12:17:55; E: 12:23:49, S: 12:23:57; E: 13:01:40, S: 16:31:22;</t>
  </si>
  <si>
    <t>E: 07:31:43, S: 12:16:48; E: 12:58:32, S: 16:32:06;</t>
  </si>
  <si>
    <t>E: 07:34:35, S: 12:17:24; E: 13:07:42, S: 16:32:03;</t>
  </si>
  <si>
    <t>E: 07:40:18, S: 11:53:00;</t>
  </si>
  <si>
    <t>MARIA ELVIRA</t>
  </si>
  <si>
    <t>SAQUISILLI SAQUISILLI</t>
  </si>
  <si>
    <t>E: 05:49:52, S: 11:16:10; E: 11:16:20, S: 11:16:22; E: 11:57:14, S: 13:48:12;</t>
  </si>
  <si>
    <t>E: 05:49:43, S: 11:16:00; E: 11:54:21, S: 14:16:26;</t>
  </si>
  <si>
    <t>E: 05:50:01, S: 11:16:15; E: 11:16:21, S: 11:16:22; E: 11:57:05, S: 13:44:55;</t>
  </si>
  <si>
    <t>E: 05:56:31, S: 11:16:09; E: 11:58:29, S: 11:58:30; E: 11:58:42, S: 13:46:51;</t>
  </si>
  <si>
    <t>E: 05:51:45, S: 11:15:20; E: 12:00:32, S: 14:02:32;</t>
  </si>
  <si>
    <t>E: 05:53:00, S: 11:02:27;</t>
  </si>
  <si>
    <t>E: 05:50:05, S: 11:15:11; E: 12:00:00, S: 13:45:13;</t>
  </si>
  <si>
    <t>E: 05:49:15, S: 11:17:17; E: 12:04:25, S: 13:47:01;</t>
  </si>
  <si>
    <t>E: 05:48:23, S: 11:15:26; E: 12:01:03, S: 13:49:48;</t>
  </si>
  <si>
    <t>E: 05:49:21, S: 11:34:58; E: 11:52:38, S: 13:45:13;</t>
  </si>
  <si>
    <t>E: 05:58:12, S: 11:16:09; E: 12:13:27, S: 14:47:12;</t>
  </si>
  <si>
    <t>E: 05:55:54, S: 11:00:15;</t>
  </si>
  <si>
    <t>E: 05:59:00, S: 11:17:07; E: 11:55:01, S: 13:46:01;</t>
  </si>
  <si>
    <t>E: 05:50:45, S: 11:17:38; E: 11:51:52, S: 13:48:49;</t>
  </si>
  <si>
    <t>E: 05:51:31, S: 11:17:10; E: 12:02:32, S: 13:46:48;</t>
  </si>
  <si>
    <t>E: 06:50:28, S: 12:16:17; E: 12:55:36, S: 14:49:08;</t>
  </si>
  <si>
    <t>E: 06:51:40, S: 12:15:47; E: 13:02:31, S: 14:47:59;</t>
  </si>
  <si>
    <t>E: 06:49:25, S: 11:58:54;</t>
  </si>
  <si>
    <t>E: 06:52:52, S: 12:16:37; E: 12:56:13, S: 14:46:59;</t>
  </si>
  <si>
    <t>E: 07:34:58, S: 12:16:16; E: 13:01:01, S: 16:30:00;</t>
  </si>
  <si>
    <t>E: 07:32:33, S: 12:16:07; E: 12:57:35, S: 16:30:00;</t>
  </si>
  <si>
    <t>E: 07:34:19, S: 12:16:34; E: 12:16:44, S: 12:16:45; E: 12:58:11, S: 16:35:43;</t>
  </si>
  <si>
    <t>E: 07:38:10, S: 12:19:12; E: 12:56:54, S: 16:31:56;</t>
  </si>
  <si>
    <t>MARIA ERCELINDA</t>
  </si>
  <si>
    <t>TOAQUIZA CHUGCHILAN</t>
  </si>
  <si>
    <t>E: 06:01:48, S: 11:16:57; E: 12:09:22, S: 13:46:46;</t>
  </si>
  <si>
    <t>E: 05:51:01, S: 11:16:29; E: 11:35:56, S: 11:35:57; E: 12:05:41, S: 14:17:50;</t>
  </si>
  <si>
    <t>E: 05:56:49, S: 11:16:00; E: 12:05:04, S: 13:48:49;</t>
  </si>
  <si>
    <t>E: 05:52:20, S: 06:05:00; E: 06:05:11, S: 11:15:53; E: 12:03:56, S: 13:48:02;</t>
  </si>
  <si>
    <t>E: 05:52:42, S: 11:15:44; E: 11:22:47, S: 11:22:52; E: 12:02:15, S: 14:07:49;</t>
  </si>
  <si>
    <t>E: 06:00:16, S: 11:01:50;</t>
  </si>
  <si>
    <t>E: 06:03:15, S: 11:19:45; E: 12:02:28, S: 13:46:17;</t>
  </si>
  <si>
    <t>E: 06:03:52, S: 11:16:24; E: 11:47:34, S: 11:47:36; E: 12:01:24, S: 13:48:31;</t>
  </si>
  <si>
    <t>E: 05:52:53, S: 11:18:42; E: 12:00:32, S: 13:45:45;</t>
  </si>
  <si>
    <t>E: 06:02:39, S: 11:15:57; E: 12:04:42, S: 13:50:55;</t>
  </si>
  <si>
    <t>E: 07:30:10, S: 11:17:25; E: 12:01:23, S: 14:47:48;</t>
  </si>
  <si>
    <t>E: 06:04:27, S: 11:02:00;</t>
  </si>
  <si>
    <t>E: 06:03:21, S: 11:17:54; E: 12:07:12, S: 13:52:00;</t>
  </si>
  <si>
    <t>E: 06:02:15, S: 11:16:51; E: 12:07:46, S: 13:59:27;</t>
  </si>
  <si>
    <t>E: 05:57:05, S: 11:20:27; E: 12:02:09, S: 13:48:24;</t>
  </si>
  <si>
    <t>E: 06:51:30, S: 12:16:51; E: 13:01:39, S: 14:58:15;</t>
  </si>
  <si>
    <t>E: 06:45:25, S: 12:39:47; E: 13:02:27, S: 14:51:53;</t>
  </si>
  <si>
    <t>E: 06:44:17, S: 11:55:20; E: 11:55:26, S: 11:58:16;</t>
  </si>
  <si>
    <t>E: 07:02:37, S: 12:17:51; E: 13:03:45, S: 14:47:13;</t>
  </si>
  <si>
    <t>* E: 08:29:43, S: 09:32:48; E: 09:38:48, S: 16:30:00;</t>
  </si>
  <si>
    <t>E: 07:46:02, S: 12:28:14; E: 13:06:06, S: 16:31:57;</t>
  </si>
  <si>
    <t>E: 07:47:16, S: 12:18:34; E: 12:54:02, S: 12:54:04; E: 13:03:34, S: 16:34:56;</t>
  </si>
  <si>
    <t>E: 07:47:30, S: 11:53:07;</t>
  </si>
  <si>
    <t>E: 07:46:56, S: 12:17:12; E: 12:18:16, S: 12:18:35; E: 13:47:28, S: 16:34:54;</t>
  </si>
  <si>
    <t>MARIA ESCOLASTICA</t>
  </si>
  <si>
    <t>DAQUILEMA AUCACAMA</t>
  </si>
  <si>
    <t>x6462318P (DE BAJA)</t>
  </si>
  <si>
    <t>* E: 05:56:13, S: 11:17:02; E: 12:02:20, S: 16:30:00;</t>
  </si>
  <si>
    <t>* E: 05:57:40, S: 11:16:28; E: 11:56:54, S: 16:30:00;</t>
  </si>
  <si>
    <t>E: 05:58:23, S: 11:16:57; E: 12:04:54, S: 13:44:18;</t>
  </si>
  <si>
    <t>E: 05:57:59, S: 11:18:28; E: 11:58:38, S: 13:45:51;</t>
  </si>
  <si>
    <t>E: 05:58:30, S: 11:16:48; E: 12:18:25, S: 14:02:32;</t>
  </si>
  <si>
    <t>E: 06:03:42, S: 10:57:46;</t>
  </si>
  <si>
    <t>* E: 07:19:25, S: 11:18:21; E: 11:56:55, S: 16:30:00;</t>
  </si>
  <si>
    <t>E: 05:57:06, S: 11:16:33; E: 11:57:32, S: 13:45:51;</t>
  </si>
  <si>
    <t>E: 06:00:41, S: 11:16:09; E: 12:02:12, S: 13:47:24;</t>
  </si>
  <si>
    <t>E: 05:58:52, S: 11:16:03; E: 12:01:23, S: 13:45:45;</t>
  </si>
  <si>
    <t>E: 06:12:54, S: 11:15:30; E: 12:03:59, S: 14:47:16;</t>
  </si>
  <si>
    <t>E: 06:00:18, S: 11:03:45;</t>
  </si>
  <si>
    <t>E: 06:03:03, S: 11:16:11; E: 11:58:21, S: 13:45:41;</t>
  </si>
  <si>
    <t>E: 06:03:14, S: 11:17:52; E: 12:26:58, S: 13:47:34;</t>
  </si>
  <si>
    <t>E: 06:00:07, S: 11:16:01; E: 11:59:18, S: 13:45:58;</t>
  </si>
  <si>
    <t>E: 06:56:14, S: 12:18:17; E: 12:57:20, S: 15:55:09;</t>
  </si>
  <si>
    <t>E: 06:56:54, S: 11:58:38;</t>
  </si>
  <si>
    <t>E: 06:58:57, S: 12:16:32; E: 12:59:56, S: 14:46:42;</t>
  </si>
  <si>
    <t>E: 07:34:28, S: 12:16:45; E: 12:57:40, S: 16:31:14;</t>
  </si>
  <si>
    <t>E: 07:35:25, S: 12:15:37; E: 12:59:31, S: 16:30:00;</t>
  </si>
  <si>
    <t>E: 07:29:50, S: 12:17:15; E: 12:58:43, S: 16:32:53;</t>
  </si>
  <si>
    <t>E: 07:42:07, S: 11:55:20;</t>
  </si>
  <si>
    <t>E: 07:40:40, S: 12:15:43; E: 12:57:54, S: 16:30:00;</t>
  </si>
  <si>
    <t>MARIA GEORGINA</t>
  </si>
  <si>
    <t>MENDOZA MENDOZA</t>
  </si>
  <si>
    <t>E: 05:53:38, S: 11:17:24; E: 12:01:51, S: 13:50:04;</t>
  </si>
  <si>
    <t>E: 05:49:30, S: 11:16:06; E: 13:06:58, S: 14:21:21;</t>
  </si>
  <si>
    <t>E: 05:53:34, S: 11:16:16; E: 13:11:58, S: 13:45:24;</t>
  </si>
  <si>
    <t>E: 06:00:53, S: 11:54:51; E: 12:02:39, S: 13:45:36;</t>
  </si>
  <si>
    <t>E: 05:49:22, S: 11:15:37; E: 12:01:43, S: 14:01:34;</t>
  </si>
  <si>
    <t>E: 06:00:51, S: 10:57:48;</t>
  </si>
  <si>
    <t>E: 05:50:49, S: 11:16:47; E: 12:00:00, S: 13:45:42;</t>
  </si>
  <si>
    <t>E: 05:50:10, S: 11:17:18; E: 11:56:25, S: 13:49:51;</t>
  </si>
  <si>
    <t>E: 05:49:41, S: 11:16:37; E: 12:00:50, S: 13:45:38;</t>
  </si>
  <si>
    <t>E: 06:03:20, S: 11:15:33; E: 11:58:12, S: 14:46:36;</t>
  </si>
  <si>
    <t>E: 06:00:21, S: 11:02:15;</t>
  </si>
  <si>
    <t>E: 05:59:54, S: 11:16:21; E: 12:04:14, S: 13:45:44;</t>
  </si>
  <si>
    <t>E: 05:49:57, S: 11:32:52; E: 11:59:41, S: 13:48:33;</t>
  </si>
  <si>
    <t>E: 05:55:33, S: 11:15:46; E: 11:57:38, S: 13:48:59;</t>
  </si>
  <si>
    <t>E: 06:47:28, S: 12:16:41; E: 12:58:45, S: 14:48:02;</t>
  </si>
  <si>
    <t>E: 06:51:01, S: 12:16:04; E: 13:10:18, S: 14:47:11;</t>
  </si>
  <si>
    <t>E: 06:57:55, S: 11:58:43;</t>
  </si>
  <si>
    <t>E: 07:01:39, S: 12:16:15; E: 12:56:48, S: 14:45:34;</t>
  </si>
  <si>
    <t>E: 07:42:17, S: 12:16:00; E: 12:59:29, S: 16:33:33;</t>
  </si>
  <si>
    <t>E: 07:44:51, S: 12:17:03; E: 13:04:11, S: 16:32:15;</t>
  </si>
  <si>
    <t>E: 07:43:43, S: 12:16:11; E: 13:03:15, S: 16:30:00;</t>
  </si>
  <si>
    <t>E: 07:43:54, S: 11:52:01;</t>
  </si>
  <si>
    <t>* E: 07:44:13, S: 12:16:13; E: 12:58:13, S: 16:30:00;</t>
  </si>
  <si>
    <t>MARIA MANUELA</t>
  </si>
  <si>
    <t>VACACELA FERNANDEZ</t>
  </si>
  <si>
    <t>E: 05:56:16, S: 11:17:03; E: 12:01:13, S: 13:50:29;</t>
  </si>
  <si>
    <t>E: 05:56:11, S: 11:15:52; E: 11:57:27, S: 14:15:25;</t>
  </si>
  <si>
    <t>E: 05:59:10, S: 11:19:49; E: 11:59:39, S: 13:45:21;</t>
  </si>
  <si>
    <t>E: 05:55:16, S: 11:35:34; E: 12:03:15, S: 13:45:43;</t>
  </si>
  <si>
    <t>E: 05:58:17, S: 11:18:20; E: 11:58:02, S: 14:07:17;</t>
  </si>
  <si>
    <t>E: 05:59:15, S: 11:18:16; E: 11:58:02, S: 13:47:43;</t>
  </si>
  <si>
    <t>E: 05:57:04, S: 11:17:17; E: 11:57:43, S: 13:45:45;</t>
  </si>
  <si>
    <t>E: 05:56:29, S: 11:21:29; E: 12:00:02, S: 13:49:54;</t>
  </si>
  <si>
    <t>E: 05:52:37, S: 11:17:43; E: 11:59:53, S: 13:45:49;</t>
  </si>
  <si>
    <t>E: 05:54:25, S: 11:17:18; E: 11:57:43, S: 14:46:16;</t>
  </si>
  <si>
    <t>E: 05:51:18, S: 11:03:43;</t>
  </si>
  <si>
    <t>E: 05:58:56, S: 11:15:42; E: 12:03:02, S: 13:45:25;</t>
  </si>
  <si>
    <t>E: 05:59:22, S: 11:16:41; E: 12:00:26, S: 13:47:45;</t>
  </si>
  <si>
    <t>E: 05:54:10, S: 11:16:35; E: 12:01:05, S: 13:49:05;</t>
  </si>
  <si>
    <t>E: 06:52:59, S: 12:15:41; E: 13:02:48, S: 14:49:41;</t>
  </si>
  <si>
    <t>E: 06:54:31, S: 12:15:42; E: 13:02:13, S: 14:46:04;</t>
  </si>
  <si>
    <t>E: 06:54:41, S: 11:59:00;</t>
  </si>
  <si>
    <t>E: 06:55:59, S: 12:16:25; E: 13:03:45, S: 14:47:58;</t>
  </si>
  <si>
    <t>E: 07:35:27, S: 12:19:05; E: 12:59:54, S: 16:30:00;</t>
  </si>
  <si>
    <t>E: 07:36:31, S: 12:25:38; E: 13:04:59, S: 16:32:05;</t>
  </si>
  <si>
    <t>E: 07:30:42, S: 12:17:06; E: 13:28:06, S: 16:30:00;</t>
  </si>
  <si>
    <t>E: 07:40:40, S: 11:51:40;</t>
  </si>
  <si>
    <t>E: 07:40:37, S: 12:17:53; E: 12:57:32, S: 16:32:45;</t>
  </si>
  <si>
    <t>MARIA MARTINA</t>
  </si>
  <si>
    <t>MENDOZA TENEMAZA</t>
  </si>
  <si>
    <t>MARIA TRANSITO</t>
  </si>
  <si>
    <t>ILLAPA CORO</t>
  </si>
  <si>
    <t>48752774L (DE BAJA)</t>
  </si>
  <si>
    <t>E: 05:57:59, S: 11:17:43; E: 11:59:29, S: 13:45:18;</t>
  </si>
  <si>
    <t>E: 05:58:27, S: 11:16:08; E: 12:01:13, S: 14:20:04;</t>
  </si>
  <si>
    <t>E: 05:57:03, S: 11:16:13; E: 12:01:38, S: 13:45:29;</t>
  </si>
  <si>
    <t>E: 06:05:33, S: 11:18:39; E: 12:02:24, S: 13:45:10;</t>
  </si>
  <si>
    <t>E: 05:58:59, S: 11:15:47; E: 12:01:48, S: 14:06:57;</t>
  </si>
  <si>
    <t>E: 06:02:03, S: 10:57:54;</t>
  </si>
  <si>
    <t>E: 06:00:37, S: 11:17:08; E: 12:01:00, S: 13:46:18;</t>
  </si>
  <si>
    <t>E: 05:59:03, S: 11:16:17; E: 11:59:58, S: 13:48:19;</t>
  </si>
  <si>
    <t>E: 06:01:02, S: 11:17:14; E: 12:00:19, S: 13:49:11;</t>
  </si>
  <si>
    <t>* E: 05:57:38, S: 11:16:57; E: 11:56:57, S: 16:30:00;</t>
  </si>
  <si>
    <t>* E: 06:01:43, S: 06:01:43; E: 12:03:44, S: 14:47:38;</t>
  </si>
  <si>
    <t>E: 06:02:19, S: 11:16:22; E: 11:57:09, S: 13:47:02;</t>
  </si>
  <si>
    <t>E: 06:05:01, S: 11:16:21; E: 12:00:32, S: 13:47:59;</t>
  </si>
  <si>
    <t>E: 06:56:56, S: 11:15:48; E: 11:59:29, S: 13:44:49;</t>
  </si>
  <si>
    <t>E: 06:58:28, S: 12:15:58; E: 12:59:48, S: 14:48:09;</t>
  </si>
  <si>
    <t>E: 07:00:26, S: 12:15:21; E: 13:01:47, S: 14:46:58;</t>
  </si>
  <si>
    <t>E: 06:57:10, S: 12:16:59; E: 13:00:48, S: 14:47:50;</t>
  </si>
  <si>
    <t>E: 07:41:37, S: 12:17:11; E: 13:00:10, S: 16:30:00;</t>
  </si>
  <si>
    <t>E: 07:41:29, S: 12:16:02; E: 13:03:54, S: 16:33:42;</t>
  </si>
  <si>
    <t>E: 07:42:54, S: 12:17:02; E: 13:03:47, S: 16:33:02;</t>
  </si>
  <si>
    <t>E: 07:44:13, S: 11:58:00;</t>
  </si>
  <si>
    <t>E: 07:43:19, S: 12:15:38; E: 13:04:33, S: 16:31:43;</t>
  </si>
  <si>
    <t>MARIO</t>
  </si>
  <si>
    <t>HEREDIA ALCALA</t>
  </si>
  <si>
    <t>77040523E (DE BAJA)</t>
  </si>
  <si>
    <t>MAYRA ALEXANDRA</t>
  </si>
  <si>
    <t>MONTIEL BARSAYO</t>
  </si>
  <si>
    <t>E: 07:11:37, S: 11:15:35; E: 12:01:40, S: 13:45:24;</t>
  </si>
  <si>
    <t>* E: 05:57:45, S: 11:15:24; E: 12:04:16, S: 16:30:00;</t>
  </si>
  <si>
    <t>E: 05:59:47, S: 07:22:20; E: 07:22:34, S: 11:15:27; E: 12:02:06, S: 13:45:47;</t>
  </si>
  <si>
    <t>E: 06:03:40, S: 11:15:22; E: 12:04:53, S: 13:45:27;</t>
  </si>
  <si>
    <t>E: 06:00:23, S: 11:59:19; E: 12:44:40, S: 14:45:35;</t>
  </si>
  <si>
    <t>E: 06:04:04, S: 11:00:46;</t>
  </si>
  <si>
    <t>E: 05:58:21, S: 11:16:22; E: 12:01:53, S: 13:46:20;</t>
  </si>
  <si>
    <t>E: 05:58:26, S: 11:17:16; E: 12:18:23, S: 13:47:53;</t>
  </si>
  <si>
    <t>E: 05:56:36, S: 11:16:52; E: 11:57:04, S: 13:45:46;</t>
  </si>
  <si>
    <t>E: 06:56:54, S: 12:15:50; E: 13:00:50, S: 14:46:00;</t>
  </si>
  <si>
    <t>E: 06:57:01, S: 12:15:27; E: 13:01:59, S: 14:45:42;</t>
  </si>
  <si>
    <t>E: 06:55:47, S: 12:00:52;</t>
  </si>
  <si>
    <t>E: 06:56:41, S: 12:15:29; E: 13:00:05, S: 14:45:54;</t>
  </si>
  <si>
    <t>E: 07:42:03, S: 12:15:30; E: 13:01:34, S: 16:30:00;</t>
  </si>
  <si>
    <t>E: 07:42:09, S: 12:15:53; E: 13:10:21, S: 16:34:37;</t>
  </si>
  <si>
    <t>* E: 07:42:36, S: 12:16:36; E: 13:31:21, S: 16:30:00;</t>
  </si>
  <si>
    <t>E: 07:42:00, S: 11:49:45;</t>
  </si>
  <si>
    <t>E: 07:47:35, S: 12:15:37; E: 13:01:13, S: 16:33:15;</t>
  </si>
  <si>
    <t>MIRIAN ROSANA</t>
  </si>
  <si>
    <t>ZHININ MINCHALA</t>
  </si>
  <si>
    <t>E: 05:56:19, S: 11:17:08; E: 12:00:04, S: 13:50:13;</t>
  </si>
  <si>
    <t>E: 05:56:48, S: 11:19:26; E: 12:02:27, S: 14:16:25;</t>
  </si>
  <si>
    <t>E: 05:55:57, S: 09:49:41; E: 09:49:47, S: 11:15:50; E: 11:58:44, S: 13:49:51;</t>
  </si>
  <si>
    <t>E: 05:57:16, S: 11:49:21; E: 11:58:58, S: 11:58:59; E: 12:03:35, S: 14:07:34;</t>
  </si>
  <si>
    <t>E: 05:57:27, S: 10:55:19;</t>
  </si>
  <si>
    <t>E: 06:00:29, S: 11:16:24; E: 12:02:41, S: 13:45:50;</t>
  </si>
  <si>
    <t>E: 05:57:19, S: 11:16:20; E: 11:58:43, S: 13:45:08;</t>
  </si>
  <si>
    <t>E: 05:57:40, S: 11:15:22; E: 12:00:46, S: 13:45:56;</t>
  </si>
  <si>
    <t>E: 06:00:00, S: 11:15:58; E: 12:02:06, S: 13:45:12;</t>
  </si>
  <si>
    <t>E: 05:54:05, S: 14:45:31;</t>
  </si>
  <si>
    <t>E: 05:54:24, S: 11:16:01; E: 12:02:50, S: 13:46:00;</t>
  </si>
  <si>
    <t>E: 05:56:50, S: 11:15:57; E: 12:01:01, S: 13:45:25;</t>
  </si>
  <si>
    <t>E: 05:55:33, S: 11:15:14; E: 12:00:04, S: 13:46:10;</t>
  </si>
  <si>
    <t>E: 06:54:11, S: 12:15:30; E: 12:15:46, S: 14:46:47;</t>
  </si>
  <si>
    <t>E: 06:53:35, S: 12:15:11; E: 13:01:06, S: 14:45:15;</t>
  </si>
  <si>
    <t>* E: 06:57:05, S: 16:30:00;</t>
  </si>
  <si>
    <t>E: 06:53:24, S: 12:15:30; E: 13:00:49, S: 14:45:21;</t>
  </si>
  <si>
    <t>E: 07:34:41, S: 12:16:21; E: 13:01:16, S: 16:30:00;</t>
  </si>
  <si>
    <t>E: 07:34:37, S: 12:15:16; E: 13:03:37, S: 16:30:00;</t>
  </si>
  <si>
    <t>E: 07:33:13, S: 12:15:49; E: 12:59:09, S: 16:31:29;</t>
  </si>
  <si>
    <t>E: 07:36:05, S: 11:52:17;</t>
  </si>
  <si>
    <t>E: 07:34:17, S: 12:15:19; E: 13:03:04, S: 16:30:00;</t>
  </si>
  <si>
    <t>MONICA ELIZABETH</t>
  </si>
  <si>
    <t xml:space="preserve">SANTILLANA MONTESDEOCA </t>
  </si>
  <si>
    <t>48796665-A</t>
  </si>
  <si>
    <t>E: 05:52:13, S: 11:15:33; E: 11:57:57, S: 13:47:23;</t>
  </si>
  <si>
    <t>E: 05:48:50, S: 11:15:24; E: 12:04:09, S: 14:18:38;</t>
  </si>
  <si>
    <t>E: 05:49:39, S: 13:44:26;</t>
  </si>
  <si>
    <t>E: 05:55:23, S: 11:56:05; E: 13:01:51, S: 13:45:31;</t>
  </si>
  <si>
    <t>E: 05:57:54, S: 11:16:23; E: 11:57:56, S: 14:07:30;</t>
  </si>
  <si>
    <t>* E: 05:57:22, S: 16:30:00;</t>
  </si>
  <si>
    <t>E: 05:52:36, S: 11:16:55; E: 11:56:21, S: 13:46:14;</t>
  </si>
  <si>
    <t>E: 05:52:59, S: 11:16:06; E: 11:57:42, S: 13:45:24;</t>
  </si>
  <si>
    <t>E: 05:50:45, S: 11:15:21; E: 12:01:35, S: 13:45:27;</t>
  </si>
  <si>
    <t>E: 05:53:24, S: 11:16:22; E: 12:00:42, S: 13:45:32;</t>
  </si>
  <si>
    <t>E: 05:50:30, S: 14:45:24;</t>
  </si>
  <si>
    <t>* E: 05:51:28, S: 16:30:00;</t>
  </si>
  <si>
    <t>E: 05:53:59, S: 11:16:00; E: 11:57:53, S: 13:45:30;</t>
  </si>
  <si>
    <t>E: 05:51:13, S: 13:47:30;</t>
  </si>
  <si>
    <t>* E: 05:54:43, S: 11:15:47; E: 11:55:28, S: 16:30:00;</t>
  </si>
  <si>
    <t>* E: 06:49:36, S: 12:17:23; E: 12:56:04, S: 16:30:00;</t>
  </si>
  <si>
    <t>E: 06:49:15, S: 14:47:24;</t>
  </si>
  <si>
    <t>E: 06:49:08, S: 12:01:46;</t>
  </si>
  <si>
    <t>* E: 06:43:04, S: 12:16:07; E: 12:56:37, S: 16:30:00;</t>
  </si>
  <si>
    <t>E: 07:34:21, S: 12:21:11; E: 12:56:43, S: 16:30:00;</t>
  </si>
  <si>
    <t>E: 07:35:29, S: 12:16:21; E: 12:57:34, S: 16:30:00;</t>
  </si>
  <si>
    <t>E: 07:33:24, S: 12:15:42; E: 12:57:50, S: 16:30:00;</t>
  </si>
  <si>
    <t>* E: 07:33:12, S: 16:30:00;</t>
  </si>
  <si>
    <t>E: 07:31:36, S: 12:15:31; E: 12:57:32, S: 16:30:00;</t>
  </si>
  <si>
    <t>NEIVA KATALINA</t>
  </si>
  <si>
    <t>FIALLOS PARRALES</t>
  </si>
  <si>
    <t>X-6792357-C</t>
  </si>
  <si>
    <t>E: 06:00:07, S: 11:15:28; E: 12:00:19, S: 14:18:22;</t>
  </si>
  <si>
    <t>E: 05:58:39, S: 11:16:04; E: 12:01:31, S: 13:44:28;</t>
  </si>
  <si>
    <t>E: 06:00:17, S: 11:15:36; E: 12:05:52, S: 13:45:04;</t>
  </si>
  <si>
    <t>E: 06:00:14, S: 11:16:08; E: 12:12:30, S: 14:05:06;</t>
  </si>
  <si>
    <t>E: 06:00:56, S: 10:58:13;</t>
  </si>
  <si>
    <t>E: 05:58:13, S: 11:15:14; E: 12:03:01, S: 13:45:08;</t>
  </si>
  <si>
    <t>E: 06:01:15, S: 11:15:27; E: 12:02:27, S: 13:45:12;</t>
  </si>
  <si>
    <t>E: 05:59:26, S: 11:15:37; E: 12:00:46, S: 13:44:42;</t>
  </si>
  <si>
    <t>E: 06:00:21, S: 11:15:21; E: 12:01:27, S: 13:45:17;</t>
  </si>
  <si>
    <t>E: 05:58:02, S: 11:15:22; E: 12:02:00, S: 14:45:08;</t>
  </si>
  <si>
    <t>E: 05:59:16, S: 11:00:22;</t>
  </si>
  <si>
    <t>E: 06:01:44, S: 11:16:41; E: 12:03:58, S: 13:45:13;</t>
  </si>
  <si>
    <t>E: 05:59:58, S: 11:15:08; E: 11:59:54, S: 13:45:45;</t>
  </si>
  <si>
    <t>E: 05:58:45, S: 11:15:17; E: 11:59:33, S: 13:45:28;</t>
  </si>
  <si>
    <t>E: 06:56:35, S: 12:15:28; E: 13:01:42, S: 14:50:05;</t>
  </si>
  <si>
    <t>E: 06:59:26, S: 12:15:09; E: 13:01:29, S: 14:45:29;</t>
  </si>
  <si>
    <t>E: 06:58:34, S: 11:58:27;</t>
  </si>
  <si>
    <t>E: 06:59:21, S: 12:17:28; E: 12:59:59, S: 14:45:20;</t>
  </si>
  <si>
    <t>E: 07:39:07, S: 12:15:43; E: 13:02:06, S: 16:30:00;</t>
  </si>
  <si>
    <t>E: 07:38:12, S: 12:15:24; E: 13:03:35, S: 16:30:00;</t>
  </si>
  <si>
    <t>E: 07:41:28, S: 12:17:14; E: 13:02:17, S: 16:30:00;</t>
  </si>
  <si>
    <t>E: 07:41:24, S: 11:51:43;</t>
  </si>
  <si>
    <t>E: 07:39:53, S: 12:15:22; E: 13:02:37, S: 16:30:00;</t>
  </si>
  <si>
    <t xml:space="preserve">NOELIA </t>
  </si>
  <si>
    <t>ROMERO VEGARA</t>
  </si>
  <si>
    <t>* E: 05:38:00, S: 05:38:00; E: 11:58:30, S: 13:45:39;</t>
  </si>
  <si>
    <t>E: 05:38:40, S: 11:15:38; E: 11:57:37, S: 12:45:55;</t>
  </si>
  <si>
    <t>E: 05:42:20, S: 11:15:30; E: 11:57:55, S: 13:44:20;</t>
  </si>
  <si>
    <t>E: 05:38:10, S: 11:18:56; E: 12:00:01, S: 13:45:33;</t>
  </si>
  <si>
    <t>E: 05:40:50, S: 11:15:12; E: 11:57:57, S: 14:03:41;</t>
  </si>
  <si>
    <t>* E: 05:43:42, S: 16:30:00;</t>
  </si>
  <si>
    <t>E: 05:40:04, S: 11:15:06; E: 11:59:08, S: 13:45:31;</t>
  </si>
  <si>
    <t>E: 05:40:56, S: 11:15:21; E: 11:58:18, S: 13:45:02;</t>
  </si>
  <si>
    <t>E: 05:41:04, S: 11:15:55; E: 11:57:15, S: 13:44:41;</t>
  </si>
  <si>
    <t>E: 05:40:22, S: 05:40:29; E: 05:40:55, S: 05:41:10; E: 05:41:32, S: 11:15:11; E: 11:58:05, S: 13:45:10;</t>
  </si>
  <si>
    <t>E: 05:41:52, S: 11:15:06; E: 11:58:48, S: 14:45:10;</t>
  </si>
  <si>
    <t>E: 05:40:44, S: 05:56:19; E: 05:58:03, S: 11:03:08;</t>
  </si>
  <si>
    <t>E: 05:44:56, S: 11:14:32; E: 11:58:33, S: 13:45:18;</t>
  </si>
  <si>
    <t>E: 05:36:13, S: 11:15:02; E: 11:57:40, S: 13:45:22;</t>
  </si>
  <si>
    <t>E: 05:45:25, S: 11:15:07; E: 11:57:20, S: 13:48:10;</t>
  </si>
  <si>
    <t>E: 06:39:13, S: 12:16:10; E: 12:58:33, S: 14:46:04;</t>
  </si>
  <si>
    <t>E: 06:40:43, S: 06:41:03; E: 06:58:14, S: 12:15:47; E: 12:58:46, S: 14:45:32;</t>
  </si>
  <si>
    <t>E: 06:46:17, S: 12:15:56; E: 12:57:23, S: 14:45:55;</t>
  </si>
  <si>
    <t>E: 07:33:12, S: 12:15:39; E: 13:00:31, S: 16:32:14;</t>
  </si>
  <si>
    <t>E: 07:34:46, S: 12:15:22; E: 13:02:22, S: 16:30:00;</t>
  </si>
  <si>
    <t>E: 07:32:51, S: 12:15:11; E: 12:58:19, S: 16:30:00;</t>
  </si>
  <si>
    <t>E: 07:31:14, S: 11:55:34;</t>
  </si>
  <si>
    <t>E: 07:29:23, S: 12:16:04; E: 13:03:56, S: 16:30:00;</t>
  </si>
  <si>
    <t>NORMA JULEYSI</t>
  </si>
  <si>
    <t>QUEZADA FERNANDEZ</t>
  </si>
  <si>
    <t>E: 05:52:32, S: 11:15:38; E: 12:00:01, S: 13:45:08;</t>
  </si>
  <si>
    <t>E: 05:55:27, S: 11:15:27; E: 12:00:02, S: 14:18:17;</t>
  </si>
  <si>
    <t>E: 05:50:52, S: 11:16:58; E: 11:59:25, S: 13:44:23;</t>
  </si>
  <si>
    <t>E: 05:52:51, S: 11:15:43; E: 11:59:53, S: 13:46:24;</t>
  </si>
  <si>
    <t>E: 05:59:14, S: 11:16:07; E: 13:13:36, S: 14:02:20;</t>
  </si>
  <si>
    <t>E: 05:52:48, S: 10:56:54;</t>
  </si>
  <si>
    <t>E: 05:51:23, S: 11:15:48; E: 12:23:16, S: 13:48:26;</t>
  </si>
  <si>
    <t>E: 05:54:01, S: 11:19:28; E: 12:01:55, S: 13:45:49;</t>
  </si>
  <si>
    <t>E: 05:55:29, S: 11:16:17; E: 12:02:04, S: 13:46:09;</t>
  </si>
  <si>
    <t>E: 05:55:09, S: 11:15:48; E: 11:59:15, S: 14:45:24;</t>
  </si>
  <si>
    <t>E: 05:49:43, S: 11:08:45;</t>
  </si>
  <si>
    <t>E: 05:53:59, S: 11:17:23; E: 12:01:42, S: 13:45:23;</t>
  </si>
  <si>
    <t>E: 05:59:09, S: 11:17:37; E: 12:00:24, S: 13:48:57;</t>
  </si>
  <si>
    <t>E: 05:55:43, S: 11:15:27; E: 12:05:13, S: 13:44:32;</t>
  </si>
  <si>
    <t>E: 06:52:09, S: 12:15:43; E: 13:00:35, S: 14:47:36;</t>
  </si>
  <si>
    <t>E: 06:53:44, S: 12:15:34; E: 13:02:01, S: 14:44:20;</t>
  </si>
  <si>
    <t>E: 06:48:23, S: 11:58:30;</t>
  </si>
  <si>
    <t>E: 06:57:17, S: 12:18:31; E: 13:00:17, S: 14:46:16;</t>
  </si>
  <si>
    <t>E: 07:49:47, S: 12:16:19; E: 13:02:11, S: 16:30:00;</t>
  </si>
  <si>
    <t>E: 07:31:50, S: 12:15:33; E: 13:01:16, S: 16:31:08;</t>
  </si>
  <si>
    <t>E: 07:40:42, S: 12:15:56; E: 13:03:54, S: 16:31:52;</t>
  </si>
  <si>
    <t>E: 07:38:03, S: 11:53:56;</t>
  </si>
  <si>
    <t>E: 07:30:23, S: 12:15:28; E: 13:02:23, S: 16:30:00;</t>
  </si>
  <si>
    <t>QUIROS HIGUERAS</t>
  </si>
  <si>
    <t>E: 06:36:58, S: 11:17:29; E: 11:57:24, S: 16:15:51;</t>
  </si>
  <si>
    <t>E: 06:34:36, S: 11:38:25; E: 12:35:36, S: 16:16:37;</t>
  </si>
  <si>
    <t>* E: 06:35:06, S: 16:30:00;</t>
  </si>
  <si>
    <t>E: 06:31:14, S: 11:16:42; E: 11:57:47, S: 16:17:56;</t>
  </si>
  <si>
    <t>E: 06:32:12, S: 16:25:13;</t>
  </si>
  <si>
    <t>E: 05:38:07, S: 12:44:59; E: 15:09:08, S: 15:43:36;</t>
  </si>
  <si>
    <t>E: 06:44:27, S: 11:36:08; E: 12:33:39, S: 16:02:37;</t>
  </si>
  <si>
    <t>E: 06:35:19, S: 16:14:10;</t>
  </si>
  <si>
    <t>E: 06:31:43, S: 16:17:55;</t>
  </si>
  <si>
    <t>E: 06:34:25, S: 11:20:02; E: 12:07:42, S: 16:19:49;</t>
  </si>
  <si>
    <t>E: 06:42:05, S: 11:20:07; E: 11:59:28, S: 16:26:05;</t>
  </si>
  <si>
    <t>E: 05:40:20, S: 11:17:14; E: 11:58:58, S: 16:22:16;</t>
  </si>
  <si>
    <t>E: 05:52:34, S: 11:01:55;</t>
  </si>
  <si>
    <t>E: 06:35:09, S: 17:01:59;</t>
  </si>
  <si>
    <t>E: 06:28:43, S: 11:17:40; E: 11:57:13, S: 16:15:47;</t>
  </si>
  <si>
    <t>E: 06:29:53, S: 16:14:34;</t>
  </si>
  <si>
    <t>E: 06:40:02, S: 12:56:57; E: 13:35:03, S: 16:37:19;</t>
  </si>
  <si>
    <t>E: 06:46:40, S: 14:11:38; E: 14:59:33, S: 16:26:46;</t>
  </si>
  <si>
    <t>E: 06:45:37, S: 15:16:19;</t>
  </si>
  <si>
    <t>E: 07:21:33, S: 15:21:30;</t>
  </si>
  <si>
    <t>E: 06:43:49, S: 12:14:47; E: 12:57:38, S: 16:24:41;</t>
  </si>
  <si>
    <t>E: 07:12:10, S: 16:48:55;</t>
  </si>
  <si>
    <t>* E: 07:12:27, S: 16:30:00;</t>
  </si>
  <si>
    <t>E: 07:20:38, S: 16:47:51;</t>
  </si>
  <si>
    <t>E: 07:04:07, S: 16:42:24;</t>
  </si>
  <si>
    <t>E: 06:49:08, S: 13:36:47;</t>
  </si>
  <si>
    <t>E: 06:34:49, S: 16:30:00;</t>
  </si>
  <si>
    <t>ROSA ERMELINDA</t>
  </si>
  <si>
    <t>LEON NIVELO</t>
  </si>
  <si>
    <t>E: 05:51:27, S: 11:15:09; E: 12:02:40, S: 13:44:57;</t>
  </si>
  <si>
    <t>E: 05:51:49, S: 11:15:38; E: 12:02:02, S: 14:14:51;</t>
  </si>
  <si>
    <t>E: 05:50:54, S: 11:15:23; E: 12:02:43, S: 13:45:09;</t>
  </si>
  <si>
    <t>E: 05:52:26, S: 11:15:17; E: 12:08:36, S: 14:04:52;</t>
  </si>
  <si>
    <t>E: 05:50:59, S: 10:54:58;</t>
  </si>
  <si>
    <t xml:space="preserve">ROSA FLORINDA </t>
  </si>
  <si>
    <t>NEIRA CAMPOVERD</t>
  </si>
  <si>
    <t>29523006-E</t>
  </si>
  <si>
    <t>E: 05:57:42, S: 11:19:21; E: 11:58:45, S: 13:47:15;</t>
  </si>
  <si>
    <t>E: 06:05:03, S: 11:24:06; E: 11:59:30, S: 13:49:16;</t>
  </si>
  <si>
    <t>* E: 05:59:26, S: 11:15:40; E: 12:04:48, S: 12:04:58; E: 12:05:04, S: 16:30:00;</t>
  </si>
  <si>
    <t>E: 06:00:26, S: 11:15:21; E: 12:05:56, S: 14:05:16;</t>
  </si>
  <si>
    <t>E: 09:17:26, S: 12:00:00; E: 12:00:24, S: 13:49:45;</t>
  </si>
  <si>
    <t>* E: 06:01:38, S: 11:17:59; E: 12:00:46, S: 16:30:00;</t>
  </si>
  <si>
    <t>* E: 06:01:07, S: 11:18:10; E: 11:57:59, S: 16:30:00;</t>
  </si>
  <si>
    <t>E: 10:16:08, S: 11:17:11; E: 12:00:49, S: 13:46:50;</t>
  </si>
  <si>
    <t>E: 06:01:08, S: 11:17:23; E: 11:59:16, S: 13:46:50;</t>
  </si>
  <si>
    <t>E: 06:59:55, S: 12:17:26; E: 12:58:36, S: 14:47:42;</t>
  </si>
  <si>
    <t>E: 07:00:09, S: 12:15:27; E: 13:02:06, S: 14:45:31;</t>
  </si>
  <si>
    <t>E: 06:59:23, S: 11:58:21;</t>
  </si>
  <si>
    <t>E: 07:00:09, S: 12:21:57; E: 12:57:50, S: 14:46:58;</t>
  </si>
  <si>
    <t>* E: 07:46:16, S: 12:16:57; E: 12:58:01, S: 16:30:00;</t>
  </si>
  <si>
    <t>E: 07:44:35, S: 12:16:07; E: 12:59:24, S: 16:30:00;</t>
  </si>
  <si>
    <t>E: 07:44:11, S: 12:17:44; E: 13:18:04, S: 16:31:55;</t>
  </si>
  <si>
    <t>E: 07:44:29, S: 11:55:41;</t>
  </si>
  <si>
    <t>E: 07:43:03, S: 12:15:33; E: 13:02:27, S: 16:30:00;</t>
  </si>
  <si>
    <t>ROSA MARIA</t>
  </si>
  <si>
    <t>CRIOLLO SAQUISILLI</t>
  </si>
  <si>
    <t>E: 05:58:30, S: 11:16:30; E: 12:02:09, S: 13:46:20;</t>
  </si>
  <si>
    <t>E: 06:01:40, S: 11:15:25; E: 12:00:23, S: 14:18:29;</t>
  </si>
  <si>
    <t>E: 06:01:40, S: 11:18:01; E: 11:59:53, S: 11:59:54; E: 12:00:02, S: 13:45:04;</t>
  </si>
  <si>
    <t>E: 06:00:18, S: 11:15:54; E: 12:02:09, S: 13:46:48;</t>
  </si>
  <si>
    <t>E: 06:00:12, S: 11:15:23; E: 12:02:53, S: 14:06:09;</t>
  </si>
  <si>
    <t>E: 06:01:52, S: 11:01:10;</t>
  </si>
  <si>
    <t>E: 06:01:54, S: 11:15:17; E: 12:01:20, S: 13:45:12;</t>
  </si>
  <si>
    <t>E: 05:56:18, S: 11:16:30; E: 12:00:16, S: 13:46:56;</t>
  </si>
  <si>
    <t>E: 05:57:58, S: 11:15:20; E: 12:01:24, S: 13:45:46;</t>
  </si>
  <si>
    <t>E: 05:54:22, S: 11:15:48; E: 12:00:11, S: 13:45:19;</t>
  </si>
  <si>
    <t>E: 06:03:54, S: 11:18:32; E: 11:59:18, S: 14:46:54;</t>
  </si>
  <si>
    <t>E: 06:10:10, S: 11:01:51;</t>
  </si>
  <si>
    <t>E: 06:09:34, S: 11:17:38; E: 11:59:18, S: 13:47:01;</t>
  </si>
  <si>
    <t>E: 05:58:59, S: 11:16:11; E: 12:08:06, S: 13:48:01;</t>
  </si>
  <si>
    <t>E: 05:58:37, S: 11:16:09; E: 11:54:53, S: 13:47:22;</t>
  </si>
  <si>
    <t>E: 06:56:12, S: 12:16:51; E: 12:58:34, S: 14:50:07;</t>
  </si>
  <si>
    <t>E: 06:58:16, S: 12:16:33; E: 13:01:39, S: 14:47:02;</t>
  </si>
  <si>
    <t>E: 06:56:19, S: 11:58:21;</t>
  </si>
  <si>
    <t>E: 06:56:35, S: 12:16:44; E: 12:58:51, S: 14:46:32;</t>
  </si>
  <si>
    <t>E: 07:41:35, S: 12:59:39; E: 13:00:05, S: 16:31:43;</t>
  </si>
  <si>
    <t>E: 07:41:06, S: 12:16:14; E: 12:59:17, S: 16:34:04;</t>
  </si>
  <si>
    <t>E: 07:42:36, S: 12:17:03; E: 13:01:39, S: 16:32:45;</t>
  </si>
  <si>
    <t>E: 07:45:00, S: 11:51:43;</t>
  </si>
  <si>
    <t>E: 07:42:18, S: 12:15:48; E: 13:01:17, S: 16:31:20;</t>
  </si>
  <si>
    <t xml:space="preserve">TANIA MARIA </t>
  </si>
  <si>
    <t>NIETO MORAN</t>
  </si>
  <si>
    <t>23904300-D</t>
  </si>
  <si>
    <t>E: 07:39:35, S: 11:15:58; E: 12:00:37, S: 13:44:40;</t>
  </si>
  <si>
    <t>E: 06:01:24, S: 11:16:04; E: 12:02:00, S: 14:29:08;</t>
  </si>
  <si>
    <t>E: 06:01:43, S: 11:15:32; E: 12:03:07, S: 13:45:15;</t>
  </si>
  <si>
    <t>E: 06:02:00, S: 11:17:23; E: 12:00:13, S: 13:45:08;</t>
  </si>
  <si>
    <t>E: 06:02:40, S: 11:16:39; E: 12:00:35, S: 14:01:09;</t>
  </si>
  <si>
    <t>E: 06:02:16, S: 10:55:29;</t>
  </si>
  <si>
    <t>E: 06:15:45, S: 11:17:08; E: 11:59:37, S: 13:47:26;</t>
  </si>
  <si>
    <t>E: 07:01:18, S: 12:16:37; E: 13:01:27, S: 14:56:03;</t>
  </si>
  <si>
    <t>E: 07:02:09, S: 12:15:52; E: 13:00:47, S: 14:46:05;</t>
  </si>
  <si>
    <t>* E: 07:01:59, S: 16:30:00;</t>
  </si>
  <si>
    <t>E: 07:01:37, S: 12:15:13; E: 12:59:09, S: 14:47:13;</t>
  </si>
  <si>
    <t>E: 07:44:56, S: 12:15:22; E: 13:00:54, S: 16:30:00;</t>
  </si>
  <si>
    <t>* E: 07:45:00, S: 12:16:17; E: 13:00:51, S: 16:30:00;</t>
  </si>
  <si>
    <t>E: 07:46:03, S: 12:15:12; E: 13:00:57, S: 16:31:34;</t>
  </si>
  <si>
    <t>E: 07:47:08, S: 12:09:34;</t>
  </si>
  <si>
    <t>E: 07:48:44, S: 12:16:19; E: 13:01:30, S: 16:32:42;</t>
  </si>
  <si>
    <t>TRAORE</t>
  </si>
  <si>
    <t>E: 06:00:04, S: 11:22:50; E: 11:58:17, S: 13:48:29;</t>
  </si>
  <si>
    <t>E: 05:57:44, S: 11:18:42; E: 12:00:05, S: 14:21:52;</t>
  </si>
  <si>
    <t>E: 05:54:07, S: 11:27:44; E: 12:03:42, S: 13:49:15;</t>
  </si>
  <si>
    <t>E: 05:50:02, S: 11:20:51; E: 12:14:52, S: 13:45:49;</t>
  </si>
  <si>
    <t>E: 05:53:34, S: 11:19:19; E: 12:01:35, S: 14:06:28;</t>
  </si>
  <si>
    <t>E: 05:52:24, S: 10:57:07;</t>
  </si>
  <si>
    <t>E: 06:03:39, S: 11:20:56; E: 12:01:44, S: 13:51:21;</t>
  </si>
  <si>
    <t>E: 05:52:24, S: 11:17:05; E: 12:01:55, S: 13:48:32;</t>
  </si>
  <si>
    <t>E: 05:51:41, S: 11:29:45; E: 12:02:29, S: 13:46:45;</t>
  </si>
  <si>
    <t>E: 05:55:51, S: 11:19:16; E: 12:02:23, S: 13:50:38;</t>
  </si>
  <si>
    <t>E: 05:59:56, S: 11:18:44; E: 12:00:28, S: 14:50:19;</t>
  </si>
  <si>
    <t>E: 06:00:19, S: 11:04:12;</t>
  </si>
  <si>
    <t>E: 08:11:12, S: 11:23:18; E: 12:01:59, S: 13:50:09;</t>
  </si>
  <si>
    <t>E: 05:54:02, S: 11:22:04; E: 11:59:13, S: 13:48:11;</t>
  </si>
  <si>
    <t>E: 06:52:46, S: 12:21:17; E: 13:00:10, S: 14:49:31;</t>
  </si>
  <si>
    <t>E: 06:54:03, S: 12:20:17; E: 12:59:53, S: 14:51:29;</t>
  </si>
  <si>
    <t>E: 06:47:14, S: 12:00:39;</t>
  </si>
  <si>
    <t>E: 06:56:05, S: 12:19:23; E: 13:27:01, S: 14:52:31;</t>
  </si>
  <si>
    <t>E: 07:42:57, S: 12:15:47; E: 13:01:07, S: 16:35:58;</t>
  </si>
  <si>
    <t>E: 07:39:17, S: 12:24:20; E: 13:00:56, S: 16:31:19;</t>
  </si>
  <si>
    <t>E: 07:44:28, S: 12:24:37; E: 13:03:11, S: 16:35:27;</t>
  </si>
  <si>
    <t>E: 07:47:28, S: 11:55:42;</t>
  </si>
  <si>
    <t>E: 08:04:08, S: 12:21:08; E: 13:24:10, S: 16:34:39;</t>
  </si>
  <si>
    <t>VEMS ARACELY</t>
  </si>
  <si>
    <t>SANCHEZ CEDEÑO</t>
  </si>
  <si>
    <t>E: 05:57:38, S: 11:20:04; E: 12:02:17, S: 13:46:48;</t>
  </si>
  <si>
    <t>E: 05:53:31, S: 05:55:57; E: 05:56:15, S: 11:15:41; E: 12:02:22, S: 13:46:24; E: 14:19:08, S: 14:20:31;</t>
  </si>
  <si>
    <t>E: 05:50:47, S: 11:16:07; E: 11:59:55, S: 13:48:20;</t>
  </si>
  <si>
    <t>E: 05:55:02, S: 11:16:42; E: 12:01:09, S: 13:49:45;</t>
  </si>
  <si>
    <t>E: 05:50:24, S: 09:05:03; E: 12:01:11, S: 14:03:44;</t>
  </si>
  <si>
    <t>E: 06:01:20, S: 11:01:42;</t>
  </si>
  <si>
    <t>E: 05:59:29, S: 10:32:39; E: 12:18:12, S: 13:45:24;</t>
  </si>
  <si>
    <t>E: 05:56:03, S: 11:17:05; E: 12:02:38, S: 13:46:05;</t>
  </si>
  <si>
    <t>E: 05:49:12, S: 12:04:45; E: 12:04:48, S: 13:45:24;</t>
  </si>
  <si>
    <t>E: 05:47:31, S: 11:15:16; E: 12:01:10, S: 13:45:12;</t>
  </si>
  <si>
    <t>E: 05:48:22, S: 11:16:30; E: 11:59:40, S: 14:45:39;</t>
  </si>
  <si>
    <t>E: 05:49:15, S: 11:01:32;</t>
  </si>
  <si>
    <t>E: 05:44:24, S: 11:15:38; E: 12:00:22, S: 13:45:48;</t>
  </si>
  <si>
    <t>E: 05:49:59, S: 11:15:27; E: 11:59:38, S: 13:46:08;</t>
  </si>
  <si>
    <t>E: 05:51:47, S: 11:15:22; E: 11:59:20, S: 13:47:39;</t>
  </si>
  <si>
    <t>E: 06:41:31, S: 12:16:41; E: 13:01:08, S: 14:45:46;</t>
  </si>
  <si>
    <t>E: 06:57:36, S: 12:17:07; E: 13:00:22, S: 14:45:49;</t>
  </si>
  <si>
    <t>E: 06:42:32, S: 12:00:11;</t>
  </si>
  <si>
    <t>E: 06:42:11, S: 12:15:35; E: 12:59:51, S: 14:45:05;</t>
  </si>
  <si>
    <t>E: 07:38:59, S: 12:15:27; E: 13:00:23, S: 16:31:16;</t>
  </si>
  <si>
    <t>E: 07:37:51, S: 12:15:19; E: 12:59:33, S: 16:30:00;</t>
  </si>
  <si>
    <t>E: 07:40:53, S: 12:18:16; E: 13:00:13, S: 16:32:56;</t>
  </si>
  <si>
    <t>E: 07:42:06, S: 11:51:43;</t>
  </si>
  <si>
    <t>E: 07:38:03, S: 16:30:00;</t>
  </si>
  <si>
    <t>VERONICA NANCY</t>
  </si>
  <si>
    <t>JAYA FARINANGO</t>
  </si>
  <si>
    <t>X-6760346-W</t>
  </si>
  <si>
    <t>E: 05:42:42, S: 11:15:40; E: 12:00:48, S: 13:44:55;</t>
  </si>
  <si>
    <t>E: 05:38:51, S: 11:16:08; E: 12:00:25, S: 14:15:54;</t>
  </si>
  <si>
    <t>E: 05:45:16, S: 11:15:59; E: 12:02:15, S: 13:44:22;</t>
  </si>
  <si>
    <t>E: 05:43:55, S: 11:15:49; E: 11:15:53, S: 11:15:54; E: 12:03:20, S: 13:45:21;</t>
  </si>
  <si>
    <t>E: 05:42:09, S: 11:16:07; E: 12:03:38, S: 14:02:10;</t>
  </si>
  <si>
    <t>* E: 05:39:27, S: 05:39:56; E: 05:40:14, S: 16:30:00;</t>
  </si>
  <si>
    <t>E: 05:56:42, S: 08:53:40; E: 08:54:03, S: 11:15:55; E: 12:00:31, S: 13:46:37;</t>
  </si>
  <si>
    <t>E: 05:55:34, S: 11:15:46; E: 12:09:50, S: 13:45:14;</t>
  </si>
  <si>
    <t>E: 05:42:04, S: 11:15:49; E: 12:01:02, S: 13:44:44;</t>
  </si>
  <si>
    <t>E: 05:36:37, S: 11:15:10; E: 12:00:46, S: 13:46:18;</t>
  </si>
  <si>
    <t>E: 05:35:22, S: 11:15:17; E: 12:02:32, S: 14:45:05;</t>
  </si>
  <si>
    <t>E: 05:42:17, S: 11:01:29;</t>
  </si>
  <si>
    <t>E: 05:34:23, S: 11:16:37; E: 12:02:57, S: 13:45:07;</t>
  </si>
  <si>
    <t>E: 05:39:41, S: 11:15:41; E: 12:00:10, S: 13:45:44;</t>
  </si>
  <si>
    <t>E: 05:36:25, S: 11:15:13; E: 11:59:26, S: 13:45:18;</t>
  </si>
  <si>
    <t>E: 06:35:06, S: 12:15:49; E: 13:01:20, S: 14:46:27;</t>
  </si>
  <si>
    <t>E: 06:36:05, S: 12:15:11; E: 13:03:04, S: 14:45:24;</t>
  </si>
  <si>
    <t>E: 06:36:06, S: 11:58:19;</t>
  </si>
  <si>
    <t>E: 06:47:27, S: 12:15:55; E: 12:59:53, S: 14:45:12;</t>
  </si>
  <si>
    <t>E: 07:39:27, S: 12:15:08; E: 13:01:58, S: 16:30:00;</t>
  </si>
  <si>
    <t>E: 07:31:22, S: 12:15:34; E: 13:03:20, S: 16:30:00;</t>
  </si>
  <si>
    <t>E: 07:20:26, S: 12:15:58; E: 13:03:08, S: 16:30:00;</t>
  </si>
  <si>
    <t>E: 07:31:00, S: 11:51:41;</t>
  </si>
  <si>
    <t>E: 07:21:35, S: 12:15:10; E: 13:01:19, S: 16:30:00;</t>
  </si>
  <si>
    <t>Totales_Almacen</t>
  </si>
  <si>
    <t>Totales_La_Torre</t>
  </si>
  <si>
    <t>Totales_GOB_I</t>
  </si>
  <si>
    <t>Totales_GOB_II</t>
  </si>
  <si>
    <t>SS</t>
  </si>
  <si>
    <t>SEXO</t>
  </si>
  <si>
    <t>EDAD</t>
  </si>
  <si>
    <t>MUNICIPIO</t>
  </si>
  <si>
    <t>CP</t>
  </si>
  <si>
    <t>PERIODO DE PRUEBA</t>
  </si>
  <si>
    <t>Column27</t>
  </si>
  <si>
    <t>03/10437187/36</t>
  </si>
  <si>
    <t>PEÓN AGRICOLA</t>
  </si>
  <si>
    <t>M</t>
  </si>
  <si>
    <t>Tania.apolo75@gmail.com</t>
  </si>
  <si>
    <t>V</t>
  </si>
  <si>
    <t>hibatollah2010@gmail.com</t>
  </si>
  <si>
    <t>C/ROSA DE LOS VIENTOS, 22-1A</t>
  </si>
  <si>
    <t>Estefaniacatota1998@gmail.com</t>
  </si>
  <si>
    <t>MONSERRATE GUILABERT VALERO, Nº 43 03205 ELCHE</t>
  </si>
  <si>
    <t>ELCHE</t>
  </si>
  <si>
    <t>03/10919652-23</t>
  </si>
  <si>
    <t>ADMINISTRATIVO</t>
  </si>
  <si>
    <t>nachocuervaags@gmail.com</t>
  </si>
  <si>
    <t xml:space="preserve">C/CERDÁ,40-ÁTICO A </t>
  </si>
  <si>
    <t>manalerrahmouny98@gmail.com</t>
  </si>
  <si>
    <t>C/ROSA DE LOS VIENTOS, 22-4A</t>
  </si>
  <si>
    <t>30/10838678-00</t>
  </si>
  <si>
    <t>noureddinekarimkarim@gmail.com</t>
  </si>
  <si>
    <t>CL JUANITO EL MEJORANO 21 ESC B. MURCIA</t>
  </si>
  <si>
    <t>CALASPARRA</t>
  </si>
  <si>
    <t>C/CORREOS,14</t>
  </si>
  <si>
    <t>03/00824414-45</t>
  </si>
  <si>
    <t>aruizgonzalezlis@gmail.com</t>
  </si>
  <si>
    <t>C/NIEVES PINON,8-1ªA</t>
  </si>
  <si>
    <t>ALICANTE</t>
  </si>
  <si>
    <t>nikasm12@hotmail.com</t>
  </si>
  <si>
    <t xml:space="preserve">C/PABLO PICASSO,12 </t>
  </si>
  <si>
    <t>elcheemi@gmail.com</t>
  </si>
  <si>
    <t>CALLE AUSIAS MARCH 25 P05 1 CP 03206</t>
  </si>
  <si>
    <t>APLICADOR</t>
  </si>
  <si>
    <t>C/ALMIRANTE,15 (REBOLLEDO)</t>
  </si>
  <si>
    <t>04/10071817-49</t>
  </si>
  <si>
    <t>C/OBISPO CUBERO 6E /2-7-1</t>
  </si>
  <si>
    <t>ayadazraf@icloud.com</t>
  </si>
  <si>
    <t>C/MUSICO ALFONEA,3 BAJO PTA,C</t>
  </si>
  <si>
    <t>C/VIRGUEN DE AFFRICA,35 B-D</t>
  </si>
  <si>
    <t>29/11114163-21</t>
  </si>
  <si>
    <t>C/PINTOR PEREZ PIZARRO,12-5B</t>
  </si>
  <si>
    <t>03/10359583-32</t>
  </si>
  <si>
    <t>C/LA HIGUERA,10 2ºD</t>
  </si>
  <si>
    <t>04/10373739-10</t>
  </si>
  <si>
    <t>C/ESPERIDION 118 PO4</t>
  </si>
  <si>
    <t>03/00960300-34</t>
  </si>
  <si>
    <t>C/AGUILAS,43-1D</t>
  </si>
  <si>
    <t>04/1037952573T</t>
  </si>
  <si>
    <t>CALLE DOCTOR SAPENA  31 P04. ELCHE</t>
  </si>
  <si>
    <t>drihimebachir@gmail.com</t>
  </si>
  <si>
    <t>C/MANUEL RUIZ MAGRO,19 P.3</t>
  </si>
  <si>
    <t>03/10430957-14</t>
  </si>
  <si>
    <t>CL TRAVERTINO 1 P04D</t>
  </si>
  <si>
    <t>03/10597115-11</t>
  </si>
  <si>
    <t>C/ANTONIOBROTONSPASTOR,8 P.04</t>
  </si>
  <si>
    <t>C/SIRPENTENA,3 C2-D</t>
  </si>
  <si>
    <t>C/PUBLICISTA JOSE TARI,9-4D</t>
  </si>
  <si>
    <t>13/10159756-59</t>
  </si>
  <si>
    <t>ENCARGADO</t>
  </si>
  <si>
    <t>C/MUSICO JUAN MOLINA,3 -2ºA</t>
  </si>
  <si>
    <t>03/10776744-93</t>
  </si>
  <si>
    <t>C/velazquez, 9 -3A (monovar)</t>
  </si>
  <si>
    <t>MONOVAR</t>
  </si>
  <si>
    <t>03/10764956-42</t>
  </si>
  <si>
    <t>REGADOR-APLICADOR</t>
  </si>
  <si>
    <t>C/CONDE DE TORRELLANO,73 1ºA</t>
  </si>
  <si>
    <t>45/10229826-68</t>
  </si>
  <si>
    <t>C/JOSE GOMEZ MONPEAN,79 PO42</t>
  </si>
  <si>
    <t>jimenezmullormariabegona@gmail.com</t>
  </si>
  <si>
    <t>C/MAESTRO ALONSO, 96 P.3, 3A</t>
  </si>
  <si>
    <t>faridkad85@gmail.com</t>
  </si>
  <si>
    <t>C/JACINTO BENAVENTE,12 B.D.</t>
  </si>
  <si>
    <t>03/10543347-78</t>
  </si>
  <si>
    <t>C/TRAVERTINO,1- 4D</t>
  </si>
  <si>
    <t>50/10404400-59</t>
  </si>
  <si>
    <t>CL ARTURO SALVETTI PARD 32 3-2</t>
  </si>
  <si>
    <t>AVDA SEGARRA</t>
  </si>
  <si>
    <t>º</t>
  </si>
  <si>
    <t>hichamaymene2@gmail.com</t>
  </si>
  <si>
    <t>C/TENIENTEGANGA,25 P5-1</t>
  </si>
  <si>
    <t>03/10643554-84</t>
  </si>
  <si>
    <t>C/FELIPE PEDRELLE 11 P02-1</t>
  </si>
  <si>
    <t>03/10387578-91</t>
  </si>
  <si>
    <t>karen-castleo98@gmail.com</t>
  </si>
  <si>
    <t>C/poeta miguel hernandez,69 5º</t>
  </si>
  <si>
    <t>03/10714096-10</t>
  </si>
  <si>
    <t>C/GABRIEL PEREZ,23 2-4</t>
  </si>
  <si>
    <t>ALBATERA</t>
  </si>
  <si>
    <t>CUERVA BOIX, HÉCTOR</t>
  </si>
  <si>
    <t>CARRETILLERO</t>
  </si>
  <si>
    <t xml:space="preserve">C LOS ALAMOS 2 E4 P02 J </t>
  </si>
  <si>
    <t>SAN JUAN DE ALICANTE</t>
  </si>
  <si>
    <t>REGADOR</t>
  </si>
  <si>
    <t>BAJA VOLUNTARIA</t>
  </si>
  <si>
    <t>PEÓN</t>
  </si>
  <si>
    <t>03/10525770-58</t>
  </si>
  <si>
    <t>KATYY509P@GMAIL.COM</t>
  </si>
  <si>
    <t>C/POETA FERMIN LIMORT, 19 2G</t>
  </si>
  <si>
    <t>XX/XX/1969</t>
  </si>
  <si>
    <t>03/10314640-00</t>
  </si>
  <si>
    <t>antonioh537@hotmail.com</t>
  </si>
  <si>
    <t>C/NOVELDA,12 2ºD</t>
  </si>
  <si>
    <t>MUCHAMIEL</t>
  </si>
  <si>
    <t>03/10584809-24</t>
  </si>
  <si>
    <t>CL JOAQUIN GARCIA MORA 39 P6, 3</t>
  </si>
  <si>
    <t>03/10612350-17</t>
  </si>
  <si>
    <t>verojaya34@gmail.com</t>
  </si>
  <si>
    <t>C/JOSE BERNAD AMOROS,26</t>
  </si>
  <si>
    <t>03/10595203-39</t>
  </si>
  <si>
    <t>rosaleon201@gmail.com</t>
  </si>
  <si>
    <t>CL MANUEL DE LA MORENA 8 P02 01</t>
  </si>
  <si>
    <t>03/10656951-95</t>
  </si>
  <si>
    <t>dianalemache46@gmail.com</t>
  </si>
  <si>
    <t>PLAZA OBISPO ALMARCHA,8</t>
  </si>
  <si>
    <t>MENDOZA MENDOZA, MARIA GEORGINA</t>
  </si>
  <si>
    <t>03/11203773-31</t>
  </si>
  <si>
    <t xml:space="preserve">C/ FORTUNA 22 P03 D </t>
  </si>
  <si>
    <t>03/10626612/20</t>
  </si>
  <si>
    <t xml:space="preserve">CRER FRA PERE BALAGUER 0030 P05 ELCHE </t>
  </si>
  <si>
    <t>03/10816431-10</t>
  </si>
  <si>
    <t xml:space="preserve">C/PEDRO CANO IZQUIERDO, 43A </t>
  </si>
  <si>
    <t>03/10426322-35</t>
  </si>
  <si>
    <t>florindaneira3@gmail.com</t>
  </si>
  <si>
    <t>C/JUAN 23,6BAJO</t>
  </si>
  <si>
    <t>03/10606926-25</t>
  </si>
  <si>
    <t>nietomorantanya@gmail.com</t>
  </si>
  <si>
    <t>C/ALTOS MOROS,27</t>
  </si>
  <si>
    <t>LORQUI</t>
  </si>
  <si>
    <t>10/10086458-44</t>
  </si>
  <si>
    <t>evelingpanta@gmail.com</t>
  </si>
  <si>
    <t>C/MARIO PASTOR SEMPERE,74</t>
  </si>
  <si>
    <t>03/10433345-74</t>
  </si>
  <si>
    <t>jenypenarreta@gmail.com</t>
  </si>
  <si>
    <t>C/LUGO,10P.1</t>
  </si>
  <si>
    <t>03/11128441-68</t>
  </si>
  <si>
    <t>alinda.pinto2986@gmail.com</t>
  </si>
  <si>
    <t>C/NUEVA,10-3H</t>
  </si>
  <si>
    <t>03/10493721-19</t>
  </si>
  <si>
    <t>pullaguarifanny@gmail.com</t>
  </si>
  <si>
    <t>C/NUÑEZ BALBOA,2-2ºA</t>
  </si>
  <si>
    <t>SAN VICENTE DEL RASPEIG</t>
  </si>
  <si>
    <t>03/10778265-62</t>
  </si>
  <si>
    <t>pumaqueroambo@gmail.com</t>
  </si>
  <si>
    <t>C/ALFONSO,12 BAJO IZQ</t>
  </si>
  <si>
    <t>03/10778471/74</t>
  </si>
  <si>
    <t xml:space="preserve">CMNO. MULAGAR 2 P01 G. </t>
  </si>
  <si>
    <t>REDOVAN</t>
  </si>
  <si>
    <t>03/10078116-59</t>
  </si>
  <si>
    <t>1977angelrodriguez@gmail.com</t>
  </si>
  <si>
    <t>C/DE LA HUERTA 144 P3-A</t>
  </si>
  <si>
    <t>03/10580115-83</t>
  </si>
  <si>
    <t xml:space="preserve">C/FORCAL,6 </t>
  </si>
  <si>
    <t>XX/XX/1973</t>
  </si>
  <si>
    <t>03/10688227/40</t>
  </si>
  <si>
    <t xml:space="preserve">C SAN JUAN 33 ALBATERA </t>
  </si>
  <si>
    <t>03/00967111-55</t>
  </si>
  <si>
    <t>teruelcandido@gmail.com</t>
  </si>
  <si>
    <t>C/SAN JOSE,64 1ºA</t>
  </si>
  <si>
    <t>03/10847273-06</t>
  </si>
  <si>
    <t>rosanamichala2016@gmail.com</t>
  </si>
  <si>
    <t>C/ 12 DE OCTUBRE,8 1ºA</t>
  </si>
  <si>
    <t>ORIHUELA</t>
  </si>
  <si>
    <t>03/10819465-37</t>
  </si>
  <si>
    <t>cristiansanchez5@gmail.com</t>
  </si>
  <si>
    <t>C/MARIO PASTOR SEMPERE 14 P04</t>
  </si>
  <si>
    <t>03/11538290-92</t>
  </si>
  <si>
    <t>asuncionali78@gmail.com</t>
  </si>
  <si>
    <t>C/VICARI SAMUEL RIQUELME,16 P03D</t>
  </si>
  <si>
    <t>03/11358962-20</t>
  </si>
  <si>
    <t>CL DOCTOR FLEMING 64 3B</t>
  </si>
  <si>
    <t>03/10369531-86</t>
  </si>
  <si>
    <t>lennyara63@gmail.com</t>
  </si>
  <si>
    <t>C/ANTONIO MORA FERNANDEZ,38</t>
  </si>
  <si>
    <t>03/10891423-21</t>
  </si>
  <si>
    <t>CL JOSE GOMEZ MOMPEAN 27 P01 03</t>
  </si>
  <si>
    <t xml:space="preserve">DAQUILEMA AUCACAMA MARIA ESCOLASTICA </t>
  </si>
  <si>
    <t>31058985829</t>
  </si>
  <si>
    <t>yassinoda11361@gmail.com</t>
  </si>
  <si>
    <t>C/GRANADA,26 B-D</t>
  </si>
  <si>
    <t>mimounelmousaoui218@gmail.com</t>
  </si>
  <si>
    <t>C/CARMELO SERRANO GAIZLIA B44P.1</t>
  </si>
  <si>
    <t>03/11153958-74</t>
  </si>
  <si>
    <t>houdaneabdessamad2408@gmail.com</t>
  </si>
  <si>
    <t>C/JOSE GOMEZ MOMPARI,76 P12 P13</t>
  </si>
  <si>
    <t>30/10297252-28</t>
  </si>
  <si>
    <t xml:space="preserve">CL SAN JUAN 35 BJ </t>
  </si>
  <si>
    <t>03/10585007-28</t>
  </si>
  <si>
    <t>CL URUGUAY 18 P02 IZ</t>
  </si>
  <si>
    <t>SAX</t>
  </si>
  <si>
    <t>03/10585009-30</t>
  </si>
  <si>
    <t>misschikillojeanca2008@gmail.com</t>
  </si>
  <si>
    <t>C/VICARI SAMUEL RIQUELME,16 2D</t>
  </si>
  <si>
    <t>03/10414641-91</t>
  </si>
  <si>
    <t>elaouiiman786@gmail.com</t>
  </si>
  <si>
    <t>C/ROMAN BONO MARIN,14 P03 P.1</t>
  </si>
  <si>
    <t>03/10589907-78</t>
  </si>
  <si>
    <t>CL SAN MIGUEL 3 P01 DR</t>
  </si>
  <si>
    <t>03/11462220-70</t>
  </si>
  <si>
    <t>CL RUIZ CAPDEPON 2 P05A</t>
  </si>
  <si>
    <t>03/10604071-80</t>
  </si>
  <si>
    <t>paquimen76@gmail.com</t>
  </si>
  <si>
    <t>CL LABRADOR 4 P01C</t>
  </si>
  <si>
    <t>CALLE MARIA GUERRERO 46 P1 C. ALICANTE</t>
  </si>
  <si>
    <t>03/10227540-06</t>
  </si>
  <si>
    <t>noeliaromaerovergara@gmail.com</t>
  </si>
  <si>
    <t>C/MUSICO MAESTRO GUERRERO,35</t>
  </si>
  <si>
    <t>03/10540387-28</t>
  </si>
  <si>
    <t>venus_nohamy@hotmail.com</t>
  </si>
  <si>
    <t>C/MARIO PASTOR SEMPERE,14 3ºIZQ</t>
  </si>
  <si>
    <t>03/10595376-18</t>
  </si>
  <si>
    <t>marisaquisilli1981@gmail.com</t>
  </si>
  <si>
    <t>C/SAN PANCRACIO,1 P.1-DERCH</t>
  </si>
  <si>
    <t>03/10612287-51</t>
  </si>
  <si>
    <t>03/11587149-63</t>
  </si>
  <si>
    <t>C/JOSE GOMEZ MOMPEAN, 27 P01-3</t>
  </si>
  <si>
    <t>30/10438047-76</t>
  </si>
  <si>
    <t xml:space="preserve">CL ALFONSO XIII LA MURA 28 BJ </t>
  </si>
  <si>
    <t>38/10182383-73</t>
  </si>
  <si>
    <t>DIRECTOR FINANCIERO</t>
  </si>
  <si>
    <t>03/00869472-95</t>
  </si>
  <si>
    <t>GERENTE</t>
  </si>
  <si>
    <t>03/10368686-17</t>
  </si>
  <si>
    <t>TECNICO DE CALIDAD</t>
  </si>
  <si>
    <t xml:space="preserve">CL ECUADOR  13 </t>
  </si>
  <si>
    <t>03/10183868-81</t>
  </si>
  <si>
    <t>TECNICO DE CULTIVO</t>
  </si>
  <si>
    <t>TÉCNICO RRHH Y PRL</t>
  </si>
  <si>
    <t>alciragarcia@gmail.com</t>
  </si>
  <si>
    <t>CAMINO COLONIA ROMANA 20 3B</t>
  </si>
  <si>
    <t>Altas inicio campaña</t>
  </si>
  <si>
    <t>ALTA/BAJA REAL</t>
  </si>
  <si>
    <t xml:space="preserve">POR SALIR </t>
  </si>
  <si>
    <t>BAJA VOLUNTARIA para 20/08</t>
  </si>
  <si>
    <t>FD contactar en 2-3 meses campaña tomate</t>
  </si>
  <si>
    <t>BAJA POR PP</t>
  </si>
  <si>
    <t>Baja IT 345+180 dias</t>
  </si>
  <si>
    <t>RUTAS</t>
  </si>
  <si>
    <t>TRABAJADORES</t>
  </si>
  <si>
    <t>C:\Users\migue\Documents\TomatesLis\20240801_PERSONAL TOMATES LIS ACTUAL.xlsx</t>
  </si>
  <si>
    <t>FICHAJE</t>
  </si>
  <si>
    <t>MOBIBUK</t>
  </si>
  <si>
    <t>C:\Users\migue\Documents\TomatesLis\MOBIBUK.xlsm</t>
  </si>
  <si>
    <t>Mínimo de BAJA</t>
  </si>
  <si>
    <t>Máximo de ALTA</t>
  </si>
  <si>
    <t>VENCE ALTA</t>
  </si>
  <si>
    <t xml:space="preserve">QUEDAN </t>
  </si>
  <si>
    <t>VENCE BAJA</t>
  </si>
  <si>
    <t>FALTAN</t>
  </si>
  <si>
    <t>Apellidos, Nombre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</si>
</sst>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€&quot;* #,##0.00_);_(&quot;€&quot;* \(#,##0.00\);_(&quot;€&quot;* &quot;-&quot;??_);_(@_)"/>
    <numFmt numFmtId="165" formatCode="0.0"/>
    <numFmt numFmtId="166" formatCode="0.000"/>
    <numFmt numFmtId="167" formatCode="#,##0.00\ &quot;€&quot;"/>
    <numFmt numFmtId="168" formatCode="#,##0.0"/>
    <numFmt numFmtId="169" formatCode="_(&quot;€&quot;* #,##0.00_);_(&quot;€&quot;* \(#,##0.00\);_(&quot;€&quot;* &quot; - &quot;??_);_(@_)"/>
  </numFmts>
  <fonts count="2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u/>
      <sz val="14"/>
      <color theme="1"/>
      <name val="Aptos Narrow"/>
      <family val="2"/>
      <scheme val="minor"/>
    </font>
    <font>
      <sz val="10"/>
      <color theme="1"/>
      <name val="Arial"/>
      <family val="2"/>
    </font>
    <font>
      <sz val="12"/>
      <color theme="1"/>
      <name val="Aptos Narrow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sz val="11"/>
      <color rgb="FFFF0000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rgb="FFFF0000"/>
      <name val="Arial"/>
      <family val="2"/>
    </font>
    <font>
      <sz val="10"/>
      <color rgb="FFFF000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0"/>
      <color rgb="FFC00000"/>
      <name val="Arial"/>
      <family val="2"/>
    </font>
    <font>
      <b/>
      <sz val="8"/>
      <name val="Arial"/>
      <family val="2"/>
    </font>
    <font>
      <sz val="11"/>
      <name val="Aptos Narrow"/>
      <family val="2"/>
      <scheme val="minor"/>
    </font>
    <font>
      <sz val="11"/>
      <color rgb="FFCDCDCD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AB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E2D5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FFFFFF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05">
    <xf numFmtId="0" fontId="0" fillId="0" borderId="0" xfId="0"/>
    <xf numFmtId="0" fontId="0" fillId="2" borderId="0" xfId="0" applyFill="1"/>
    <xf numFmtId="0" fontId="5" fillId="2" borderId="0" xfId="0" applyFont="1" applyFill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164" fontId="5" fillId="2" borderId="1" xfId="0" applyNumberFormat="1" applyFont="1" applyFill="1" applyBorder="1"/>
    <xf numFmtId="2" fontId="5" fillId="2" borderId="0" xfId="0" applyNumberFormat="1" applyFont="1" applyFill="1"/>
    <xf numFmtId="0" fontId="5" fillId="0" borderId="1" xfId="0" applyFont="1" applyBorder="1"/>
    <xf numFmtId="164" fontId="0" fillId="2" borderId="0" xfId="0" applyNumberFormat="1" applyFill="1"/>
    <xf numFmtId="0" fontId="12" fillId="2" borderId="0" xfId="0" applyFont="1" applyFill="1" applyAlignment="1">
      <alignment horizontal="center"/>
    </xf>
    <xf numFmtId="0" fontId="12" fillId="2" borderId="20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12" fillId="2" borderId="13" xfId="0" applyFont="1" applyFill="1" applyBorder="1" applyAlignment="1">
      <alignment horizontal="center"/>
    </xf>
    <xf numFmtId="0" fontId="16" fillId="6" borderId="5" xfId="0" applyFont="1" applyFill="1" applyBorder="1"/>
    <xf numFmtId="0" fontId="0" fillId="2" borderId="25" xfId="0" applyFill="1" applyBorder="1"/>
    <xf numFmtId="0" fontId="0" fillId="2" borderId="26" xfId="0" applyFill="1" applyBorder="1" applyAlignment="1">
      <alignment horizontal="center"/>
    </xf>
    <xf numFmtId="0" fontId="0" fillId="2" borderId="29" xfId="0" applyFill="1" applyBorder="1"/>
    <xf numFmtId="0" fontId="12" fillId="2" borderId="12" xfId="0" applyFont="1" applyFill="1" applyBorder="1" applyAlignment="1">
      <alignment horizontal="center"/>
    </xf>
    <xf numFmtId="0" fontId="12" fillId="2" borderId="29" xfId="0" applyFont="1" applyFill="1" applyBorder="1" applyAlignment="1">
      <alignment horizontal="center"/>
    </xf>
    <xf numFmtId="0" fontId="0" fillId="2" borderId="1" xfId="0" applyFill="1" applyBorder="1"/>
    <xf numFmtId="0" fontId="2" fillId="2" borderId="1" xfId="0" applyFont="1" applyFill="1" applyBorder="1"/>
    <xf numFmtId="0" fontId="4" fillId="0" borderId="1" xfId="0" quotePrefix="1" applyFont="1" applyBorder="1" applyAlignment="1">
      <alignment vertical="center"/>
    </xf>
    <xf numFmtId="165" fontId="5" fillId="5" borderId="1" xfId="0" applyNumberFormat="1" applyFont="1" applyFill="1" applyBorder="1"/>
    <xf numFmtId="164" fontId="5" fillId="2" borderId="0" xfId="0" applyNumberFormat="1" applyFont="1" applyFill="1"/>
    <xf numFmtId="2" fontId="5" fillId="2" borderId="1" xfId="0" applyNumberFormat="1" applyFont="1" applyFill="1" applyBorder="1"/>
    <xf numFmtId="166" fontId="5" fillId="2" borderId="0" xfId="0" applyNumberFormat="1" applyFont="1" applyFill="1"/>
    <xf numFmtId="3" fontId="5" fillId="2" borderId="0" xfId="0" applyNumberFormat="1" applyFont="1" applyFill="1"/>
    <xf numFmtId="167" fontId="5" fillId="2" borderId="0" xfId="0" applyNumberFormat="1" applyFont="1" applyFill="1"/>
    <xf numFmtId="9" fontId="5" fillId="2" borderId="0" xfId="1" applyFont="1" applyFill="1"/>
    <xf numFmtId="0" fontId="8" fillId="2" borderId="1" xfId="0" applyFont="1" applyFill="1" applyBorder="1"/>
    <xf numFmtId="0" fontId="11" fillId="0" borderId="1" xfId="0" quotePrefix="1" applyFont="1" applyBorder="1" applyAlignment="1">
      <alignment vertical="center"/>
    </xf>
    <xf numFmtId="0" fontId="2" fillId="0" borderId="1" xfId="0" quotePrefix="1" applyFont="1" applyBorder="1" applyAlignment="1">
      <alignment vertical="center"/>
    </xf>
    <xf numFmtId="0" fontId="11" fillId="2" borderId="1" xfId="0" applyFont="1" applyFill="1" applyBorder="1"/>
    <xf numFmtId="165" fontId="5" fillId="3" borderId="1" xfId="0" applyNumberFormat="1" applyFont="1" applyFill="1" applyBorder="1"/>
    <xf numFmtId="165" fontId="5" fillId="4" borderId="1" xfId="0" applyNumberFormat="1" applyFont="1" applyFill="1" applyBorder="1"/>
    <xf numFmtId="0" fontId="9" fillId="0" borderId="1" xfId="0" applyFont="1" applyBorder="1"/>
    <xf numFmtId="0" fontId="7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5" fillId="0" borderId="1" xfId="0" applyFont="1" applyBorder="1" applyAlignment="1">
      <alignment horizontal="left" vertical="center" shrinkToFit="1"/>
    </xf>
    <xf numFmtId="4" fontId="5" fillId="2" borderId="1" xfId="0" applyNumberFormat="1" applyFont="1" applyFill="1" applyBorder="1"/>
    <xf numFmtId="167" fontId="5" fillId="2" borderId="1" xfId="0" applyNumberFormat="1" applyFont="1" applyFill="1" applyBorder="1"/>
    <xf numFmtId="10" fontId="5" fillId="2" borderId="0" xfId="1" applyNumberFormat="1" applyFont="1" applyFill="1"/>
    <xf numFmtId="4" fontId="5" fillId="2" borderId="0" xfId="0" applyNumberFormat="1" applyFont="1" applyFill="1"/>
    <xf numFmtId="0" fontId="11" fillId="0" borderId="1" xfId="0" applyFont="1" applyBorder="1"/>
    <xf numFmtId="0" fontId="9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 vertical="center"/>
    </xf>
    <xf numFmtId="0" fontId="9" fillId="2" borderId="1" xfId="0" applyFont="1" applyFill="1" applyBorder="1"/>
    <xf numFmtId="0" fontId="7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0" fontId="5" fillId="6" borderId="1" xfId="0" applyFont="1" applyFill="1" applyBorder="1"/>
    <xf numFmtId="0" fontId="9" fillId="6" borderId="1" xfId="0" applyFont="1" applyFill="1" applyBorder="1"/>
    <xf numFmtId="164" fontId="5" fillId="3" borderId="1" xfId="3" applyFont="1" applyFill="1" applyBorder="1"/>
    <xf numFmtId="164" fontId="5" fillId="4" borderId="1" xfId="3" applyFont="1" applyFill="1" applyBorder="1"/>
    <xf numFmtId="164" fontId="5" fillId="5" borderId="1" xfId="3" applyFont="1" applyFill="1" applyBorder="1"/>
    <xf numFmtId="164" fontId="5" fillId="2" borderId="1" xfId="3" applyFont="1" applyFill="1" applyBorder="1"/>
    <xf numFmtId="0" fontId="0" fillId="7" borderId="1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7" borderId="0" xfId="0" applyFill="1"/>
    <xf numFmtId="0" fontId="0" fillId="2" borderId="24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5" fillId="2" borderId="0" xfId="0" applyFont="1" applyFill="1" applyAlignment="1">
      <alignment horizontal="right"/>
    </xf>
    <xf numFmtId="0" fontId="12" fillId="0" borderId="0" xfId="0" applyFont="1" applyAlignment="1">
      <alignment horizontal="right"/>
    </xf>
    <xf numFmtId="3" fontId="12" fillId="0" borderId="0" xfId="0" applyNumberFormat="1" applyFont="1" applyAlignment="1">
      <alignment horizontal="right"/>
    </xf>
    <xf numFmtId="0" fontId="5" fillId="2" borderId="30" xfId="0" applyFont="1" applyFill="1" applyBorder="1" applyAlignment="1">
      <alignment horizontal="right"/>
    </xf>
    <xf numFmtId="168" fontId="5" fillId="2" borderId="0" xfId="0" applyNumberFormat="1" applyFont="1" applyFill="1"/>
    <xf numFmtId="168" fontId="5" fillId="2" borderId="30" xfId="0" applyNumberFormat="1" applyFont="1" applyFill="1" applyBorder="1"/>
    <xf numFmtId="168" fontId="5" fillId="2" borderId="0" xfId="0" applyNumberFormat="1" applyFont="1" applyFill="1" applyAlignment="1">
      <alignment horizontal="right"/>
    </xf>
    <xf numFmtId="3" fontId="5" fillId="2" borderId="0" xfId="0" applyNumberFormat="1" applyFont="1" applyFill="1" applyAlignment="1">
      <alignment horizontal="right"/>
    </xf>
    <xf numFmtId="0" fontId="14" fillId="2" borderId="0" xfId="0" applyFont="1" applyFill="1" applyAlignment="1">
      <alignment horizontal="right"/>
    </xf>
    <xf numFmtId="0" fontId="0" fillId="5" borderId="1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0" xfId="0" applyFill="1"/>
    <xf numFmtId="0" fontId="0" fillId="2" borderId="34" xfId="0" applyFill="1" applyBorder="1" applyAlignment="1">
      <alignment horizontal="center"/>
    </xf>
    <xf numFmtId="0" fontId="17" fillId="0" borderId="0" xfId="0" applyFont="1" applyProtection="1">
      <protection hidden="1"/>
    </xf>
    <xf numFmtId="0" fontId="18" fillId="0" borderId="0" xfId="0" applyFont="1"/>
    <xf numFmtId="0" fontId="17" fillId="0" borderId="0" xfId="0" applyFont="1"/>
    <xf numFmtId="0" fontId="18" fillId="0" borderId="0" xfId="0" applyFont="1" applyAlignment="1">
      <alignment horizontal="right"/>
    </xf>
    <xf numFmtId="0" fontId="18" fillId="0" borderId="30" xfId="0" applyFont="1" applyBorder="1"/>
    <xf numFmtId="0" fontId="20" fillId="0" borderId="0" xfId="0" applyFont="1"/>
    <xf numFmtId="0" fontId="18" fillId="0" borderId="0" xfId="0" applyFont="1" applyAlignment="1">
      <alignment horizontal="center"/>
    </xf>
    <xf numFmtId="0" fontId="18" fillId="0" borderId="37" xfId="0" applyFont="1" applyBorder="1" applyAlignment="1">
      <alignment horizontal="center"/>
    </xf>
    <xf numFmtId="3" fontId="2" fillId="0" borderId="30" xfId="0" applyNumberFormat="1" applyFont="1" applyBorder="1" applyProtection="1">
      <protection locked="0"/>
    </xf>
    <xf numFmtId="0" fontId="2" fillId="0" borderId="0" xfId="0" applyFont="1"/>
    <xf numFmtId="0" fontId="17" fillId="0" borderId="35" xfId="0" applyFont="1" applyBorder="1"/>
    <xf numFmtId="0" fontId="17" fillId="0" borderId="0" xfId="0" applyFont="1" applyProtection="1">
      <protection locked="0"/>
    </xf>
    <xf numFmtId="0" fontId="0" fillId="2" borderId="33" xfId="0" applyFill="1" applyBorder="1"/>
    <xf numFmtId="0" fontId="0" fillId="2" borderId="38" xfId="0" applyFill="1" applyBorder="1" applyAlignment="1">
      <alignment horizontal="center"/>
    </xf>
    <xf numFmtId="0" fontId="12" fillId="6" borderId="5" xfId="0" applyFont="1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2" borderId="40" xfId="0" applyFill="1" applyBorder="1" applyAlignment="1">
      <alignment horizontal="center"/>
    </xf>
    <xf numFmtId="0" fontId="0" fillId="2" borderId="41" xfId="0" applyFill="1" applyBorder="1" applyAlignment="1">
      <alignment horizontal="center"/>
    </xf>
    <xf numFmtId="0" fontId="0" fillId="2" borderId="42" xfId="0" applyFill="1" applyBorder="1" applyAlignment="1">
      <alignment horizontal="center"/>
    </xf>
    <xf numFmtId="0" fontId="0" fillId="5" borderId="40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0" fillId="7" borderId="4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12" fillId="6" borderId="28" xfId="0" applyFont="1" applyFill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12" borderId="0" xfId="0" applyFill="1"/>
    <xf numFmtId="0" fontId="0" fillId="6" borderId="0" xfId="0" applyFill="1"/>
    <xf numFmtId="0" fontId="21" fillId="8" borderId="0" xfId="0" applyFont="1" applyFill="1"/>
    <xf numFmtId="0" fontId="0" fillId="0" borderId="0" xfId="0" applyAlignment="1">
      <alignment horizontal="right"/>
    </xf>
    <xf numFmtId="0" fontId="0" fillId="13" borderId="0" xfId="0" applyFill="1" applyAlignment="1">
      <alignment horizontal="center"/>
    </xf>
    <xf numFmtId="0" fontId="0" fillId="13" borderId="0" xfId="0" applyFill="1"/>
    <xf numFmtId="0" fontId="0" fillId="14" borderId="1" xfId="0" applyFill="1" applyBorder="1" applyAlignment="1">
      <alignment horizontal="center" vertical="center"/>
    </xf>
    <xf numFmtId="0" fontId="18" fillId="0" borderId="0" xfId="0" applyFont="1" applyAlignment="1">
      <alignment horizontal="left"/>
    </xf>
    <xf numFmtId="49" fontId="18" fillId="0" borderId="0" xfId="0" applyNumberFormat="1" applyFont="1" applyAlignment="1">
      <alignment horizontal="left"/>
    </xf>
    <xf numFmtId="49" fontId="2" fillId="9" borderId="0" xfId="0" applyNumberFormat="1" applyFont="1" applyFill="1" applyAlignment="1" applyProtection="1">
      <alignment horizontal="left"/>
      <protection locked="0"/>
    </xf>
    <xf numFmtId="49" fontId="18" fillId="10" borderId="0" xfId="0" applyNumberFormat="1" applyFont="1" applyFill="1" applyAlignment="1">
      <alignment horizontal="left"/>
    </xf>
    <xf numFmtId="49" fontId="2" fillId="15" borderId="0" xfId="0" applyNumberFormat="1" applyFont="1" applyFill="1" applyAlignment="1" applyProtection="1">
      <alignment horizontal="left"/>
      <protection locked="0"/>
    </xf>
    <xf numFmtId="49" fontId="18" fillId="11" borderId="0" xfId="0" applyNumberFormat="1" applyFont="1" applyFill="1" applyAlignment="1">
      <alignment horizontal="left"/>
    </xf>
    <xf numFmtId="49" fontId="19" fillId="10" borderId="0" xfId="0" applyNumberFormat="1" applyFont="1" applyFill="1" applyAlignment="1">
      <alignment horizontal="left"/>
    </xf>
    <xf numFmtId="0" fontId="19" fillId="0" borderId="0" xfId="0" applyFont="1" applyAlignment="1">
      <alignment horizontal="left"/>
    </xf>
    <xf numFmtId="0" fontId="18" fillId="0" borderId="30" xfId="0" applyFont="1" applyBorder="1" applyAlignment="1">
      <alignment horizontal="left"/>
    </xf>
    <xf numFmtId="0" fontId="18" fillId="0" borderId="36" xfId="0" applyFont="1" applyBorder="1" applyAlignment="1">
      <alignment horizontal="center"/>
    </xf>
    <xf numFmtId="3" fontId="2" fillId="0" borderId="30" xfId="0" applyNumberFormat="1" applyFont="1" applyBorder="1" applyAlignment="1" applyProtection="1">
      <alignment horizontal="left"/>
      <protection locked="0"/>
    </xf>
    <xf numFmtId="0" fontId="17" fillId="0" borderId="0" xfId="0" applyFont="1" applyAlignment="1" applyProtection="1">
      <alignment horizontal="left"/>
      <protection locked="0"/>
    </xf>
    <xf numFmtId="0" fontId="17" fillId="10" borderId="0" xfId="0" applyFont="1" applyFill="1" applyProtection="1">
      <protection hidden="1"/>
    </xf>
    <xf numFmtId="0" fontId="18" fillId="10" borderId="0" xfId="0" applyFont="1" applyFill="1"/>
    <xf numFmtId="0" fontId="17" fillId="10" borderId="0" xfId="0" applyFont="1" applyFill="1"/>
    <xf numFmtId="0" fontId="18" fillId="10" borderId="0" xfId="0" applyFont="1" applyFill="1" applyAlignment="1">
      <alignment horizontal="right"/>
    </xf>
    <xf numFmtId="0" fontId="18" fillId="10" borderId="0" xfId="0" applyFont="1" applyFill="1" applyAlignment="1">
      <alignment horizontal="left"/>
    </xf>
    <xf numFmtId="0" fontId="18" fillId="10" borderId="30" xfId="0" applyFont="1" applyFill="1" applyBorder="1"/>
    <xf numFmtId="0" fontId="17" fillId="10" borderId="30" xfId="0" applyFont="1" applyFill="1" applyBorder="1"/>
    <xf numFmtId="0" fontId="18" fillId="0" borderId="30" xfId="0" applyFont="1" applyBorder="1" applyAlignment="1">
      <alignment horizontal="center"/>
    </xf>
    <xf numFmtId="0" fontId="18" fillId="0" borderId="45" xfId="0" applyFont="1" applyBorder="1" applyAlignment="1">
      <alignment horizontal="center"/>
    </xf>
    <xf numFmtId="0" fontId="20" fillId="10" borderId="0" xfId="0" applyFont="1" applyFill="1"/>
    <xf numFmtId="1" fontId="17" fillId="0" borderId="0" xfId="0" applyNumberFormat="1" applyFont="1" applyProtection="1">
      <protection locked="0"/>
    </xf>
    <xf numFmtId="0" fontId="0" fillId="0" borderId="1" xfId="0" applyBorder="1"/>
    <xf numFmtId="2" fontId="0" fillId="0" borderId="1" xfId="0" applyNumberForma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5" fillId="0" borderId="14" xfId="0" applyFont="1" applyBorder="1" applyAlignment="1">
      <alignment horizontal="center"/>
    </xf>
    <xf numFmtId="0" fontId="15" fillId="0" borderId="15" xfId="0" applyFont="1" applyBorder="1" applyAlignment="1">
      <alignment horizontal="center"/>
    </xf>
    <xf numFmtId="0" fontId="15" fillId="0" borderId="16" xfId="0" applyFont="1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19" xfId="0" applyFont="1" applyBorder="1" applyAlignment="1">
      <alignment horizontal="center"/>
    </xf>
    <xf numFmtId="165" fontId="5" fillId="17" borderId="1" xfId="0" applyNumberFormat="1" applyFont="1" applyFill="1" applyBorder="1"/>
    <xf numFmtId="165" fontId="5" fillId="18" borderId="1" xfId="0" applyNumberFormat="1" applyFont="1" applyFill="1" applyBorder="1"/>
    <xf numFmtId="165" fontId="5" fillId="19" borderId="1" xfId="0" applyNumberFormat="1" applyFont="1" applyFill="1" applyBorder="1"/>
    <xf numFmtId="169" fontId="5" fillId="17" borderId="1" xfId="0" applyNumberFormat="1" applyFont="1" applyFill="1" applyBorder="1"/>
    <xf numFmtId="169" fontId="5" fillId="18" borderId="1" xfId="0" applyNumberFormat="1" applyFont="1" applyFill="1" applyBorder="1"/>
    <xf numFmtId="169" fontId="5" fillId="19" borderId="1" xfId="0" applyNumberFormat="1" applyFont="1" applyFill="1" applyBorder="1"/>
    <xf numFmtId="169" fontId="5" fillId="17" borderId="1" xfId="3" applyNumberFormat="1" applyFont="1" applyFill="1" applyBorder="1"/>
    <xf numFmtId="169" fontId="5" fillId="18" borderId="1" xfId="3" applyNumberFormat="1" applyFont="1" applyFill="1" applyBorder="1"/>
    <xf numFmtId="169" fontId="5" fillId="19" borderId="1" xfId="3" applyNumberFormat="1" applyFont="1" applyFill="1" applyBorder="1"/>
    <xf numFmtId="164" fontId="5" fillId="20" borderId="1" xfId="0" applyNumberFormat="1" applyFont="1" applyFill="1" applyBorder="1"/>
    <xf numFmtId="165" fontId="5" fillId="2" borderId="1" xfId="0" applyNumberFormat="1" applyFont="1" applyFill="1" applyBorder="1"/>
    <xf numFmtId="0" fontId="24" fillId="2" borderId="0" xfId="0" applyFont="1" applyFill="1"/>
    <xf numFmtId="0" fontId="15" fillId="7" borderId="18" xfId="0" applyFont="1" applyFill="1" applyBorder="1" applyAlignment="1">
      <alignment horizontal="center"/>
    </xf>
    <xf numFmtId="0" fontId="0" fillId="7" borderId="18" xfId="0" applyFill="1" applyBorder="1" applyAlignment="1">
      <alignment horizontal="center"/>
    </xf>
    <xf numFmtId="0" fontId="15" fillId="5" borderId="18" xfId="0" applyFon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horizontal="right"/>
    </xf>
    <xf numFmtId="0" fontId="5" fillId="2" borderId="1" xfId="0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2" fontId="5" fillId="2" borderId="3" xfId="0" applyNumberFormat="1" applyFont="1" applyFill="1" applyBorder="1" applyAlignment="1">
      <alignment horizontal="center"/>
    </xf>
    <xf numFmtId="2" fontId="5" fillId="2" borderId="4" xfId="0" applyNumberFormat="1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2" fontId="14" fillId="2" borderId="1" xfId="0" applyNumberFormat="1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168" fontId="5" fillId="2" borderId="0" xfId="0" applyNumberFormat="1" applyFont="1" applyFill="1" applyAlignment="1">
      <alignment horizontal="right"/>
    </xf>
    <xf numFmtId="0" fontId="18" fillId="0" borderId="30" xfId="0" applyFont="1" applyBorder="1" applyAlignment="1">
      <alignment horizontal="center"/>
    </xf>
    <xf numFmtId="0" fontId="18" fillId="0" borderId="45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2" fillId="14" borderId="27" xfId="0" applyFont="1" applyFill="1" applyBorder="1" applyAlignment="1">
      <alignment horizontal="center" vertical="center"/>
    </xf>
    <xf numFmtId="0" fontId="12" fillId="14" borderId="23" xfId="0" applyFont="1" applyFill="1" applyBorder="1" applyAlignment="1">
      <alignment horizontal="center" vertical="center"/>
    </xf>
    <xf numFmtId="0" fontId="12" fillId="14" borderId="1" xfId="0" applyFont="1" applyFill="1" applyBorder="1" applyAlignment="1">
      <alignment horizontal="center" vertical="center"/>
    </xf>
    <xf numFmtId="0" fontId="22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0" fillId="0" borderId="8" xfId="0" applyBorder="1" applyAlignment="1">
      <alignment horizontal="center" vertical="justify"/>
    </xf>
    <xf numFmtId="0" fontId="0" fillId="0" borderId="13" xfId="0" applyBorder="1" applyAlignment="1">
      <alignment horizontal="center" vertical="justify"/>
    </xf>
    <xf numFmtId="0" fontId="0" fillId="0" borderId="44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2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14" borderId="1" xfId="0" applyFill="1" applyBorder="1" applyAlignment="1">
      <alignment horizontal="center" vertical="center" wrapText="1"/>
    </xf>
    <xf numFmtId="0" fontId="0" fillId="14" borderId="1" xfId="0" applyFill="1" applyBorder="1" applyAlignment="1">
      <alignment horizontal="center"/>
    </xf>
    <xf numFmtId="0" fontId="0" fillId="16" borderId="1" xfId="0" applyFill="1" applyBorder="1" applyAlignment="1">
      <alignment horizontal="center" vertical="center"/>
    </xf>
    <xf numFmtId="0" fontId="0" fillId="0" borderId="27" xfId="0" applyBorder="1" applyAlignment="1">
      <alignment horizontal="center" vertical="center" textRotation="90"/>
    </xf>
    <xf numFmtId="0" fontId="0" fillId="0" borderId="32" xfId="0" applyBorder="1" applyAlignment="1">
      <alignment horizontal="center" vertical="center" textRotation="90"/>
    </xf>
    <xf numFmtId="0" fontId="0" fillId="0" borderId="23" xfId="0" applyBorder="1" applyAlignment="1">
      <alignment horizontal="center" vertical="center" textRotation="90"/>
    </xf>
    <xf numFmtId="0" fontId="0" fillId="0" borderId="0" xfId="0" applyNumberFormat="1"/>
  </cellXfs>
  <cellStyles count="4">
    <cellStyle name="Currency 2" xfId="2" xr:uid="{D126C48A-48B0-482A-B155-0202E8173C9C}"/>
    <cellStyle name="Moneda" xfId="3" builtinId="4"/>
    <cellStyle name="Normal" xfId="0" builtinId="0"/>
    <cellStyle name="Porcentaje" xfId="1" builtinId="5"/>
  </cellStyles>
  <dxfs count="69"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CCFFFF"/>
      <color rgb="FFCCFFCC"/>
      <color rgb="FFFFFFCC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28</xdr:row>
          <xdr:rowOff>0</xdr:rowOff>
        </xdr:from>
        <xdr:to>
          <xdr:col>14</xdr:col>
          <xdr:colOff>0</xdr:colOff>
          <xdr:row>30</xdr:row>
          <xdr:rowOff>19050</xdr:rowOff>
        </xdr:to>
        <xdr:sp macro="" textlink="">
          <xdr:nvSpPr>
            <xdr:cNvPr id="1025" name="btn_Calcul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28</xdr:row>
          <xdr:rowOff>0</xdr:rowOff>
        </xdr:from>
        <xdr:to>
          <xdr:col>17</xdr:col>
          <xdr:colOff>76200</xdr:colOff>
          <xdr:row>30</xdr:row>
          <xdr:rowOff>19050</xdr:rowOff>
        </xdr:to>
        <xdr:sp macro="" textlink="">
          <xdr:nvSpPr>
            <xdr:cNvPr id="1026" name="btn_Cargar_Fichaj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31</xdr:row>
          <xdr:rowOff>9525</xdr:rowOff>
        </xdr:from>
        <xdr:to>
          <xdr:col>14</xdr:col>
          <xdr:colOff>0</xdr:colOff>
          <xdr:row>33</xdr:row>
          <xdr:rowOff>28575</xdr:rowOff>
        </xdr:to>
        <xdr:sp macro="" textlink="">
          <xdr:nvSpPr>
            <xdr:cNvPr id="1027" name="btn_Carga_Jornad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31</xdr:row>
          <xdr:rowOff>9525</xdr:rowOff>
        </xdr:from>
        <xdr:to>
          <xdr:col>17</xdr:col>
          <xdr:colOff>76200</xdr:colOff>
          <xdr:row>33</xdr:row>
          <xdr:rowOff>28575</xdr:rowOff>
        </xdr:to>
        <xdr:sp macro="" textlink="">
          <xdr:nvSpPr>
            <xdr:cNvPr id="1028" name="btn_Carga_Variabl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34</xdr:row>
          <xdr:rowOff>9525</xdr:rowOff>
        </xdr:from>
        <xdr:to>
          <xdr:col>14</xdr:col>
          <xdr:colOff>0</xdr:colOff>
          <xdr:row>36</xdr:row>
          <xdr:rowOff>28575</xdr:rowOff>
        </xdr:to>
        <xdr:sp macro="" textlink="">
          <xdr:nvSpPr>
            <xdr:cNvPr id="1029" name="btn_Genera_Libr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133350</xdr:rowOff>
        </xdr:from>
        <xdr:to>
          <xdr:col>2</xdr:col>
          <xdr:colOff>742950</xdr:colOff>
          <xdr:row>0</xdr:row>
          <xdr:rowOff>390525</xdr:rowOff>
        </xdr:to>
        <xdr:sp macro="" textlink="">
          <xdr:nvSpPr>
            <xdr:cNvPr id="2049" name="btn_ActualizarFactor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123825</xdr:rowOff>
        </xdr:from>
        <xdr:to>
          <xdr:col>5</xdr:col>
          <xdr:colOff>0</xdr:colOff>
          <xdr:row>0</xdr:row>
          <xdr:rowOff>381000</xdr:rowOff>
        </xdr:to>
        <xdr:sp macro="" textlink="">
          <xdr:nvSpPr>
            <xdr:cNvPr id="2050" name="btn_Actualizar_Llamado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528287D4-0073-4200-BCF6-050353D3B6AD}" autoFormatId="16" applyNumberFormats="0" applyBorderFormats="0" applyFontFormats="0" applyPatternFormats="0" applyAlignmentFormats="0" applyWidthHeightFormats="0">
  <queryTableRefresh nextId="9">
    <queryTableFields count="7">
      <queryTableField id="1" name="ID_TRABAJADOR" tableColumnId="1"/>
      <queryTableField id="2" name="NOMBRE" tableColumnId="2"/>
      <queryTableField id="3" name="APELLIDOS" tableColumnId="3"/>
      <queryTableField id="4" name="DNI" tableColumnId="4"/>
      <queryTableField id="5" name="FECHA" tableColumnId="5"/>
      <queryTableField id="6" name="HORAS" tableColumnId="6"/>
      <queryTableField id="7" name="ENTRADA/SALIDA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82EDF52B-2CF2-4667-A444-0437366B2C4F}" autoFormatId="16" applyNumberFormats="0" applyBorderFormats="0" applyFontFormats="0" applyPatternFormats="0" applyAlignmentFormats="0" applyWidthHeightFormats="0">
  <queryTableRefresh nextId="29">
    <queryTableFields count="27">
      <queryTableField id="1" name="NUM" tableColumnId="1"/>
      <queryTableField id="2" name="DNI/NIE" tableColumnId="2"/>
      <queryTableField id="3" name="ID" tableColumnId="3"/>
      <queryTableField id="4" name="NOMBRE Y APELLIDOS" tableColumnId="4"/>
      <queryTableField id="5" name="FINCA" tableColumnId="5"/>
      <queryTableField id="6" name="TIPO DE CONTRATO" tableColumnId="6"/>
      <queryTableField id="7" name="ANTIGÜEDAD" tableColumnId="7"/>
      <queryTableField id="8" name="ALTA" tableColumnId="8"/>
      <queryTableField id="9" name="BAJA" tableColumnId="9"/>
      <queryTableField id="10" name="ACTIVOS" tableColumnId="10"/>
      <queryTableField id="11" name="PREVISION ALTA" tableColumnId="11"/>
      <queryTableField id="12" name="PREVISION BAJA" tableColumnId="12"/>
      <queryTableField id="13" name="ULT. FORMACION" tableColumnId="13"/>
      <queryTableField id="14" name="RECO" tableColumnId="14"/>
      <queryTableField id="15" name="SS" tableColumnId="15"/>
      <queryTableField id="16" name="VIGENCIA NIE" tableColumnId="16"/>
      <queryTableField id="17" name="CATEGORIA PROFESIONAL" tableColumnId="17"/>
      <queryTableField id="18" name="F. DE NACIMIENTO" tableColumnId="18"/>
      <queryTableField id="19" name="SEXO" tableColumnId="19"/>
      <queryTableField id="20" name="EDAD" tableColumnId="20"/>
      <queryTableField id="21" name="TELEFONO" tableColumnId="21"/>
      <queryTableField id="22" name="CORREO ELECTRONICO" tableColumnId="22"/>
      <queryTableField id="23" name="DIRECCIÓN" tableColumnId="23"/>
      <queryTableField id="24" name="MUNICIPIO" tableColumnId="24"/>
      <queryTableField id="25" name="CP" tableColumnId="25"/>
      <queryTableField id="26" name="PERIODO DE PRUEBA" tableColumnId="26"/>
      <queryTableField id="28" name="Column27" tableColumnId="28"/>
    </queryTableFields>
    <queryTableDeletedFields count="1">
      <deletedField name="Column27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2" xr16:uid="{AA11F91B-78BF-46B3-AC64-C87F91499DD8}" autoFormatId="16" applyNumberFormats="0" applyBorderFormats="0" applyFontFormats="0" applyPatternFormats="0" applyAlignmentFormats="0" applyWidthHeightFormats="0">
  <queryTableRefresh nextId="15">
    <queryTableFields count="14">
      <queryTableField id="1" name="ID_TRABAJADOR" tableColumnId="1"/>
      <queryTableField id="2" name="NOMBRE_Y_APELLIDOS" tableColumnId="2"/>
      <queryTableField id="3" name="SITUACION" tableColumnId="3"/>
      <queryTableField id="4" name="LLAVERO_NFC" tableColumnId="4"/>
      <queryTableField id="5" name="USUARIO" tableColumnId="5"/>
      <queryTableField id="6" name="CONTRASEÑA" tableColumnId="6"/>
      <queryTableField id="7" name="DNI" tableColumnId="7"/>
      <queryTableField id="8" name="PRIVILEGIOS" tableColumnId="8"/>
      <queryTableField id="9" name="NACIONALIDAD" tableColumnId="9"/>
      <queryTableField id="10" name="EMAIL" tableColumnId="10"/>
      <queryTableField id="11" name="DIRECCIÓN" tableColumnId="11"/>
      <queryTableField id="12" name="TELÉFONO" tableColumnId="12"/>
      <queryTableField id="13" name="TIPO_DE_CONTRATO" tableColumnId="13"/>
      <queryTableField id="14" name="FECHA_DE_NACIMIENTO" tableColumnId="14"/>
    </queryTableFields>
  </queryTableRefresh>
  <extLst>
    <ext xmlns:x15="http://schemas.microsoft.com/office/spreadsheetml/2010/11/main" uri="{883FBD77-0823-4a55-B5E3-86C4891E6966}">
      <x15:queryTable sourceDataName="Query - MOBIBUK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3DEB09-1A84-49FF-9781-3861935B648B}" name="Fichaje" displayName="Fichaje" ref="A1:G1489" tableType="queryTable" totalsRowShown="0">
  <autoFilter ref="A1:G1489" xr:uid="{4B3DEB09-1A84-49FF-9781-3861935B648B}"/>
  <tableColumns count="7">
    <tableColumn id="1" xr3:uid="{83B41F4A-BDE7-4D47-B7F6-CBE6608C309C}" uniqueName="1" name="ID_TRABAJADOR" queryTableFieldId="1" dataDxfId="68"/>
    <tableColumn id="2" xr3:uid="{3D24EFA5-F871-4B52-9712-6DB4100FAA7A}" uniqueName="2" name="NOMBRE" queryTableFieldId="2" dataDxfId="67"/>
    <tableColumn id="3" xr3:uid="{E0F7DE7A-4D84-4101-ABA9-3D631B129D52}" uniqueName="3" name="APELLIDOS" queryTableFieldId="3" dataDxfId="66"/>
    <tableColumn id="4" xr3:uid="{EBEEE8B3-20D0-44D3-A184-4F56E378C794}" uniqueName="4" name="DNI" queryTableFieldId="4" dataDxfId="65"/>
    <tableColumn id="5" xr3:uid="{0F931854-B521-4C6F-9E23-01ECCB037358}" uniqueName="5" name="FECHA" queryTableFieldId="5" dataDxfId="64"/>
    <tableColumn id="6" xr3:uid="{C857B5CB-9050-458A-9BAA-64370BE1AD68}" uniqueName="6" name="HORAS" queryTableFieldId="6" dataDxfId="63"/>
    <tableColumn id="7" xr3:uid="{7AF04E4B-2D18-4132-84A5-7DAB95FB6C40}" uniqueName="7" name="ENTRADA/SALIDA" queryTableFieldId="7" dataDxfId="6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3071B23-26ED-4FC0-8B0A-32F401BD7004}" name="TRABAJADORES" displayName="TRABAJADORES" ref="A1:AA132" tableType="queryTable" totalsRowShown="0">
  <autoFilter ref="A1:AA132" xr:uid="{D3071B23-26ED-4FC0-8B0A-32F401BD7004}"/>
  <sortState xmlns:xlrd2="http://schemas.microsoft.com/office/spreadsheetml/2017/richdata2" ref="A2:AA132">
    <sortCondition ref="E2:E132"/>
    <sortCondition ref="D2:D132"/>
  </sortState>
  <tableColumns count="27">
    <tableColumn id="1" xr3:uid="{6B832B48-29F8-4B9D-A03C-A4545E389A4D}" uniqueName="1" name="NUM" queryTableFieldId="1"/>
    <tableColumn id="2" xr3:uid="{F5D4DBE1-DDCA-41E4-995D-30908BCD0DF0}" uniqueName="2" name="DNI/NIE" queryTableFieldId="2" dataDxfId="12"/>
    <tableColumn id="3" xr3:uid="{385483EB-42F5-403A-8D9C-39E0B59C45AD}" uniqueName="3" name="ID" queryTableFieldId="3"/>
    <tableColumn id="4" xr3:uid="{886D5878-7F18-4938-BA20-EA3C60F374E9}" uniqueName="4" name="NOMBRE Y APELLIDOS" queryTableFieldId="4" dataDxfId="11"/>
    <tableColumn id="5" xr3:uid="{4F212BF6-E3F1-49BA-9083-87B6AD0E1279}" uniqueName="5" name="FINCA" queryTableFieldId="5" dataDxfId="10"/>
    <tableColumn id="6" xr3:uid="{CD258517-9438-4837-9E16-5CAD9E6C629B}" uniqueName="6" name="TIPO DE CONTRATO" queryTableFieldId="6"/>
    <tableColumn id="7" xr3:uid="{348E3AA8-CBDB-4DC9-9F07-5AF41EEE7B9E}" uniqueName="7" name="ANTIGÜEDAD" queryTableFieldId="7" dataDxfId="9"/>
    <tableColumn id="8" xr3:uid="{6C337EAF-A2A8-4793-BDA7-53872230F6D5}" uniqueName="8" name="ALTA" queryTableFieldId="8" dataDxfId="8"/>
    <tableColumn id="9" xr3:uid="{F16A9296-3681-481E-8590-75F01F95466F}" uniqueName="9" name="BAJA" queryTableFieldId="9" dataDxfId="7"/>
    <tableColumn id="10" xr3:uid="{28072B41-4159-4E6D-84CC-3AC462EC6F5A}" uniqueName="10" name="ACTIVOS" queryTableFieldId="10" dataDxfId="6"/>
    <tableColumn id="11" xr3:uid="{8EA88E22-FF1B-4360-9AC2-032EE7A332FE}" uniqueName="11" name="PREVISION ALTA" queryTableFieldId="11" dataDxfId="5"/>
    <tableColumn id="12" xr3:uid="{70CA1777-A819-4D4B-A546-2556F51E8ABF}" uniqueName="12" name="PREVISION BAJA" queryTableFieldId="12" dataDxfId="4"/>
    <tableColumn id="13" xr3:uid="{3745C24A-E637-4E70-B62A-F92E730761F9}" uniqueName="13" name="ULT. FORMACION" queryTableFieldId="13"/>
    <tableColumn id="14" xr3:uid="{D36ADEE3-E846-4994-867B-AB50E3953AAD}" uniqueName="14" name="RECO" queryTableFieldId="14" dataDxfId="3"/>
    <tableColumn id="15" xr3:uid="{52375548-4CDF-40D7-81AE-EBD15695DEAA}" uniqueName="15" name="SS" queryTableFieldId="15" dataDxfId="2"/>
    <tableColumn id="16" xr3:uid="{CC22832B-B3D4-4885-A8C6-55B232B18616}" uniqueName="16" name="VIGENCIA NIE" queryTableFieldId="16"/>
    <tableColumn id="17" xr3:uid="{C9104128-5F04-4D44-8226-90927BB80893}" uniqueName="17" name="CATEGORIA PROFESIONAL" queryTableFieldId="17"/>
    <tableColumn id="18" xr3:uid="{915D43B5-3D6F-40A9-A3E6-C6D7464BDA05}" uniqueName="18" name="F. DE NACIMIENTO" queryTableFieldId="18"/>
    <tableColumn id="19" xr3:uid="{7130B566-310D-4ECD-8195-A1FC96D32C89}" uniqueName="19" name="SEXO" queryTableFieldId="19" dataDxfId="1"/>
    <tableColumn id="20" xr3:uid="{46F393BC-D59D-4D60-917E-807F3A84CD6A}" uniqueName="20" name="EDAD" queryTableFieldId="20"/>
    <tableColumn id="21" xr3:uid="{EBD3ABAD-0877-43E5-8365-8D2981267DD7}" uniqueName="21" name="TELEFONO" queryTableFieldId="21"/>
    <tableColumn id="22" xr3:uid="{F29CCA0A-5A3E-4339-A0F3-7478BEC6D009}" uniqueName="22" name="CORREO ELECTRONICO" queryTableFieldId="22"/>
    <tableColumn id="23" xr3:uid="{928BE098-EEC0-4161-B1A8-E71BB4F3CE36}" uniqueName="23" name="DIRECCIÓN" queryTableFieldId="23"/>
    <tableColumn id="24" xr3:uid="{BA26E156-8A13-4488-BDCE-90A63DA906FB}" uniqueName="24" name="MUNICIPIO" queryTableFieldId="24"/>
    <tableColumn id="25" xr3:uid="{81FB5065-6E35-4F01-AEBF-3DFF00F702B7}" uniqueName="25" name="CP" queryTableFieldId="25"/>
    <tableColumn id="26" xr3:uid="{D4F35577-99F6-42A2-BC17-D6C92E1841E3}" uniqueName="26" name="PERIODO DE PRUEBA" queryTableFieldId="26" dataDxfId="0"/>
    <tableColumn id="28" xr3:uid="{9CC2FB9D-EE63-40D0-8FE5-9CB9BB5789FD}" uniqueName="28" name="Column27" queryTableFieldId="2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088A0F-76EF-45EF-A036-B3CF3EF993A8}" name="MOBIBUK" displayName="MOBIBUK" ref="A1:N111" tableType="queryTable" totalsRowShown="0">
  <autoFilter ref="A1:N111" xr:uid="{88088A0F-76EF-45EF-A036-B3CF3EF993A8}"/>
  <tableColumns count="14">
    <tableColumn id="1" xr3:uid="{8AEC1068-2BF8-479D-8A61-8B5040614C5A}" uniqueName="1" name="ID_TRABAJADOR" queryTableFieldId="1"/>
    <tableColumn id="2" xr3:uid="{0FB66F76-D381-4C91-B26D-DDA9845F5164}" uniqueName="2" name="NOMBRE_Y_APELLIDOS" queryTableFieldId="2" dataDxfId="61"/>
    <tableColumn id="3" xr3:uid="{4A16FEBE-4A1C-4C5A-9052-0E71E456A6F1}" uniqueName="3" name="SITUACION" queryTableFieldId="3" dataDxfId="60"/>
    <tableColumn id="4" xr3:uid="{A2EA5BBE-FD03-4E4B-A152-77BA64313B43}" uniqueName="4" name="LLAVERO_NFC" queryTableFieldId="4"/>
    <tableColumn id="5" xr3:uid="{9BE83DA0-0798-4E53-8C9A-235887E97392}" uniqueName="5" name="USUARIO" queryTableFieldId="5"/>
    <tableColumn id="6" xr3:uid="{8F3820FA-8437-4722-A028-DE446C6E9E0B}" uniqueName="6" name="CONTRASEÑA" queryTableFieldId="6"/>
    <tableColumn id="7" xr3:uid="{9ADC53D8-7B4B-4263-908F-93CD53CFAE07}" uniqueName="7" name="DNI" queryTableFieldId="7" dataDxfId="59"/>
    <tableColumn id="8" xr3:uid="{1B4DDFA7-7C24-4796-AABA-3CAD97444AFD}" uniqueName="8" name="PRIVILEGIOS" queryTableFieldId="8" dataDxfId="58"/>
    <tableColumn id="9" xr3:uid="{01863163-5353-4E9D-A554-B7222CE39CFB}" uniqueName="9" name="NACIONALIDAD" queryTableFieldId="9" dataDxfId="57"/>
    <tableColumn id="10" xr3:uid="{72B14A40-B872-41A3-B295-5BC9BD7FF2C4}" uniqueName="10" name="EMAIL" queryTableFieldId="10"/>
    <tableColumn id="11" xr3:uid="{0309B5C4-507C-4B49-A92A-8FFD38923481}" uniqueName="11" name="DIRECCIÓN" queryTableFieldId="11" dataDxfId="56"/>
    <tableColumn id="12" xr3:uid="{FBE1D9E1-A36F-48F0-8C61-591C5704798D}" uniqueName="12" name="TELÉFONO" queryTableFieldId="12"/>
    <tableColumn id="13" xr3:uid="{33643513-FC15-434A-A5B1-4274DD50519B}" uniqueName="13" name="TIPO_DE_CONTRATO" queryTableFieldId="13" dataDxfId="55"/>
    <tableColumn id="14" xr3:uid="{CCAC0A83-F7A5-4E5D-B88E-9F929D388B68}" uniqueName="14" name="FECHA_DE_NACIMIENTO" queryTableField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4197D-4026-4D67-90E3-507B30FB4B76}">
  <sheetPr codeName="Hoja1"/>
  <dimension ref="A1:AC49893"/>
  <sheetViews>
    <sheetView tabSelected="1" zoomScale="85" zoomScaleNormal="85" workbookViewId="0">
      <selection activeCell="B26" sqref="B26"/>
    </sheetView>
  </sheetViews>
  <sheetFormatPr baseColWidth="10" defaultColWidth="11.28515625" defaultRowHeight="15.75" x14ac:dyDescent="0.25"/>
  <cols>
    <col min="1" max="1" width="8.140625" style="1" customWidth="1"/>
    <col min="2" max="2" width="48" style="2" bestFit="1" customWidth="1"/>
    <col min="3" max="3" width="8.140625" style="2" bestFit="1" customWidth="1"/>
    <col min="4" max="4" width="8.42578125" style="2" bestFit="1" customWidth="1"/>
    <col min="5" max="5" width="9" style="2" customWidth="1"/>
    <col min="6" max="7" width="8.5703125" style="2" customWidth="1"/>
    <col min="8" max="8" width="7.5703125" style="2" customWidth="1"/>
    <col min="9" max="9" width="6.85546875" style="2" customWidth="1"/>
    <col min="10" max="10" width="6.28515625" style="2" customWidth="1"/>
    <col min="11" max="11" width="6.7109375" style="2" customWidth="1"/>
    <col min="12" max="14" width="8.140625" style="2" customWidth="1"/>
    <col min="15" max="20" width="8.140625" style="6" customWidth="1"/>
    <col min="21" max="23" width="12.5703125" style="2" customWidth="1"/>
    <col min="24" max="24" width="13.85546875" style="2" bestFit="1" customWidth="1"/>
    <col min="25" max="26" width="12.5703125" style="2" customWidth="1"/>
    <col min="27" max="27" width="15.5703125" style="2" customWidth="1"/>
    <col min="28" max="28" width="13.28515625" style="1" customWidth="1"/>
    <col min="29" max="29" width="14" style="1" customWidth="1"/>
    <col min="30" max="16384" width="11.28515625" style="1"/>
  </cols>
  <sheetData>
    <row r="1" spans="1:29" x14ac:dyDescent="0.25">
      <c r="AC1" s="1">
        <v>2025</v>
      </c>
    </row>
    <row r="2" spans="1:29" ht="12" customHeight="1" x14ac:dyDescent="0.25"/>
    <row r="3" spans="1:29" ht="18.75" x14ac:dyDescent="0.25">
      <c r="A3" s="177" t="s">
        <v>20</v>
      </c>
      <c r="B3" s="178"/>
      <c r="C3" s="172" t="s">
        <v>176</v>
      </c>
      <c r="D3" s="173"/>
      <c r="E3" s="174"/>
      <c r="F3" s="172" t="s">
        <v>177</v>
      </c>
      <c r="G3" s="173"/>
      <c r="H3" s="174"/>
      <c r="I3" s="172" t="s">
        <v>178</v>
      </c>
      <c r="J3" s="173"/>
      <c r="K3" s="174"/>
      <c r="L3" s="172" t="s">
        <v>179</v>
      </c>
      <c r="M3" s="173"/>
      <c r="N3" s="174"/>
      <c r="O3" s="169" t="s">
        <v>180</v>
      </c>
      <c r="P3" s="170"/>
      <c r="Q3" s="171"/>
      <c r="R3" s="169" t="s">
        <v>181</v>
      </c>
      <c r="S3" s="170"/>
      <c r="T3" s="171"/>
      <c r="U3" s="168" t="s">
        <v>12</v>
      </c>
      <c r="V3" s="168"/>
      <c r="W3" s="168"/>
      <c r="X3" s="168" t="s">
        <v>11</v>
      </c>
      <c r="Y3" s="168"/>
      <c r="Z3" s="168"/>
      <c r="AA3" s="168"/>
    </row>
    <row r="4" spans="1:29" ht="15" customHeight="1" x14ac:dyDescent="0.25">
      <c r="A4" s="21" t="s">
        <v>0</v>
      </c>
      <c r="B4" s="4" t="s">
        <v>1</v>
      </c>
      <c r="C4" s="176" t="s">
        <v>1051</v>
      </c>
      <c r="D4" s="176"/>
      <c r="E4" s="176"/>
      <c r="F4" s="176" t="s">
        <v>1052</v>
      </c>
      <c r="G4" s="176"/>
      <c r="H4" s="176"/>
      <c r="I4" s="176" t="s">
        <v>1053</v>
      </c>
      <c r="J4" s="176"/>
      <c r="K4" s="176"/>
      <c r="L4" s="175" t="s">
        <v>1054</v>
      </c>
      <c r="M4" s="175"/>
      <c r="N4" s="175"/>
      <c r="O4" s="175" t="s">
        <v>1055</v>
      </c>
      <c r="P4" s="175"/>
      <c r="Q4" s="175"/>
      <c r="R4" s="175" t="s">
        <v>1056</v>
      </c>
      <c r="S4" s="175"/>
      <c r="T4" s="175"/>
      <c r="U4" s="3" t="s">
        <v>10</v>
      </c>
      <c r="V4" s="3" t="s">
        <v>9</v>
      </c>
      <c r="W4" s="3" t="s">
        <v>8</v>
      </c>
      <c r="X4" s="3" t="s">
        <v>10</v>
      </c>
      <c r="Y4" s="3" t="s">
        <v>9</v>
      </c>
      <c r="Z4" s="3" t="s">
        <v>8</v>
      </c>
      <c r="AA4" s="4" t="s">
        <v>13</v>
      </c>
    </row>
    <row r="5" spans="1:29" x14ac:dyDescent="0.25">
      <c r="A5" s="23"/>
      <c r="B5" s="50"/>
      <c r="C5" s="148"/>
      <c r="D5" s="149"/>
      <c r="E5" s="150"/>
      <c r="F5" s="148"/>
      <c r="G5" s="149"/>
      <c r="H5" s="150"/>
      <c r="I5" s="148"/>
      <c r="J5" s="149"/>
      <c r="K5" s="150"/>
      <c r="L5" s="148"/>
      <c r="M5" s="149"/>
      <c r="N5" s="150"/>
      <c r="O5" s="148"/>
      <c r="P5" s="149"/>
      <c r="Q5" s="150"/>
      <c r="R5" s="148"/>
      <c r="S5" s="149"/>
      <c r="T5" s="150"/>
      <c r="U5" s="151">
        <f>C5+F5+I5+L5+O5+R5</f>
        <v>0</v>
      </c>
      <c r="V5" s="152">
        <f>D5+G5+J5+M5+P5+S5</f>
        <v>0</v>
      </c>
      <c r="W5" s="153">
        <f>E5+H5+K5+N5+Q5+T5</f>
        <v>0</v>
      </c>
      <c r="X5" s="154">
        <f>U5*8.9</f>
        <v>0</v>
      </c>
      <c r="Y5" s="155">
        <f>V5*8.9</f>
        <v>0</v>
      </c>
      <c r="Z5" s="156">
        <f>W5*11.12</f>
        <v>0</v>
      </c>
      <c r="AA5" s="157">
        <f>X5+Z5</f>
        <v>0</v>
      </c>
    </row>
    <row r="6" spans="1:29" x14ac:dyDescent="0.25">
      <c r="A6" s="159" t="s">
        <v>2178</v>
      </c>
      <c r="B6" s="2">
        <f>COUNTA(B5:B5)</f>
        <v>0</v>
      </c>
      <c r="C6" s="158">
        <f t="shared" ref="C6:AA6" si="0">SUM(C5:C5)</f>
        <v>0</v>
      </c>
      <c r="D6" s="158">
        <f t="shared" si="0"/>
        <v>0</v>
      </c>
      <c r="E6" s="158">
        <f t="shared" si="0"/>
        <v>0</v>
      </c>
      <c r="F6" s="158">
        <f t="shared" si="0"/>
        <v>0</v>
      </c>
      <c r="G6" s="158">
        <f t="shared" si="0"/>
        <v>0</v>
      </c>
      <c r="H6" s="158">
        <f t="shared" si="0"/>
        <v>0</v>
      </c>
      <c r="I6" s="158">
        <f t="shared" si="0"/>
        <v>0</v>
      </c>
      <c r="J6" s="158">
        <f t="shared" si="0"/>
        <v>0</v>
      </c>
      <c r="K6" s="158">
        <f t="shared" si="0"/>
        <v>0</v>
      </c>
      <c r="L6" s="158">
        <f t="shared" si="0"/>
        <v>0</v>
      </c>
      <c r="M6" s="158">
        <f t="shared" si="0"/>
        <v>0</v>
      </c>
      <c r="N6" s="158">
        <f t="shared" si="0"/>
        <v>0</v>
      </c>
      <c r="O6" s="158">
        <f t="shared" si="0"/>
        <v>0</v>
      </c>
      <c r="P6" s="158">
        <f t="shared" si="0"/>
        <v>0</v>
      </c>
      <c r="Q6" s="158">
        <f t="shared" si="0"/>
        <v>0</v>
      </c>
      <c r="R6" s="158">
        <f t="shared" si="0"/>
        <v>0</v>
      </c>
      <c r="S6" s="158">
        <f t="shared" si="0"/>
        <v>0</v>
      </c>
      <c r="T6" s="158">
        <f t="shared" si="0"/>
        <v>0</v>
      </c>
      <c r="U6" s="42">
        <f t="shared" si="0"/>
        <v>0</v>
      </c>
      <c r="V6" s="42">
        <f t="shared" si="0"/>
        <v>0</v>
      </c>
      <c r="W6" s="42">
        <f t="shared" si="0"/>
        <v>0</v>
      </c>
      <c r="X6" s="43">
        <f t="shared" si="0"/>
        <v>0</v>
      </c>
      <c r="Y6" s="43">
        <f t="shared" si="0"/>
        <v>0</v>
      </c>
      <c r="Z6" s="43">
        <f t="shared" si="0"/>
        <v>0</v>
      </c>
      <c r="AA6" s="43">
        <f t="shared" si="0"/>
        <v>0</v>
      </c>
    </row>
    <row r="7" spans="1:29" x14ac:dyDescent="0.25">
      <c r="U7" s="25"/>
      <c r="Y7" s="25"/>
      <c r="Z7" s="25"/>
      <c r="AB7" s="8"/>
      <c r="AC7" s="8"/>
    </row>
    <row r="8" spans="1:29" x14ac:dyDescent="0.25">
      <c r="U8" s="45"/>
      <c r="V8" s="45"/>
      <c r="W8" s="45"/>
      <c r="X8" s="45"/>
      <c r="Y8" s="45"/>
      <c r="Z8" s="45"/>
    </row>
    <row r="9" spans="1:29" ht="18" customHeight="1" x14ac:dyDescent="0.25">
      <c r="A9" s="177" t="s">
        <v>52</v>
      </c>
      <c r="B9" s="178"/>
      <c r="C9" s="172" t="s">
        <v>176</v>
      </c>
      <c r="D9" s="173"/>
      <c r="E9" s="174"/>
      <c r="F9" s="172" t="s">
        <v>177</v>
      </c>
      <c r="G9" s="173"/>
      <c r="H9" s="174"/>
      <c r="I9" s="172" t="s">
        <v>178</v>
      </c>
      <c r="J9" s="173"/>
      <c r="K9" s="174"/>
      <c r="L9" s="172" t="s">
        <v>179</v>
      </c>
      <c r="M9" s="173"/>
      <c r="N9" s="174"/>
      <c r="O9" s="169" t="s">
        <v>180</v>
      </c>
      <c r="P9" s="170"/>
      <c r="Q9" s="171"/>
      <c r="R9" s="169" t="s">
        <v>181</v>
      </c>
      <c r="S9" s="170"/>
      <c r="T9" s="171"/>
      <c r="U9" s="168" t="s">
        <v>12</v>
      </c>
      <c r="V9" s="168"/>
      <c r="W9" s="168"/>
      <c r="X9" s="168" t="s">
        <v>11</v>
      </c>
      <c r="Y9" s="168"/>
      <c r="Z9" s="168"/>
      <c r="AA9" s="168"/>
    </row>
    <row r="10" spans="1:29" ht="15" customHeight="1" x14ac:dyDescent="0.25">
      <c r="A10" s="21" t="s">
        <v>0</v>
      </c>
      <c r="B10" s="4" t="s">
        <v>1</v>
      </c>
      <c r="C10" s="176" t="s">
        <v>1051</v>
      </c>
      <c r="D10" s="176"/>
      <c r="E10" s="176"/>
      <c r="F10" s="176" t="s">
        <v>1052</v>
      </c>
      <c r="G10" s="176"/>
      <c r="H10" s="176"/>
      <c r="I10" s="176" t="s">
        <v>1053</v>
      </c>
      <c r="J10" s="176"/>
      <c r="K10" s="176"/>
      <c r="L10" s="175" t="s">
        <v>1054</v>
      </c>
      <c r="M10" s="175"/>
      <c r="N10" s="175"/>
      <c r="O10" s="175" t="s">
        <v>1055</v>
      </c>
      <c r="P10" s="175"/>
      <c r="Q10" s="175"/>
      <c r="R10" s="175" t="s">
        <v>1056</v>
      </c>
      <c r="S10" s="175"/>
      <c r="T10" s="175"/>
      <c r="U10" s="3" t="s">
        <v>10</v>
      </c>
      <c r="V10" s="3" t="s">
        <v>9</v>
      </c>
      <c r="W10" s="3" t="s">
        <v>8</v>
      </c>
      <c r="X10" s="3" t="s">
        <v>10</v>
      </c>
      <c r="Y10" s="3" t="s">
        <v>9</v>
      </c>
      <c r="Z10" s="3" t="s">
        <v>8</v>
      </c>
      <c r="AA10" s="4" t="s">
        <v>13</v>
      </c>
    </row>
    <row r="11" spans="1:29" x14ac:dyDescent="0.25">
      <c r="A11" s="23"/>
      <c r="B11" s="50"/>
      <c r="C11" s="35"/>
      <c r="D11" s="36"/>
      <c r="E11" s="24"/>
      <c r="F11" s="35"/>
      <c r="G11" s="36"/>
      <c r="H11" s="24"/>
      <c r="I11" s="35"/>
      <c r="J11" s="36"/>
      <c r="K11" s="24"/>
      <c r="L11" s="35"/>
      <c r="M11" s="36"/>
      <c r="N11" s="24"/>
      <c r="O11" s="35"/>
      <c r="P11" s="36"/>
      <c r="Q11" s="24"/>
      <c r="R11" s="35"/>
      <c r="S11" s="36"/>
      <c r="T11" s="24"/>
      <c r="U11" s="35"/>
      <c r="V11" s="36"/>
      <c r="W11" s="24"/>
      <c r="X11" s="55"/>
      <c r="Y11" s="56"/>
      <c r="Z11" s="57"/>
      <c r="AA11" s="5"/>
    </row>
    <row r="12" spans="1:29" x14ac:dyDescent="0.25">
      <c r="A12" s="159" t="s">
        <v>2179</v>
      </c>
      <c r="B12" s="2">
        <f>COUNTA(B11:B11)</f>
        <v>0</v>
      </c>
      <c r="C12" s="4">
        <f t="shared" ref="C12:AA12" si="1">SUM(C11:C11)</f>
        <v>0</v>
      </c>
      <c r="D12" s="4">
        <f t="shared" si="1"/>
        <v>0</v>
      </c>
      <c r="E12" s="4">
        <f t="shared" si="1"/>
        <v>0</v>
      </c>
      <c r="F12" s="4">
        <f t="shared" si="1"/>
        <v>0</v>
      </c>
      <c r="G12" s="4">
        <f t="shared" si="1"/>
        <v>0</v>
      </c>
      <c r="H12" s="4">
        <f t="shared" si="1"/>
        <v>0</v>
      </c>
      <c r="I12" s="4">
        <f t="shared" si="1"/>
        <v>0</v>
      </c>
      <c r="J12" s="4">
        <f t="shared" si="1"/>
        <v>0</v>
      </c>
      <c r="K12" s="4">
        <f t="shared" si="1"/>
        <v>0</v>
      </c>
      <c r="L12" s="4">
        <f t="shared" si="1"/>
        <v>0</v>
      </c>
      <c r="M12" s="4">
        <f t="shared" si="1"/>
        <v>0</v>
      </c>
      <c r="N12" s="4">
        <f t="shared" si="1"/>
        <v>0</v>
      </c>
      <c r="O12" s="26">
        <f t="shared" si="1"/>
        <v>0</v>
      </c>
      <c r="P12" s="26">
        <f t="shared" si="1"/>
        <v>0</v>
      </c>
      <c r="Q12" s="26">
        <f t="shared" si="1"/>
        <v>0</v>
      </c>
      <c r="R12" s="26">
        <f t="shared" si="1"/>
        <v>0</v>
      </c>
      <c r="S12" s="26">
        <f t="shared" si="1"/>
        <v>0</v>
      </c>
      <c r="T12" s="26">
        <f t="shared" si="1"/>
        <v>0</v>
      </c>
      <c r="U12" s="4">
        <f t="shared" si="1"/>
        <v>0</v>
      </c>
      <c r="V12" s="4">
        <f t="shared" si="1"/>
        <v>0</v>
      </c>
      <c r="W12" s="4">
        <f t="shared" si="1"/>
        <v>0</v>
      </c>
      <c r="X12" s="58">
        <f t="shared" si="1"/>
        <v>0</v>
      </c>
      <c r="Y12" s="58">
        <f t="shared" si="1"/>
        <v>0</v>
      </c>
      <c r="Z12" s="58">
        <f t="shared" si="1"/>
        <v>0</v>
      </c>
      <c r="AA12" s="5">
        <f t="shared" si="1"/>
        <v>0</v>
      </c>
    </row>
    <row r="15" spans="1:29" ht="18" customHeight="1" x14ac:dyDescent="0.25">
      <c r="A15" s="177" t="s">
        <v>81</v>
      </c>
      <c r="B15" s="178"/>
      <c r="C15" s="172" t="s">
        <v>176</v>
      </c>
      <c r="D15" s="173"/>
      <c r="E15" s="174"/>
      <c r="F15" s="172" t="s">
        <v>177</v>
      </c>
      <c r="G15" s="173"/>
      <c r="H15" s="174"/>
      <c r="I15" s="172" t="s">
        <v>178</v>
      </c>
      <c r="J15" s="173"/>
      <c r="K15" s="174"/>
      <c r="L15" s="172" t="s">
        <v>179</v>
      </c>
      <c r="M15" s="173"/>
      <c r="N15" s="174"/>
      <c r="O15" s="169" t="s">
        <v>180</v>
      </c>
      <c r="P15" s="170"/>
      <c r="Q15" s="171"/>
      <c r="R15" s="169" t="s">
        <v>181</v>
      </c>
      <c r="S15" s="170"/>
      <c r="T15" s="171"/>
      <c r="U15" s="168" t="s">
        <v>12</v>
      </c>
      <c r="V15" s="168"/>
      <c r="W15" s="168"/>
      <c r="X15" s="168" t="s">
        <v>11</v>
      </c>
      <c r="Y15" s="168"/>
      <c r="Z15" s="168"/>
      <c r="AA15" s="168"/>
    </row>
    <row r="16" spans="1:29" ht="15" customHeight="1" x14ac:dyDescent="0.25">
      <c r="A16" s="21" t="s">
        <v>0</v>
      </c>
      <c r="B16" s="4" t="s">
        <v>1</v>
      </c>
      <c r="C16" s="176" t="s">
        <v>1051</v>
      </c>
      <c r="D16" s="176"/>
      <c r="E16" s="176"/>
      <c r="F16" s="176" t="s">
        <v>1052</v>
      </c>
      <c r="G16" s="176"/>
      <c r="H16" s="176"/>
      <c r="I16" s="176" t="s">
        <v>1053</v>
      </c>
      <c r="J16" s="176"/>
      <c r="K16" s="176"/>
      <c r="L16" s="175" t="s">
        <v>1054</v>
      </c>
      <c r="M16" s="175"/>
      <c r="N16" s="175"/>
      <c r="O16" s="175" t="s">
        <v>1055</v>
      </c>
      <c r="P16" s="175"/>
      <c r="Q16" s="175"/>
      <c r="R16" s="175" t="s">
        <v>1056</v>
      </c>
      <c r="S16" s="175"/>
      <c r="T16" s="175"/>
      <c r="U16" s="3" t="s">
        <v>10</v>
      </c>
      <c r="V16" s="3" t="s">
        <v>9</v>
      </c>
      <c r="W16" s="3" t="s">
        <v>8</v>
      </c>
      <c r="X16" s="3" t="s">
        <v>10</v>
      </c>
      <c r="Y16" s="3" t="s">
        <v>9</v>
      </c>
      <c r="Z16" s="3" t="s">
        <v>8</v>
      </c>
      <c r="AA16" s="4" t="s">
        <v>13</v>
      </c>
    </row>
    <row r="17" spans="1:27" x14ac:dyDescent="0.25">
      <c r="A17" s="21"/>
      <c r="B17" s="7"/>
      <c r="C17" s="35"/>
      <c r="D17" s="36"/>
      <c r="E17" s="24"/>
      <c r="F17" s="35"/>
      <c r="G17" s="36"/>
      <c r="H17" s="24"/>
      <c r="I17" s="35"/>
      <c r="J17" s="36"/>
      <c r="K17" s="24"/>
      <c r="L17" s="35"/>
      <c r="M17" s="36"/>
      <c r="N17" s="24"/>
      <c r="O17" s="35"/>
      <c r="P17" s="36"/>
      <c r="Q17" s="24"/>
      <c r="R17" s="35"/>
      <c r="S17" s="36"/>
      <c r="T17" s="24"/>
      <c r="U17" s="35"/>
      <c r="V17" s="36"/>
      <c r="W17" s="24"/>
      <c r="X17" s="55"/>
      <c r="Y17" s="56"/>
      <c r="Z17" s="57"/>
      <c r="AA17" s="5"/>
    </row>
    <row r="18" spans="1:27" x14ac:dyDescent="0.25">
      <c r="A18" s="159" t="s">
        <v>2180</v>
      </c>
      <c r="B18" s="2">
        <f>COUNTA(B17:B17)</f>
        <v>0</v>
      </c>
      <c r="C18" s="4">
        <f t="shared" ref="C18:AA18" si="2">SUM(C17:C17)</f>
        <v>0</v>
      </c>
      <c r="D18" s="4">
        <f t="shared" si="2"/>
        <v>0</v>
      </c>
      <c r="E18" s="4">
        <f t="shared" si="2"/>
        <v>0</v>
      </c>
      <c r="F18" s="4">
        <f t="shared" si="2"/>
        <v>0</v>
      </c>
      <c r="G18" s="4">
        <f t="shared" si="2"/>
        <v>0</v>
      </c>
      <c r="H18" s="4">
        <f t="shared" si="2"/>
        <v>0</v>
      </c>
      <c r="I18" s="4">
        <f t="shared" si="2"/>
        <v>0</v>
      </c>
      <c r="J18" s="4">
        <f t="shared" si="2"/>
        <v>0</v>
      </c>
      <c r="K18" s="4">
        <f t="shared" si="2"/>
        <v>0</v>
      </c>
      <c r="L18" s="4">
        <f t="shared" si="2"/>
        <v>0</v>
      </c>
      <c r="M18" s="4">
        <f t="shared" si="2"/>
        <v>0</v>
      </c>
      <c r="N18" s="4">
        <f t="shared" si="2"/>
        <v>0</v>
      </c>
      <c r="O18" s="4">
        <f t="shared" si="2"/>
        <v>0</v>
      </c>
      <c r="P18" s="4">
        <f t="shared" si="2"/>
        <v>0</v>
      </c>
      <c r="Q18" s="4">
        <f t="shared" si="2"/>
        <v>0</v>
      </c>
      <c r="R18" s="4">
        <f t="shared" si="2"/>
        <v>0</v>
      </c>
      <c r="S18" s="4">
        <f t="shared" si="2"/>
        <v>0</v>
      </c>
      <c r="T18" s="4">
        <f t="shared" si="2"/>
        <v>0</v>
      </c>
      <c r="U18" s="4">
        <f t="shared" si="2"/>
        <v>0</v>
      </c>
      <c r="V18" s="4">
        <f t="shared" si="2"/>
        <v>0</v>
      </c>
      <c r="W18" s="4">
        <f t="shared" si="2"/>
        <v>0</v>
      </c>
      <c r="X18" s="5">
        <f t="shared" si="2"/>
        <v>0</v>
      </c>
      <c r="Y18" s="5">
        <f t="shared" si="2"/>
        <v>0</v>
      </c>
      <c r="Z18" s="5">
        <f t="shared" si="2"/>
        <v>0</v>
      </c>
      <c r="AA18" s="5">
        <f t="shared" si="2"/>
        <v>0</v>
      </c>
    </row>
    <row r="21" spans="1:27" ht="18" customHeight="1" x14ac:dyDescent="0.25">
      <c r="A21" s="177" t="s">
        <v>82</v>
      </c>
      <c r="B21" s="178"/>
      <c r="C21" s="172" t="s">
        <v>176</v>
      </c>
      <c r="D21" s="173"/>
      <c r="E21" s="174"/>
      <c r="F21" s="172" t="s">
        <v>177</v>
      </c>
      <c r="G21" s="173"/>
      <c r="H21" s="174"/>
      <c r="I21" s="172" t="s">
        <v>178</v>
      </c>
      <c r="J21" s="173"/>
      <c r="K21" s="174"/>
      <c r="L21" s="172" t="s">
        <v>179</v>
      </c>
      <c r="M21" s="173"/>
      <c r="N21" s="174"/>
      <c r="O21" s="169" t="s">
        <v>180</v>
      </c>
      <c r="P21" s="170"/>
      <c r="Q21" s="171"/>
      <c r="R21" s="169" t="s">
        <v>181</v>
      </c>
      <c r="S21" s="170"/>
      <c r="T21" s="171"/>
      <c r="U21" s="168" t="s">
        <v>12</v>
      </c>
      <c r="V21" s="168"/>
      <c r="W21" s="168"/>
      <c r="X21" s="168" t="s">
        <v>11</v>
      </c>
      <c r="Y21" s="168"/>
      <c r="Z21" s="168"/>
      <c r="AA21" s="168"/>
    </row>
    <row r="22" spans="1:27" ht="15" customHeight="1" x14ac:dyDescent="0.25">
      <c r="A22" s="21" t="s">
        <v>0</v>
      </c>
      <c r="B22" s="4" t="s">
        <v>1</v>
      </c>
      <c r="C22" s="176" t="s">
        <v>1051</v>
      </c>
      <c r="D22" s="176"/>
      <c r="E22" s="176"/>
      <c r="F22" s="176" t="s">
        <v>1052</v>
      </c>
      <c r="G22" s="176"/>
      <c r="H22" s="176"/>
      <c r="I22" s="176" t="s">
        <v>1053</v>
      </c>
      <c r="J22" s="176"/>
      <c r="K22" s="176"/>
      <c r="L22" s="175" t="s">
        <v>1054</v>
      </c>
      <c r="M22" s="175"/>
      <c r="N22" s="175"/>
      <c r="O22" s="175" t="s">
        <v>1055</v>
      </c>
      <c r="P22" s="175"/>
      <c r="Q22" s="175"/>
      <c r="R22" s="175" t="s">
        <v>1056</v>
      </c>
      <c r="S22" s="175"/>
      <c r="T22" s="175"/>
      <c r="U22" s="3" t="s">
        <v>10</v>
      </c>
      <c r="V22" s="3" t="s">
        <v>9</v>
      </c>
      <c r="W22" s="3" t="s">
        <v>8</v>
      </c>
      <c r="X22" s="3" t="s">
        <v>10</v>
      </c>
      <c r="Y22" s="3" t="s">
        <v>9</v>
      </c>
      <c r="Z22" s="3" t="s">
        <v>8</v>
      </c>
      <c r="AA22" s="4" t="s">
        <v>13</v>
      </c>
    </row>
    <row r="23" spans="1:27" x14ac:dyDescent="0.25">
      <c r="A23" s="21"/>
      <c r="B23" s="7"/>
      <c r="C23" s="35"/>
      <c r="D23" s="36"/>
      <c r="E23" s="24"/>
      <c r="F23" s="35"/>
      <c r="G23" s="36"/>
      <c r="H23" s="24"/>
      <c r="I23" s="35"/>
      <c r="J23" s="36"/>
      <c r="K23" s="24"/>
      <c r="L23" s="35"/>
      <c r="M23" s="36"/>
      <c r="N23" s="24"/>
      <c r="O23" s="35"/>
      <c r="P23" s="36"/>
      <c r="Q23" s="24"/>
      <c r="R23" s="35"/>
      <c r="S23" s="36"/>
      <c r="T23" s="24"/>
      <c r="U23" s="35"/>
      <c r="V23" s="36"/>
      <c r="W23" s="24"/>
      <c r="X23" s="55"/>
      <c r="Y23" s="56"/>
      <c r="Z23" s="57"/>
      <c r="AA23" s="5"/>
    </row>
    <row r="24" spans="1:27" x14ac:dyDescent="0.25">
      <c r="A24" s="159" t="s">
        <v>2181</v>
      </c>
      <c r="B24" s="2">
        <f>COUNTA(B23:B23)</f>
        <v>0</v>
      </c>
      <c r="C24" s="4">
        <f t="shared" ref="C24:AA24" si="3">SUM(C23:C23)</f>
        <v>0</v>
      </c>
      <c r="D24" s="4">
        <f t="shared" si="3"/>
        <v>0</v>
      </c>
      <c r="E24" s="4">
        <f t="shared" si="3"/>
        <v>0</v>
      </c>
      <c r="F24" s="4">
        <f t="shared" si="3"/>
        <v>0</v>
      </c>
      <c r="G24" s="4">
        <f t="shared" si="3"/>
        <v>0</v>
      </c>
      <c r="H24" s="4">
        <f t="shared" si="3"/>
        <v>0</v>
      </c>
      <c r="I24" s="4">
        <f t="shared" si="3"/>
        <v>0</v>
      </c>
      <c r="J24" s="4">
        <f t="shared" si="3"/>
        <v>0</v>
      </c>
      <c r="K24" s="4">
        <f t="shared" si="3"/>
        <v>0</v>
      </c>
      <c r="L24" s="4">
        <f t="shared" si="3"/>
        <v>0</v>
      </c>
      <c r="M24" s="4">
        <f t="shared" si="3"/>
        <v>0</v>
      </c>
      <c r="N24" s="4">
        <f t="shared" si="3"/>
        <v>0</v>
      </c>
      <c r="O24" s="4">
        <f t="shared" si="3"/>
        <v>0</v>
      </c>
      <c r="P24" s="4">
        <f t="shared" si="3"/>
        <v>0</v>
      </c>
      <c r="Q24" s="4">
        <f t="shared" si="3"/>
        <v>0</v>
      </c>
      <c r="R24" s="4">
        <f t="shared" si="3"/>
        <v>0</v>
      </c>
      <c r="S24" s="4">
        <f t="shared" si="3"/>
        <v>0</v>
      </c>
      <c r="T24" s="4">
        <f t="shared" si="3"/>
        <v>0</v>
      </c>
      <c r="U24" s="4">
        <f t="shared" si="3"/>
        <v>0</v>
      </c>
      <c r="V24" s="4">
        <f t="shared" si="3"/>
        <v>0</v>
      </c>
      <c r="W24" s="4">
        <f t="shared" si="3"/>
        <v>0</v>
      </c>
      <c r="X24" s="4">
        <f t="shared" si="3"/>
        <v>0</v>
      </c>
      <c r="Y24" s="4">
        <f t="shared" si="3"/>
        <v>0</v>
      </c>
      <c r="Z24" s="4">
        <f t="shared" si="3"/>
        <v>0</v>
      </c>
      <c r="AA24" s="4">
        <f t="shared" si="3"/>
        <v>0</v>
      </c>
    </row>
    <row r="26" spans="1:27" x14ac:dyDescent="0.25">
      <c r="U26" s="28">
        <f t="shared" ref="U26:AA26" si="4">+U6+U12+U18+U24</f>
        <v>0</v>
      </c>
      <c r="V26" s="28">
        <f t="shared" si="4"/>
        <v>0</v>
      </c>
      <c r="W26" s="28">
        <f t="shared" si="4"/>
        <v>0</v>
      </c>
      <c r="X26" s="29">
        <f t="shared" si="4"/>
        <v>0</v>
      </c>
      <c r="Y26" s="29">
        <f t="shared" si="4"/>
        <v>0</v>
      </c>
      <c r="Z26" s="29">
        <f t="shared" si="4"/>
        <v>0</v>
      </c>
      <c r="AA26" s="29">
        <f t="shared" si="4"/>
        <v>0</v>
      </c>
    </row>
    <row r="27" spans="1:27" x14ac:dyDescent="0.25">
      <c r="U27" s="30"/>
      <c r="V27" s="30"/>
      <c r="W27" s="30"/>
      <c r="X27" s="30"/>
      <c r="Y27" s="30"/>
      <c r="Z27" s="30"/>
      <c r="AA27" s="30"/>
    </row>
    <row r="28" spans="1:27" x14ac:dyDescent="0.25">
      <c r="U28" s="44">
        <f>IFERROR(U26/SUM($U$26:$W$26),0)</f>
        <v>0</v>
      </c>
      <c r="V28" s="44">
        <f>IFERROR(V26/SUM($U$26:$W$26),0)</f>
        <v>0</v>
      </c>
      <c r="W28" s="44">
        <f>IFERROR(W26/SUM($U$26:$W$26),0)</f>
        <v>0</v>
      </c>
    </row>
    <row r="29" spans="1:27" x14ac:dyDescent="0.25">
      <c r="C29" s="73" t="s">
        <v>143</v>
      </c>
      <c r="D29" s="73" t="s">
        <v>144</v>
      </c>
      <c r="E29" s="73" t="s">
        <v>145</v>
      </c>
      <c r="F29" s="73" t="s">
        <v>146</v>
      </c>
      <c r="G29" s="73" t="s">
        <v>147</v>
      </c>
      <c r="H29" s="73" t="s">
        <v>1060</v>
      </c>
      <c r="U29" s="27"/>
      <c r="Y29" s="27"/>
      <c r="Z29" s="27"/>
    </row>
    <row r="30" spans="1:27" x14ac:dyDescent="0.25">
      <c r="B30" s="65" t="s">
        <v>138</v>
      </c>
      <c r="C30" s="69">
        <f>SUM(C6:E6)</f>
        <v>0</v>
      </c>
      <c r="D30" s="69">
        <f>SUM(F6:H6)</f>
        <v>0</v>
      </c>
      <c r="E30" s="69">
        <f>SUM(I6:K6)</f>
        <v>0</v>
      </c>
      <c r="F30" s="69">
        <f>SUM(L6:N6)</f>
        <v>0</v>
      </c>
      <c r="G30" s="69">
        <f>SUM(O6:Q6)</f>
        <v>0</v>
      </c>
      <c r="H30" s="69">
        <f>SUM(P6:R6)</f>
        <v>0</v>
      </c>
      <c r="I30" s="179">
        <f>SUM($U$6:$W$6)</f>
        <v>0</v>
      </c>
      <c r="J30" s="179"/>
      <c r="U30" s="2">
        <f>+U18+U24</f>
        <v>0</v>
      </c>
      <c r="V30" s="2">
        <f>+V18+V24</f>
        <v>0</v>
      </c>
      <c r="W30" s="2">
        <f>+W18+W24</f>
        <v>0</v>
      </c>
      <c r="Y30" s="2">
        <f>+Y18+Y24</f>
        <v>0</v>
      </c>
      <c r="Z30" s="2">
        <f>+Z18+Z24</f>
        <v>0</v>
      </c>
    </row>
    <row r="31" spans="1:27" x14ac:dyDescent="0.25">
      <c r="B31" s="65" t="s">
        <v>139</v>
      </c>
      <c r="C31" s="69">
        <f>SUM(C12:E12)</f>
        <v>0</v>
      </c>
      <c r="D31" s="69">
        <f>SUM(F12:H12)</f>
        <v>0</v>
      </c>
      <c r="E31" s="69">
        <f>SUM(I12:K12)</f>
        <v>0</v>
      </c>
      <c r="F31" s="69">
        <f>SUM(L12:N12)</f>
        <v>0</v>
      </c>
      <c r="G31" s="69">
        <f>SUM(O12:Q12)</f>
        <v>0</v>
      </c>
      <c r="H31" s="69">
        <f>SUM(P12:R12)</f>
        <v>0</v>
      </c>
      <c r="I31" s="179">
        <f>SUM($U$12:$W$12)</f>
        <v>0</v>
      </c>
      <c r="J31" s="179"/>
    </row>
    <row r="32" spans="1:27" x14ac:dyDescent="0.25">
      <c r="B32" s="65" t="s">
        <v>140</v>
      </c>
      <c r="C32" s="69">
        <f>SUM(C18:E18)</f>
        <v>0</v>
      </c>
      <c r="D32" s="69">
        <f>SUM(F18:H18)</f>
        <v>0</v>
      </c>
      <c r="E32" s="69">
        <f>SUM(I18:K18)</f>
        <v>0</v>
      </c>
      <c r="F32" s="69">
        <f>SUM(L18:N18)</f>
        <v>0</v>
      </c>
      <c r="G32" s="69">
        <f>SUM(O18:Q18)</f>
        <v>0</v>
      </c>
      <c r="H32" s="69">
        <f>SUM(P18:R18)</f>
        <v>0</v>
      </c>
      <c r="I32" s="179">
        <f>SUM($U$18:$W$18)</f>
        <v>0</v>
      </c>
      <c r="J32" s="179"/>
      <c r="U32" s="28"/>
      <c r="V32" s="28"/>
      <c r="W32" s="28"/>
      <c r="X32" s="29"/>
      <c r="Y32" s="28"/>
      <c r="Z32" s="45"/>
      <c r="AA32" s="28"/>
    </row>
    <row r="33" spans="2:10" x14ac:dyDescent="0.25">
      <c r="B33" s="68" t="s">
        <v>141</v>
      </c>
      <c r="C33" s="70">
        <f>SUM(C24:E24)</f>
        <v>0</v>
      </c>
      <c r="D33" s="70">
        <f>SUM(F24:H24)</f>
        <v>0</v>
      </c>
      <c r="E33" s="70">
        <f>SUM(I24:K24)</f>
        <v>0</v>
      </c>
      <c r="F33" s="70">
        <f>SUM(L24:N24)</f>
        <v>0</v>
      </c>
      <c r="G33" s="70">
        <f>SUM(O24:Q24)</f>
        <v>0</v>
      </c>
      <c r="H33" s="70">
        <f>SUM(P24:R24)</f>
        <v>0</v>
      </c>
      <c r="I33" s="179">
        <f>SUM($U$24:$W$24)</f>
        <v>0</v>
      </c>
      <c r="J33" s="179"/>
    </row>
    <row r="34" spans="2:10" x14ac:dyDescent="0.25">
      <c r="B34" s="66" t="s">
        <v>148</v>
      </c>
      <c r="C34" s="69">
        <f>SUM(C30:C33)</f>
        <v>0</v>
      </c>
      <c r="D34" s="69">
        <f t="shared" ref="D34:G34" si="5">SUM(D30:D33)</f>
        <v>0</v>
      </c>
      <c r="E34" s="69">
        <f t="shared" si="5"/>
        <v>0</v>
      </c>
      <c r="F34" s="69">
        <f t="shared" si="5"/>
        <v>0</v>
      </c>
      <c r="G34" s="69">
        <f t="shared" si="5"/>
        <v>0</v>
      </c>
      <c r="H34" s="69">
        <f t="shared" ref="H34" si="6">SUM(H30:H33)</f>
        <v>0</v>
      </c>
      <c r="I34" s="65"/>
      <c r="J34" s="71"/>
    </row>
    <row r="35" spans="2:10" x14ac:dyDescent="0.25">
      <c r="C35" s="28"/>
      <c r="D35" s="28"/>
      <c r="E35" s="28"/>
      <c r="F35" s="28"/>
      <c r="G35" s="67"/>
      <c r="H35" s="67" t="s">
        <v>142</v>
      </c>
      <c r="I35" s="179">
        <f>SUM(I30:I33)</f>
        <v>0</v>
      </c>
      <c r="J35" s="179"/>
    </row>
    <row r="36" spans="2:10" x14ac:dyDescent="0.25">
      <c r="C36" s="28"/>
      <c r="D36" s="28"/>
      <c r="E36" s="28"/>
      <c r="F36" s="28"/>
      <c r="G36" s="67"/>
      <c r="H36" s="67"/>
      <c r="I36" s="72"/>
      <c r="J36" s="71"/>
    </row>
    <row r="37" spans="2:10" x14ac:dyDescent="0.25">
      <c r="B37" s="65" t="s">
        <v>150</v>
      </c>
      <c r="C37" s="69">
        <f>C32+C33</f>
        <v>0</v>
      </c>
      <c r="D37" s="69">
        <f t="shared" ref="D37:G37" si="7">D32+D33</f>
        <v>0</v>
      </c>
      <c r="E37" s="69">
        <f t="shared" si="7"/>
        <v>0</v>
      </c>
      <c r="F37" s="69">
        <f t="shared" si="7"/>
        <v>0</v>
      </c>
      <c r="G37" s="69">
        <f t="shared" si="7"/>
        <v>0</v>
      </c>
      <c r="H37" s="69">
        <f t="shared" ref="H37" si="8">H32+H33</f>
        <v>0</v>
      </c>
      <c r="I37" s="179">
        <f>I32+I33</f>
        <v>0</v>
      </c>
      <c r="J37" s="179"/>
    </row>
    <row r="4893" spans="3:5" x14ac:dyDescent="0.25">
      <c r="C4893" s="2">
        <v>0</v>
      </c>
      <c r="D4893" s="2">
        <v>0</v>
      </c>
      <c r="E4893" s="2">
        <v>0</v>
      </c>
    </row>
    <row r="41782" spans="9:11" x14ac:dyDescent="0.25">
      <c r="I41782" s="2">
        <v>0</v>
      </c>
      <c r="J41782" s="2">
        <v>0</v>
      </c>
      <c r="K41782" s="2">
        <v>0</v>
      </c>
    </row>
    <row r="41861" spans="9:11" x14ac:dyDescent="0.25">
      <c r="I41861" s="2">
        <v>0</v>
      </c>
      <c r="J41861" s="2">
        <v>0</v>
      </c>
      <c r="K41861" s="2">
        <v>0</v>
      </c>
    </row>
    <row r="41994" spans="3:8" x14ac:dyDescent="0.25">
      <c r="C41994" s="2">
        <v>0</v>
      </c>
      <c r="D41994" s="2">
        <v>0</v>
      </c>
      <c r="E41994" s="2">
        <v>0</v>
      </c>
      <c r="F41994" s="2">
        <v>0</v>
      </c>
      <c r="G41994" s="2">
        <v>0</v>
      </c>
      <c r="H41994" s="2">
        <v>0</v>
      </c>
    </row>
    <row r="42073" spans="3:8" x14ac:dyDescent="0.25">
      <c r="C42073" s="2">
        <v>0</v>
      </c>
      <c r="D42073" s="2">
        <v>0</v>
      </c>
      <c r="E42073" s="2">
        <v>0</v>
      </c>
      <c r="F42073" s="2">
        <v>0</v>
      </c>
      <c r="G42073" s="2">
        <v>0</v>
      </c>
      <c r="H42073" s="2">
        <v>0</v>
      </c>
    </row>
    <row r="42169" spans="3:17" x14ac:dyDescent="0.25">
      <c r="C42169" s="2">
        <v>0</v>
      </c>
      <c r="D42169" s="2">
        <v>0</v>
      </c>
      <c r="E42169" s="2">
        <v>0</v>
      </c>
      <c r="F42169" s="2">
        <v>0</v>
      </c>
      <c r="G42169" s="2">
        <v>0</v>
      </c>
      <c r="H42169" s="2">
        <v>0</v>
      </c>
      <c r="I42169" s="2">
        <v>0</v>
      </c>
      <c r="J42169" s="2">
        <v>0</v>
      </c>
      <c r="K42169" s="2">
        <v>0</v>
      </c>
      <c r="L42169" s="2">
        <v>0</v>
      </c>
      <c r="M42169" s="2">
        <v>0</v>
      </c>
      <c r="N42169" s="2">
        <v>0</v>
      </c>
      <c r="O42169" s="6">
        <v>0</v>
      </c>
      <c r="P42169" s="6">
        <v>0</v>
      </c>
      <c r="Q42169" s="6">
        <v>0</v>
      </c>
    </row>
    <row r="49893" spans="3:5" x14ac:dyDescent="0.25">
      <c r="C49893" s="2">
        <v>0</v>
      </c>
      <c r="D49893" s="2">
        <v>0</v>
      </c>
      <c r="E49893" s="2">
        <v>0</v>
      </c>
    </row>
  </sheetData>
  <sortState xmlns:xlrd2="http://schemas.microsoft.com/office/spreadsheetml/2017/richdata2" ref="C5:AE5">
    <sortCondition ref="D5"/>
  </sortState>
  <mergeCells count="66">
    <mergeCell ref="I33:J33"/>
    <mergeCell ref="I35:J35"/>
    <mergeCell ref="I37:J37"/>
    <mergeCell ref="R21:T21"/>
    <mergeCell ref="R22:T22"/>
    <mergeCell ref="I30:J30"/>
    <mergeCell ref="I31:J31"/>
    <mergeCell ref="I32:J32"/>
    <mergeCell ref="R3:T3"/>
    <mergeCell ref="R4:T4"/>
    <mergeCell ref="R9:T9"/>
    <mergeCell ref="R10:T10"/>
    <mergeCell ref="R15:T15"/>
    <mergeCell ref="A21:B21"/>
    <mergeCell ref="C21:E21"/>
    <mergeCell ref="F21:H21"/>
    <mergeCell ref="I21:K21"/>
    <mergeCell ref="L21:N21"/>
    <mergeCell ref="X15:AA15"/>
    <mergeCell ref="O10:Q10"/>
    <mergeCell ref="A3:B3"/>
    <mergeCell ref="A9:B9"/>
    <mergeCell ref="C9:E9"/>
    <mergeCell ref="F9:H9"/>
    <mergeCell ref="I9:K9"/>
    <mergeCell ref="C4:E4"/>
    <mergeCell ref="F4:H4"/>
    <mergeCell ref="I4:K4"/>
    <mergeCell ref="C3:E3"/>
    <mergeCell ref="F3:H3"/>
    <mergeCell ref="I3:K3"/>
    <mergeCell ref="A15:B15"/>
    <mergeCell ref="C15:E15"/>
    <mergeCell ref="F15:H15"/>
    <mergeCell ref="O15:Q15"/>
    <mergeCell ref="L15:N15"/>
    <mergeCell ref="R16:T16"/>
    <mergeCell ref="C10:E10"/>
    <mergeCell ref="F10:H10"/>
    <mergeCell ref="I10:K10"/>
    <mergeCell ref="L10:N10"/>
    <mergeCell ref="C16:E16"/>
    <mergeCell ref="F16:H16"/>
    <mergeCell ref="I16:K16"/>
    <mergeCell ref="I15:K15"/>
    <mergeCell ref="C22:E22"/>
    <mergeCell ref="F22:H22"/>
    <mergeCell ref="I22:K22"/>
    <mergeCell ref="L22:N22"/>
    <mergeCell ref="O22:Q22"/>
    <mergeCell ref="U21:W21"/>
    <mergeCell ref="X21:AA21"/>
    <mergeCell ref="O21:Q21"/>
    <mergeCell ref="U15:W15"/>
    <mergeCell ref="L3:N3"/>
    <mergeCell ref="L9:N9"/>
    <mergeCell ref="X3:AA3"/>
    <mergeCell ref="O4:Q4"/>
    <mergeCell ref="O3:Q3"/>
    <mergeCell ref="U3:W3"/>
    <mergeCell ref="L4:N4"/>
    <mergeCell ref="O9:Q9"/>
    <mergeCell ref="U9:W9"/>
    <mergeCell ref="X9:AA9"/>
    <mergeCell ref="L16:N16"/>
    <mergeCell ref="O16:Q16"/>
  </mergeCells>
  <phoneticPr fontId="13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tn_Cargar_Fichaje">
          <controlPr defaultSize="0" autoLine="0" r:id="rId5">
            <anchor moveWithCells="1">
              <from>
                <xdr:col>14</xdr:col>
                <xdr:colOff>228600</xdr:colOff>
                <xdr:row>28</xdr:row>
                <xdr:rowOff>0</xdr:rowOff>
              </from>
              <to>
                <xdr:col>17</xdr:col>
                <xdr:colOff>76200</xdr:colOff>
                <xdr:row>30</xdr:row>
                <xdr:rowOff>19050</xdr:rowOff>
              </to>
            </anchor>
          </controlPr>
        </control>
      </mc:Choice>
      <mc:Fallback>
        <control shapeId="1026" r:id="rId4" name="btn_Cargar_Fichaje"/>
      </mc:Fallback>
    </mc:AlternateContent>
    <mc:AlternateContent xmlns:mc="http://schemas.openxmlformats.org/markup-compatibility/2006">
      <mc:Choice Requires="x14">
        <control shapeId="1025" r:id="rId6" name="btn_Calcular">
          <controlPr defaultSize="0" autoLine="0" r:id="rId7">
            <anchor moveWithCells="1">
              <from>
                <xdr:col>11</xdr:col>
                <xdr:colOff>152400</xdr:colOff>
                <xdr:row>28</xdr:row>
                <xdr:rowOff>0</xdr:rowOff>
              </from>
              <to>
                <xdr:col>14</xdr:col>
                <xdr:colOff>0</xdr:colOff>
                <xdr:row>30</xdr:row>
                <xdr:rowOff>19050</xdr:rowOff>
              </to>
            </anchor>
          </controlPr>
        </control>
      </mc:Choice>
      <mc:Fallback>
        <control shapeId="1025" r:id="rId6" name="btn_Calcular"/>
      </mc:Fallback>
    </mc:AlternateContent>
    <mc:AlternateContent xmlns:mc="http://schemas.openxmlformats.org/markup-compatibility/2006">
      <mc:Choice Requires="x14">
        <control shapeId="1027" r:id="rId8" name="btn_Carga_Jornada">
          <controlPr defaultSize="0" autoLine="0" r:id="rId9">
            <anchor moveWithCells="1">
              <from>
                <xdr:col>11</xdr:col>
                <xdr:colOff>152400</xdr:colOff>
                <xdr:row>31</xdr:row>
                <xdr:rowOff>9525</xdr:rowOff>
              </from>
              <to>
                <xdr:col>14</xdr:col>
                <xdr:colOff>0</xdr:colOff>
                <xdr:row>33</xdr:row>
                <xdr:rowOff>28575</xdr:rowOff>
              </to>
            </anchor>
          </controlPr>
        </control>
      </mc:Choice>
      <mc:Fallback>
        <control shapeId="1027" r:id="rId8" name="btn_Carga_Jornada"/>
      </mc:Fallback>
    </mc:AlternateContent>
    <mc:AlternateContent xmlns:mc="http://schemas.openxmlformats.org/markup-compatibility/2006">
      <mc:Choice Requires="x14">
        <control shapeId="1028" r:id="rId10" name="btn_Carga_Variables">
          <controlPr defaultSize="0" autoLine="0" r:id="rId11">
            <anchor moveWithCells="1">
              <from>
                <xdr:col>14</xdr:col>
                <xdr:colOff>228600</xdr:colOff>
                <xdr:row>31</xdr:row>
                <xdr:rowOff>9525</xdr:rowOff>
              </from>
              <to>
                <xdr:col>17</xdr:col>
                <xdr:colOff>76200</xdr:colOff>
                <xdr:row>33</xdr:row>
                <xdr:rowOff>28575</xdr:rowOff>
              </to>
            </anchor>
          </controlPr>
        </control>
      </mc:Choice>
      <mc:Fallback>
        <control shapeId="1028" r:id="rId10" name="btn_Carga_Variables"/>
      </mc:Fallback>
    </mc:AlternateContent>
    <mc:AlternateContent xmlns:mc="http://schemas.openxmlformats.org/markup-compatibility/2006">
      <mc:Choice Requires="x14">
        <control shapeId="1029" r:id="rId12" name="btn_Genera_Libro">
          <controlPr defaultSize="0" autoLine="0" r:id="rId13">
            <anchor moveWithCells="1">
              <from>
                <xdr:col>11</xdr:col>
                <xdr:colOff>152400</xdr:colOff>
                <xdr:row>34</xdr:row>
                <xdr:rowOff>9525</xdr:rowOff>
              </from>
              <to>
                <xdr:col>14</xdr:col>
                <xdr:colOff>0</xdr:colOff>
                <xdr:row>36</xdr:row>
                <xdr:rowOff>28575</xdr:rowOff>
              </to>
            </anchor>
          </controlPr>
        </control>
      </mc:Choice>
      <mc:Fallback>
        <control shapeId="1029" r:id="rId12" name="btn_Genera_Libr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58CEC-3224-4E1D-B528-BCCE908B3DF5}">
  <sheetPr codeName="Sheet9"/>
  <dimension ref="A1:H8"/>
  <sheetViews>
    <sheetView topLeftCell="A2" workbookViewId="0">
      <selection activeCell="B9" sqref="B9"/>
    </sheetView>
  </sheetViews>
  <sheetFormatPr baseColWidth="10" defaultColWidth="11.42578125" defaultRowHeight="11.25" x14ac:dyDescent="0.2"/>
  <cols>
    <col min="1" max="1" width="2.140625" style="128" customWidth="1"/>
    <col min="2" max="2" width="8.42578125" style="80" customWidth="1"/>
    <col min="3" max="3" width="43.7109375" style="88" customWidth="1"/>
    <col min="4" max="7" width="18.7109375" style="89" customWidth="1"/>
    <col min="8" max="8" width="18.7109375" style="136" customWidth="1"/>
    <col min="9" max="203" width="18.7109375" style="89" customWidth="1"/>
    <col min="204" max="256" width="11.42578125" style="89"/>
    <col min="257" max="257" width="2.140625" style="89" customWidth="1"/>
    <col min="258" max="258" width="8.42578125" style="89" customWidth="1"/>
    <col min="259" max="259" width="43.7109375" style="89" customWidth="1"/>
    <col min="260" max="459" width="18.7109375" style="89" customWidth="1"/>
    <col min="460" max="512" width="11.42578125" style="89"/>
    <col min="513" max="513" width="2.140625" style="89" customWidth="1"/>
    <col min="514" max="514" width="8.42578125" style="89" customWidth="1"/>
    <col min="515" max="515" width="43.7109375" style="89" customWidth="1"/>
    <col min="516" max="715" width="18.7109375" style="89" customWidth="1"/>
    <col min="716" max="768" width="11.42578125" style="89"/>
    <col min="769" max="769" width="2.140625" style="89" customWidth="1"/>
    <col min="770" max="770" width="8.42578125" style="89" customWidth="1"/>
    <col min="771" max="771" width="43.7109375" style="89" customWidth="1"/>
    <col min="772" max="971" width="18.7109375" style="89" customWidth="1"/>
    <col min="972" max="1024" width="11.42578125" style="89"/>
    <col min="1025" max="1025" width="2.140625" style="89" customWidth="1"/>
    <col min="1026" max="1026" width="8.42578125" style="89" customWidth="1"/>
    <col min="1027" max="1027" width="43.7109375" style="89" customWidth="1"/>
    <col min="1028" max="1227" width="18.7109375" style="89" customWidth="1"/>
    <col min="1228" max="1280" width="11.42578125" style="89"/>
    <col min="1281" max="1281" width="2.140625" style="89" customWidth="1"/>
    <col min="1282" max="1282" width="8.42578125" style="89" customWidth="1"/>
    <col min="1283" max="1283" width="43.7109375" style="89" customWidth="1"/>
    <col min="1284" max="1483" width="18.7109375" style="89" customWidth="1"/>
    <col min="1484" max="1536" width="11.42578125" style="89"/>
    <col min="1537" max="1537" width="2.140625" style="89" customWidth="1"/>
    <col min="1538" max="1538" width="8.42578125" style="89" customWidth="1"/>
    <col min="1539" max="1539" width="43.7109375" style="89" customWidth="1"/>
    <col min="1540" max="1739" width="18.7109375" style="89" customWidth="1"/>
    <col min="1740" max="1792" width="11.42578125" style="89"/>
    <col min="1793" max="1793" width="2.140625" style="89" customWidth="1"/>
    <col min="1794" max="1794" width="8.42578125" style="89" customWidth="1"/>
    <col min="1795" max="1795" width="43.7109375" style="89" customWidth="1"/>
    <col min="1796" max="1995" width="18.7109375" style="89" customWidth="1"/>
    <col min="1996" max="2048" width="11.42578125" style="89"/>
    <col min="2049" max="2049" width="2.140625" style="89" customWidth="1"/>
    <col min="2050" max="2050" width="8.42578125" style="89" customWidth="1"/>
    <col min="2051" max="2051" width="43.7109375" style="89" customWidth="1"/>
    <col min="2052" max="2251" width="18.7109375" style="89" customWidth="1"/>
    <col min="2252" max="2304" width="11.42578125" style="89"/>
    <col min="2305" max="2305" width="2.140625" style="89" customWidth="1"/>
    <col min="2306" max="2306" width="8.42578125" style="89" customWidth="1"/>
    <col min="2307" max="2307" width="43.7109375" style="89" customWidth="1"/>
    <col min="2308" max="2507" width="18.7109375" style="89" customWidth="1"/>
    <col min="2508" max="2560" width="11.42578125" style="89"/>
    <col min="2561" max="2561" width="2.140625" style="89" customWidth="1"/>
    <col min="2562" max="2562" width="8.42578125" style="89" customWidth="1"/>
    <col min="2563" max="2563" width="43.7109375" style="89" customWidth="1"/>
    <col min="2564" max="2763" width="18.7109375" style="89" customWidth="1"/>
    <col min="2764" max="2816" width="11.42578125" style="89"/>
    <col min="2817" max="2817" width="2.140625" style="89" customWidth="1"/>
    <col min="2818" max="2818" width="8.42578125" style="89" customWidth="1"/>
    <col min="2819" max="2819" width="43.7109375" style="89" customWidth="1"/>
    <col min="2820" max="3019" width="18.7109375" style="89" customWidth="1"/>
    <col min="3020" max="3072" width="11.42578125" style="89"/>
    <col min="3073" max="3073" width="2.140625" style="89" customWidth="1"/>
    <col min="3074" max="3074" width="8.42578125" style="89" customWidth="1"/>
    <col min="3075" max="3075" width="43.7109375" style="89" customWidth="1"/>
    <col min="3076" max="3275" width="18.7109375" style="89" customWidth="1"/>
    <col min="3276" max="3328" width="11.42578125" style="89"/>
    <col min="3329" max="3329" width="2.140625" style="89" customWidth="1"/>
    <col min="3330" max="3330" width="8.42578125" style="89" customWidth="1"/>
    <col min="3331" max="3331" width="43.7109375" style="89" customWidth="1"/>
    <col min="3332" max="3531" width="18.7109375" style="89" customWidth="1"/>
    <col min="3532" max="3584" width="11.42578125" style="89"/>
    <col min="3585" max="3585" width="2.140625" style="89" customWidth="1"/>
    <col min="3586" max="3586" width="8.42578125" style="89" customWidth="1"/>
    <col min="3587" max="3587" width="43.7109375" style="89" customWidth="1"/>
    <col min="3588" max="3787" width="18.7109375" style="89" customWidth="1"/>
    <col min="3788" max="3840" width="11.42578125" style="89"/>
    <col min="3841" max="3841" width="2.140625" style="89" customWidth="1"/>
    <col min="3842" max="3842" width="8.42578125" style="89" customWidth="1"/>
    <col min="3843" max="3843" width="43.7109375" style="89" customWidth="1"/>
    <col min="3844" max="4043" width="18.7109375" style="89" customWidth="1"/>
    <col min="4044" max="4096" width="11.42578125" style="89"/>
    <col min="4097" max="4097" width="2.140625" style="89" customWidth="1"/>
    <col min="4098" max="4098" width="8.42578125" style="89" customWidth="1"/>
    <col min="4099" max="4099" width="43.7109375" style="89" customWidth="1"/>
    <col min="4100" max="4299" width="18.7109375" style="89" customWidth="1"/>
    <col min="4300" max="4352" width="11.42578125" style="89"/>
    <col min="4353" max="4353" width="2.140625" style="89" customWidth="1"/>
    <col min="4354" max="4354" width="8.42578125" style="89" customWidth="1"/>
    <col min="4355" max="4355" width="43.7109375" style="89" customWidth="1"/>
    <col min="4356" max="4555" width="18.7109375" style="89" customWidth="1"/>
    <col min="4556" max="4608" width="11.42578125" style="89"/>
    <col min="4609" max="4609" width="2.140625" style="89" customWidth="1"/>
    <col min="4610" max="4610" width="8.42578125" style="89" customWidth="1"/>
    <col min="4611" max="4611" width="43.7109375" style="89" customWidth="1"/>
    <col min="4612" max="4811" width="18.7109375" style="89" customWidth="1"/>
    <col min="4812" max="4864" width="11.42578125" style="89"/>
    <col min="4865" max="4865" width="2.140625" style="89" customWidth="1"/>
    <col min="4866" max="4866" width="8.42578125" style="89" customWidth="1"/>
    <col min="4867" max="4867" width="43.7109375" style="89" customWidth="1"/>
    <col min="4868" max="5067" width="18.7109375" style="89" customWidth="1"/>
    <col min="5068" max="5120" width="11.42578125" style="89"/>
    <col min="5121" max="5121" width="2.140625" style="89" customWidth="1"/>
    <col min="5122" max="5122" width="8.42578125" style="89" customWidth="1"/>
    <col min="5123" max="5123" width="43.7109375" style="89" customWidth="1"/>
    <col min="5124" max="5323" width="18.7109375" style="89" customWidth="1"/>
    <col min="5324" max="5376" width="11.42578125" style="89"/>
    <col min="5377" max="5377" width="2.140625" style="89" customWidth="1"/>
    <col min="5378" max="5378" width="8.42578125" style="89" customWidth="1"/>
    <col min="5379" max="5379" width="43.7109375" style="89" customWidth="1"/>
    <col min="5380" max="5579" width="18.7109375" style="89" customWidth="1"/>
    <col min="5580" max="5632" width="11.42578125" style="89"/>
    <col min="5633" max="5633" width="2.140625" style="89" customWidth="1"/>
    <col min="5634" max="5634" width="8.42578125" style="89" customWidth="1"/>
    <col min="5635" max="5635" width="43.7109375" style="89" customWidth="1"/>
    <col min="5636" max="5835" width="18.7109375" style="89" customWidth="1"/>
    <col min="5836" max="5888" width="11.42578125" style="89"/>
    <col min="5889" max="5889" width="2.140625" style="89" customWidth="1"/>
    <col min="5890" max="5890" width="8.42578125" style="89" customWidth="1"/>
    <col min="5891" max="5891" width="43.7109375" style="89" customWidth="1"/>
    <col min="5892" max="6091" width="18.7109375" style="89" customWidth="1"/>
    <col min="6092" max="6144" width="11.42578125" style="89"/>
    <col min="6145" max="6145" width="2.140625" style="89" customWidth="1"/>
    <col min="6146" max="6146" width="8.42578125" style="89" customWidth="1"/>
    <col min="6147" max="6147" width="43.7109375" style="89" customWidth="1"/>
    <col min="6148" max="6347" width="18.7109375" style="89" customWidth="1"/>
    <col min="6348" max="6400" width="11.42578125" style="89"/>
    <col min="6401" max="6401" width="2.140625" style="89" customWidth="1"/>
    <col min="6402" max="6402" width="8.42578125" style="89" customWidth="1"/>
    <col min="6403" max="6403" width="43.7109375" style="89" customWidth="1"/>
    <col min="6404" max="6603" width="18.7109375" style="89" customWidth="1"/>
    <col min="6604" max="6656" width="11.42578125" style="89"/>
    <col min="6657" max="6657" width="2.140625" style="89" customWidth="1"/>
    <col min="6658" max="6658" width="8.42578125" style="89" customWidth="1"/>
    <col min="6659" max="6659" width="43.7109375" style="89" customWidth="1"/>
    <col min="6660" max="6859" width="18.7109375" style="89" customWidth="1"/>
    <col min="6860" max="6912" width="11.42578125" style="89"/>
    <col min="6913" max="6913" width="2.140625" style="89" customWidth="1"/>
    <col min="6914" max="6914" width="8.42578125" style="89" customWidth="1"/>
    <col min="6915" max="6915" width="43.7109375" style="89" customWidth="1"/>
    <col min="6916" max="7115" width="18.7109375" style="89" customWidth="1"/>
    <col min="7116" max="7168" width="11.42578125" style="89"/>
    <col min="7169" max="7169" width="2.140625" style="89" customWidth="1"/>
    <col min="7170" max="7170" width="8.42578125" style="89" customWidth="1"/>
    <col min="7171" max="7171" width="43.7109375" style="89" customWidth="1"/>
    <col min="7172" max="7371" width="18.7109375" style="89" customWidth="1"/>
    <col min="7372" max="7424" width="11.42578125" style="89"/>
    <col min="7425" max="7425" width="2.140625" style="89" customWidth="1"/>
    <col min="7426" max="7426" width="8.42578125" style="89" customWidth="1"/>
    <col min="7427" max="7427" width="43.7109375" style="89" customWidth="1"/>
    <col min="7428" max="7627" width="18.7109375" style="89" customWidth="1"/>
    <col min="7628" max="7680" width="11.42578125" style="89"/>
    <col min="7681" max="7681" width="2.140625" style="89" customWidth="1"/>
    <col min="7682" max="7682" width="8.42578125" style="89" customWidth="1"/>
    <col min="7683" max="7683" width="43.7109375" style="89" customWidth="1"/>
    <col min="7684" max="7883" width="18.7109375" style="89" customWidth="1"/>
    <col min="7884" max="7936" width="11.42578125" style="89"/>
    <col min="7937" max="7937" width="2.140625" style="89" customWidth="1"/>
    <col min="7938" max="7938" width="8.42578125" style="89" customWidth="1"/>
    <col min="7939" max="7939" width="43.7109375" style="89" customWidth="1"/>
    <col min="7940" max="8139" width="18.7109375" style="89" customWidth="1"/>
    <col min="8140" max="8192" width="11.42578125" style="89"/>
    <col min="8193" max="8193" width="2.140625" style="89" customWidth="1"/>
    <col min="8194" max="8194" width="8.42578125" style="89" customWidth="1"/>
    <col min="8195" max="8195" width="43.7109375" style="89" customWidth="1"/>
    <col min="8196" max="8395" width="18.7109375" style="89" customWidth="1"/>
    <col min="8396" max="8448" width="11.42578125" style="89"/>
    <col min="8449" max="8449" width="2.140625" style="89" customWidth="1"/>
    <col min="8450" max="8450" width="8.42578125" style="89" customWidth="1"/>
    <col min="8451" max="8451" width="43.7109375" style="89" customWidth="1"/>
    <col min="8452" max="8651" width="18.7109375" style="89" customWidth="1"/>
    <col min="8652" max="8704" width="11.42578125" style="89"/>
    <col min="8705" max="8705" width="2.140625" style="89" customWidth="1"/>
    <col min="8706" max="8706" width="8.42578125" style="89" customWidth="1"/>
    <col min="8707" max="8707" width="43.7109375" style="89" customWidth="1"/>
    <col min="8708" max="8907" width="18.7109375" style="89" customWidth="1"/>
    <col min="8908" max="8960" width="11.42578125" style="89"/>
    <col min="8961" max="8961" width="2.140625" style="89" customWidth="1"/>
    <col min="8962" max="8962" width="8.42578125" style="89" customWidth="1"/>
    <col min="8963" max="8963" width="43.7109375" style="89" customWidth="1"/>
    <col min="8964" max="9163" width="18.7109375" style="89" customWidth="1"/>
    <col min="9164" max="9216" width="11.42578125" style="89"/>
    <col min="9217" max="9217" width="2.140625" style="89" customWidth="1"/>
    <col min="9218" max="9218" width="8.42578125" style="89" customWidth="1"/>
    <col min="9219" max="9219" width="43.7109375" style="89" customWidth="1"/>
    <col min="9220" max="9419" width="18.7109375" style="89" customWidth="1"/>
    <col min="9420" max="9472" width="11.42578125" style="89"/>
    <col min="9473" max="9473" width="2.140625" style="89" customWidth="1"/>
    <col min="9474" max="9474" width="8.42578125" style="89" customWidth="1"/>
    <col min="9475" max="9475" width="43.7109375" style="89" customWidth="1"/>
    <col min="9476" max="9675" width="18.7109375" style="89" customWidth="1"/>
    <col min="9676" max="9728" width="11.42578125" style="89"/>
    <col min="9729" max="9729" width="2.140625" style="89" customWidth="1"/>
    <col min="9730" max="9730" width="8.42578125" style="89" customWidth="1"/>
    <col min="9731" max="9731" width="43.7109375" style="89" customWidth="1"/>
    <col min="9732" max="9931" width="18.7109375" style="89" customWidth="1"/>
    <col min="9932" max="9984" width="11.42578125" style="89"/>
    <col min="9985" max="9985" width="2.140625" style="89" customWidth="1"/>
    <col min="9986" max="9986" width="8.42578125" style="89" customWidth="1"/>
    <col min="9987" max="9987" width="43.7109375" style="89" customWidth="1"/>
    <col min="9988" max="10187" width="18.7109375" style="89" customWidth="1"/>
    <col min="10188" max="10240" width="11.42578125" style="89"/>
    <col min="10241" max="10241" width="2.140625" style="89" customWidth="1"/>
    <col min="10242" max="10242" width="8.42578125" style="89" customWidth="1"/>
    <col min="10243" max="10243" width="43.7109375" style="89" customWidth="1"/>
    <col min="10244" max="10443" width="18.7109375" style="89" customWidth="1"/>
    <col min="10444" max="10496" width="11.42578125" style="89"/>
    <col min="10497" max="10497" width="2.140625" style="89" customWidth="1"/>
    <col min="10498" max="10498" width="8.42578125" style="89" customWidth="1"/>
    <col min="10499" max="10499" width="43.7109375" style="89" customWidth="1"/>
    <col min="10500" max="10699" width="18.7109375" style="89" customWidth="1"/>
    <col min="10700" max="10752" width="11.42578125" style="89"/>
    <col min="10753" max="10753" width="2.140625" style="89" customWidth="1"/>
    <col min="10754" max="10754" width="8.42578125" style="89" customWidth="1"/>
    <col min="10755" max="10755" width="43.7109375" style="89" customWidth="1"/>
    <col min="10756" max="10955" width="18.7109375" style="89" customWidth="1"/>
    <col min="10956" max="11008" width="11.42578125" style="89"/>
    <col min="11009" max="11009" width="2.140625" style="89" customWidth="1"/>
    <col min="11010" max="11010" width="8.42578125" style="89" customWidth="1"/>
    <col min="11011" max="11011" width="43.7109375" style="89" customWidth="1"/>
    <col min="11012" max="11211" width="18.7109375" style="89" customWidth="1"/>
    <col min="11212" max="11264" width="11.42578125" style="89"/>
    <col min="11265" max="11265" width="2.140625" style="89" customWidth="1"/>
    <col min="11266" max="11266" width="8.42578125" style="89" customWidth="1"/>
    <col min="11267" max="11267" width="43.7109375" style="89" customWidth="1"/>
    <col min="11268" max="11467" width="18.7109375" style="89" customWidth="1"/>
    <col min="11468" max="11520" width="11.42578125" style="89"/>
    <col min="11521" max="11521" width="2.140625" style="89" customWidth="1"/>
    <col min="11522" max="11522" width="8.42578125" style="89" customWidth="1"/>
    <col min="11523" max="11523" width="43.7109375" style="89" customWidth="1"/>
    <col min="11524" max="11723" width="18.7109375" style="89" customWidth="1"/>
    <col min="11724" max="11776" width="11.42578125" style="89"/>
    <col min="11777" max="11777" width="2.140625" style="89" customWidth="1"/>
    <col min="11778" max="11778" width="8.42578125" style="89" customWidth="1"/>
    <col min="11779" max="11779" width="43.7109375" style="89" customWidth="1"/>
    <col min="11780" max="11979" width="18.7109375" style="89" customWidth="1"/>
    <col min="11980" max="12032" width="11.42578125" style="89"/>
    <col min="12033" max="12033" width="2.140625" style="89" customWidth="1"/>
    <col min="12034" max="12034" width="8.42578125" style="89" customWidth="1"/>
    <col min="12035" max="12035" width="43.7109375" style="89" customWidth="1"/>
    <col min="12036" max="12235" width="18.7109375" style="89" customWidth="1"/>
    <col min="12236" max="12288" width="11.42578125" style="89"/>
    <col min="12289" max="12289" width="2.140625" style="89" customWidth="1"/>
    <col min="12290" max="12290" width="8.42578125" style="89" customWidth="1"/>
    <col min="12291" max="12291" width="43.7109375" style="89" customWidth="1"/>
    <col min="12292" max="12491" width="18.7109375" style="89" customWidth="1"/>
    <col min="12492" max="12544" width="11.42578125" style="89"/>
    <col min="12545" max="12545" width="2.140625" style="89" customWidth="1"/>
    <col min="12546" max="12546" width="8.42578125" style="89" customWidth="1"/>
    <col min="12547" max="12547" width="43.7109375" style="89" customWidth="1"/>
    <col min="12548" max="12747" width="18.7109375" style="89" customWidth="1"/>
    <col min="12748" max="12800" width="11.42578125" style="89"/>
    <col min="12801" max="12801" width="2.140625" style="89" customWidth="1"/>
    <col min="12802" max="12802" width="8.42578125" style="89" customWidth="1"/>
    <col min="12803" max="12803" width="43.7109375" style="89" customWidth="1"/>
    <col min="12804" max="13003" width="18.7109375" style="89" customWidth="1"/>
    <col min="13004" max="13056" width="11.42578125" style="89"/>
    <col min="13057" max="13057" width="2.140625" style="89" customWidth="1"/>
    <col min="13058" max="13058" width="8.42578125" style="89" customWidth="1"/>
    <col min="13059" max="13059" width="43.7109375" style="89" customWidth="1"/>
    <col min="13060" max="13259" width="18.7109375" style="89" customWidth="1"/>
    <col min="13260" max="13312" width="11.42578125" style="89"/>
    <col min="13313" max="13313" width="2.140625" style="89" customWidth="1"/>
    <col min="13314" max="13314" width="8.42578125" style="89" customWidth="1"/>
    <col min="13315" max="13315" width="43.7109375" style="89" customWidth="1"/>
    <col min="13316" max="13515" width="18.7109375" style="89" customWidth="1"/>
    <col min="13516" max="13568" width="11.42578125" style="89"/>
    <col min="13569" max="13569" width="2.140625" style="89" customWidth="1"/>
    <col min="13570" max="13570" width="8.42578125" style="89" customWidth="1"/>
    <col min="13571" max="13571" width="43.7109375" style="89" customWidth="1"/>
    <col min="13572" max="13771" width="18.7109375" style="89" customWidth="1"/>
    <col min="13772" max="13824" width="11.42578125" style="89"/>
    <col min="13825" max="13825" width="2.140625" style="89" customWidth="1"/>
    <col min="13826" max="13826" width="8.42578125" style="89" customWidth="1"/>
    <col min="13827" max="13827" width="43.7109375" style="89" customWidth="1"/>
    <col min="13828" max="14027" width="18.7109375" style="89" customWidth="1"/>
    <col min="14028" max="14080" width="11.42578125" style="89"/>
    <col min="14081" max="14081" width="2.140625" style="89" customWidth="1"/>
    <col min="14082" max="14082" width="8.42578125" style="89" customWidth="1"/>
    <col min="14083" max="14083" width="43.7109375" style="89" customWidth="1"/>
    <col min="14084" max="14283" width="18.7109375" style="89" customWidth="1"/>
    <col min="14284" max="14336" width="11.42578125" style="89"/>
    <col min="14337" max="14337" width="2.140625" style="89" customWidth="1"/>
    <col min="14338" max="14338" width="8.42578125" style="89" customWidth="1"/>
    <col min="14339" max="14339" width="43.7109375" style="89" customWidth="1"/>
    <col min="14340" max="14539" width="18.7109375" style="89" customWidth="1"/>
    <col min="14540" max="14592" width="11.42578125" style="89"/>
    <col min="14593" max="14593" width="2.140625" style="89" customWidth="1"/>
    <col min="14594" max="14594" width="8.42578125" style="89" customWidth="1"/>
    <col min="14595" max="14595" width="43.7109375" style="89" customWidth="1"/>
    <col min="14596" max="14795" width="18.7109375" style="89" customWidth="1"/>
    <col min="14796" max="14848" width="11.42578125" style="89"/>
    <col min="14849" max="14849" width="2.140625" style="89" customWidth="1"/>
    <col min="14850" max="14850" width="8.42578125" style="89" customWidth="1"/>
    <col min="14851" max="14851" width="43.7109375" style="89" customWidth="1"/>
    <col min="14852" max="15051" width="18.7109375" style="89" customWidth="1"/>
    <col min="15052" max="15104" width="11.42578125" style="89"/>
    <col min="15105" max="15105" width="2.140625" style="89" customWidth="1"/>
    <col min="15106" max="15106" width="8.42578125" style="89" customWidth="1"/>
    <col min="15107" max="15107" width="43.7109375" style="89" customWidth="1"/>
    <col min="15108" max="15307" width="18.7109375" style="89" customWidth="1"/>
    <col min="15308" max="15360" width="11.42578125" style="89"/>
    <col min="15361" max="15361" width="2.140625" style="89" customWidth="1"/>
    <col min="15362" max="15362" width="8.42578125" style="89" customWidth="1"/>
    <col min="15363" max="15363" width="43.7109375" style="89" customWidth="1"/>
    <col min="15364" max="15563" width="18.7109375" style="89" customWidth="1"/>
    <col min="15564" max="15616" width="11.42578125" style="89"/>
    <col min="15617" max="15617" width="2.140625" style="89" customWidth="1"/>
    <col min="15618" max="15618" width="8.42578125" style="89" customWidth="1"/>
    <col min="15619" max="15619" width="43.7109375" style="89" customWidth="1"/>
    <col min="15620" max="15819" width="18.7109375" style="89" customWidth="1"/>
    <col min="15820" max="15872" width="11.42578125" style="89"/>
    <col min="15873" max="15873" width="2.140625" style="89" customWidth="1"/>
    <col min="15874" max="15874" width="8.42578125" style="89" customWidth="1"/>
    <col min="15875" max="15875" width="43.7109375" style="89" customWidth="1"/>
    <col min="15876" max="16075" width="18.7109375" style="89" customWidth="1"/>
    <col min="16076" max="16128" width="11.42578125" style="89"/>
    <col min="16129" max="16129" width="2.140625" style="89" customWidth="1"/>
    <col min="16130" max="16130" width="8.42578125" style="89" customWidth="1"/>
    <col min="16131" max="16131" width="43.7109375" style="89" customWidth="1"/>
    <col min="16132" max="16331" width="18.7109375" style="89" customWidth="1"/>
    <col min="16332" max="16384" width="11.42578125" style="89"/>
  </cols>
  <sheetData>
    <row r="1" spans="1:6" s="128" customFormat="1" ht="12.75" hidden="1" x14ac:dyDescent="0.2">
      <c r="A1" s="126" t="s">
        <v>1045</v>
      </c>
      <c r="B1" s="127"/>
      <c r="C1" s="127"/>
      <c r="D1" s="127"/>
      <c r="E1" s="127"/>
      <c r="F1" s="127"/>
    </row>
    <row r="2" spans="1:6" s="128" customFormat="1" ht="12.75" x14ac:dyDescent="0.2">
      <c r="B2" s="127"/>
      <c r="C2" s="129" t="s">
        <v>156</v>
      </c>
      <c r="D2" s="129">
        <v>118</v>
      </c>
      <c r="E2" s="130" t="s">
        <v>1046</v>
      </c>
      <c r="F2" s="127"/>
    </row>
    <row r="3" spans="1:6" s="128" customFormat="1" ht="12.75" x14ac:dyDescent="0.2">
      <c r="B3" s="127"/>
      <c r="C3" s="129" t="s">
        <v>158</v>
      </c>
      <c r="D3" s="129">
        <v>6</v>
      </c>
      <c r="E3" s="130" t="s">
        <v>1047</v>
      </c>
      <c r="F3" s="127"/>
    </row>
    <row r="4" spans="1:6" s="128" customFormat="1" ht="12.75" x14ac:dyDescent="0.2">
      <c r="B4" s="127"/>
      <c r="C4" s="129"/>
      <c r="D4" s="127"/>
      <c r="E4" s="130"/>
      <c r="F4" s="127"/>
    </row>
    <row r="5" spans="1:6" s="128" customFormat="1" ht="12.75" x14ac:dyDescent="0.2">
      <c r="B5" s="127"/>
      <c r="C5" s="129" t="s">
        <v>162</v>
      </c>
      <c r="D5" s="130" t="s">
        <v>163</v>
      </c>
      <c r="E5" s="130"/>
      <c r="F5" s="127"/>
    </row>
    <row r="6" spans="1:6" s="132" customFormat="1" ht="12.75" customHeight="1" x14ac:dyDescent="0.2">
      <c r="A6" s="128"/>
      <c r="B6" s="131"/>
      <c r="C6" s="131"/>
      <c r="D6" s="131"/>
      <c r="E6" s="131"/>
      <c r="F6" s="131"/>
    </row>
    <row r="7" spans="1:6" s="79" customFormat="1" ht="12.75" x14ac:dyDescent="0.2">
      <c r="A7" s="128"/>
      <c r="B7" s="180" t="s">
        <v>167</v>
      </c>
      <c r="C7" s="181"/>
    </row>
    <row r="8" spans="1:6" s="82" customFormat="1" ht="12.75" x14ac:dyDescent="0.2">
      <c r="A8" s="135"/>
      <c r="B8" s="133" t="s">
        <v>0</v>
      </c>
      <c r="C8" s="134" t="s">
        <v>1</v>
      </c>
      <c r="D8" s="82" t="s">
        <v>1048</v>
      </c>
      <c r="E8" s="82" t="s">
        <v>1049</v>
      </c>
      <c r="F8" s="82" t="s">
        <v>1050</v>
      </c>
    </row>
  </sheetData>
  <mergeCells count="1">
    <mergeCell ref="B7:C7"/>
  </mergeCells>
  <dataValidations count="1">
    <dataValidation type="decimal" allowBlank="1" showInputMessage="1" showErrorMessage="1" sqref="D51:D65536 IZ9:SR65536 SV9:ACN65536 ACR9:AMJ65536 AMN9:AWF65536 AWJ9:BGB65536 BGF9:BPX65536 BQB9:BZT65536 BZX9:CJP65536 CJT9:CTL65536 CTP9:DDH65536 DDL9:DND65536 DNH9:DWZ65536 DXD9:EGV65536 EGZ9:EQR65536 EQV9:FAN65536 FAR9:FKJ65536 FKN9:FUF65536 FUJ9:GEB65536 GEF9:GNX65536 GOB9:GXT65536 GXX9:HHP65536 HHT9:HRL65536 HRP9:IBH65536 IBL9:ILD65536 ILH9:IUZ65536 IVD9:JEV65536 JEZ9:JOR65536 JOV9:JYN65536 JYR9:KIJ65536 KIN9:KSF65536 KSJ9:LCB65536 LCF9:LLX65536 LMB9:LVT65536 LVX9:MFP65536 MFT9:MPL65536 MPP9:MZH65536 MZL9:NJD65536 NJH9:NSZ65536 NTD9:OCV65536 OCZ9:OMR65536 OMV9:OWN65536 OWR9:PGJ65536 PGN9:PQF65536 PQJ9:QAB65536 QAF9:QJX65536 QKB9:QTT65536 QTX9:RDP65536 RDT9:RNL65536 RNP9:RXH65536 RXL9:SHD65536 SHH9:SQZ65536 SRD9:TAV65536 TAZ9:TKR65536 TKV9:TUN65536 TUR9:UEJ65536 UEN9:UOF65536 UOJ9:UYB65536 UYF9:VHX65536 VIB9:VRT65536 VRX9:WBP65536 WBT9:WLL65536 WLP9:WVH65536 WVL9:XFD65536 D65545:IV131072 IZ65545:SR131072 SV65545:ACN131072 ACR65545:AMJ131072 AMN65545:AWF131072 AWJ65545:BGB131072 BGF65545:BPX131072 BQB65545:BZT131072 BZX65545:CJP131072 CJT65545:CTL131072 CTP65545:DDH131072 DDL65545:DND131072 DNH65545:DWZ131072 DXD65545:EGV131072 EGZ65545:EQR131072 EQV65545:FAN131072 FAR65545:FKJ131072 FKN65545:FUF131072 FUJ65545:GEB131072 GEF65545:GNX131072 GOB65545:GXT131072 GXX65545:HHP131072 HHT65545:HRL131072 HRP65545:IBH131072 IBL65545:ILD131072 ILH65545:IUZ131072 IVD65545:JEV131072 JEZ65545:JOR131072 JOV65545:JYN131072 JYR65545:KIJ131072 KIN65545:KSF131072 KSJ65545:LCB131072 LCF65545:LLX131072 LMB65545:LVT131072 LVX65545:MFP131072 MFT65545:MPL131072 MPP65545:MZH131072 MZL65545:NJD131072 NJH65545:NSZ131072 NTD65545:OCV131072 OCZ65545:OMR131072 OMV65545:OWN131072 OWR65545:PGJ131072 PGN65545:PQF131072 PQJ65545:QAB131072 QAF65545:QJX131072 QKB65545:QTT131072 QTX65545:RDP131072 RDT65545:RNL131072 RNP65545:RXH131072 RXL65545:SHD131072 SHH65545:SQZ131072 SRD65545:TAV131072 TAZ65545:TKR131072 TKV65545:TUN131072 TUR65545:UEJ131072 UEN65545:UOF131072 UOJ65545:UYB131072 UYF65545:VHX131072 VIB65545:VRT131072 VRX65545:WBP131072 WBT65545:WLL131072 WLP65545:WVH131072 WVL65545:XFD131072 D131081:IV196608 IZ131081:SR196608 SV131081:ACN196608 ACR131081:AMJ196608 AMN131081:AWF196608 AWJ131081:BGB196608 BGF131081:BPX196608 BQB131081:BZT196608 BZX131081:CJP196608 CJT131081:CTL196608 CTP131081:DDH196608 DDL131081:DND196608 DNH131081:DWZ196608 DXD131081:EGV196608 EGZ131081:EQR196608 EQV131081:FAN196608 FAR131081:FKJ196608 FKN131081:FUF196608 FUJ131081:GEB196608 GEF131081:GNX196608 GOB131081:GXT196608 GXX131081:HHP196608 HHT131081:HRL196608 HRP131081:IBH196608 IBL131081:ILD196608 ILH131081:IUZ196608 IVD131081:JEV196608 JEZ131081:JOR196608 JOV131081:JYN196608 JYR131081:KIJ196608 KIN131081:KSF196608 KSJ131081:LCB196608 LCF131081:LLX196608 LMB131081:LVT196608 LVX131081:MFP196608 MFT131081:MPL196608 MPP131081:MZH196608 MZL131081:NJD196608 NJH131081:NSZ196608 NTD131081:OCV196608 OCZ131081:OMR196608 OMV131081:OWN196608 OWR131081:PGJ196608 PGN131081:PQF196608 PQJ131081:QAB196608 QAF131081:QJX196608 QKB131081:QTT196608 QTX131081:RDP196608 RDT131081:RNL196608 RNP131081:RXH196608 RXL131081:SHD196608 SHH131081:SQZ196608 SRD131081:TAV196608 TAZ131081:TKR196608 TKV131081:TUN196608 TUR131081:UEJ196608 UEN131081:UOF196608 UOJ131081:UYB196608 UYF131081:VHX196608 VIB131081:VRT196608 VRX131081:WBP196608 WBT131081:WLL196608 WLP131081:WVH196608 WVL131081:XFD196608 D196617:IV262144 IZ196617:SR262144 SV196617:ACN262144 ACR196617:AMJ262144 AMN196617:AWF262144 AWJ196617:BGB262144 BGF196617:BPX262144 BQB196617:BZT262144 BZX196617:CJP262144 CJT196617:CTL262144 CTP196617:DDH262144 DDL196617:DND262144 DNH196617:DWZ262144 DXD196617:EGV262144 EGZ196617:EQR262144 EQV196617:FAN262144 FAR196617:FKJ262144 FKN196617:FUF262144 FUJ196617:GEB262144 GEF196617:GNX262144 GOB196617:GXT262144 GXX196617:HHP262144 HHT196617:HRL262144 HRP196617:IBH262144 IBL196617:ILD262144 ILH196617:IUZ262144 IVD196617:JEV262144 JEZ196617:JOR262144 JOV196617:JYN262144 JYR196617:KIJ262144 KIN196617:KSF262144 KSJ196617:LCB262144 LCF196617:LLX262144 LMB196617:LVT262144 LVX196617:MFP262144 MFT196617:MPL262144 MPP196617:MZH262144 MZL196617:NJD262144 NJH196617:NSZ262144 NTD196617:OCV262144 OCZ196617:OMR262144 OMV196617:OWN262144 OWR196617:PGJ262144 PGN196617:PQF262144 PQJ196617:QAB262144 QAF196617:QJX262144 QKB196617:QTT262144 QTX196617:RDP262144 RDT196617:RNL262144 RNP196617:RXH262144 RXL196617:SHD262144 SHH196617:SQZ262144 SRD196617:TAV262144 TAZ196617:TKR262144 TKV196617:TUN262144 TUR196617:UEJ262144 UEN196617:UOF262144 UOJ196617:UYB262144 UYF196617:VHX262144 VIB196617:VRT262144 VRX196617:WBP262144 WBT196617:WLL262144 WLP196617:WVH262144 WVL196617:XFD262144 D262153:IV327680 IZ262153:SR327680 SV262153:ACN327680 ACR262153:AMJ327680 AMN262153:AWF327680 AWJ262153:BGB327680 BGF262153:BPX327680 BQB262153:BZT327680 BZX262153:CJP327680 CJT262153:CTL327680 CTP262153:DDH327680 DDL262153:DND327680 DNH262153:DWZ327680 DXD262153:EGV327680 EGZ262153:EQR327680 EQV262153:FAN327680 FAR262153:FKJ327680 FKN262153:FUF327680 FUJ262153:GEB327680 GEF262153:GNX327680 GOB262153:GXT327680 GXX262153:HHP327680 HHT262153:HRL327680 HRP262153:IBH327680 IBL262153:ILD327680 ILH262153:IUZ327680 IVD262153:JEV327680 JEZ262153:JOR327680 JOV262153:JYN327680 JYR262153:KIJ327680 KIN262153:KSF327680 KSJ262153:LCB327680 LCF262153:LLX327680 LMB262153:LVT327680 LVX262153:MFP327680 MFT262153:MPL327680 MPP262153:MZH327680 MZL262153:NJD327680 NJH262153:NSZ327680 NTD262153:OCV327680 OCZ262153:OMR327680 OMV262153:OWN327680 OWR262153:PGJ327680 PGN262153:PQF327680 PQJ262153:QAB327680 QAF262153:QJX327680 QKB262153:QTT327680 QTX262153:RDP327680 RDT262153:RNL327680 RNP262153:RXH327680 RXL262153:SHD327680 SHH262153:SQZ327680 SRD262153:TAV327680 TAZ262153:TKR327680 TKV262153:TUN327680 TUR262153:UEJ327680 UEN262153:UOF327680 UOJ262153:UYB327680 UYF262153:VHX327680 VIB262153:VRT327680 VRX262153:WBP327680 WBT262153:WLL327680 WLP262153:WVH327680 WVL262153:XFD327680 D327689:IV393216 IZ327689:SR393216 SV327689:ACN393216 ACR327689:AMJ393216 AMN327689:AWF393216 AWJ327689:BGB393216 BGF327689:BPX393216 BQB327689:BZT393216 BZX327689:CJP393216 CJT327689:CTL393216 CTP327689:DDH393216 DDL327689:DND393216 DNH327689:DWZ393216 DXD327689:EGV393216 EGZ327689:EQR393216 EQV327689:FAN393216 FAR327689:FKJ393216 FKN327689:FUF393216 FUJ327689:GEB393216 GEF327689:GNX393216 GOB327689:GXT393216 GXX327689:HHP393216 HHT327689:HRL393216 HRP327689:IBH393216 IBL327689:ILD393216 ILH327689:IUZ393216 IVD327689:JEV393216 JEZ327689:JOR393216 JOV327689:JYN393216 JYR327689:KIJ393216 KIN327689:KSF393216 KSJ327689:LCB393216 LCF327689:LLX393216 LMB327689:LVT393216 LVX327689:MFP393216 MFT327689:MPL393216 MPP327689:MZH393216 MZL327689:NJD393216 NJH327689:NSZ393216 NTD327689:OCV393216 OCZ327689:OMR393216 OMV327689:OWN393216 OWR327689:PGJ393216 PGN327689:PQF393216 PQJ327689:QAB393216 QAF327689:QJX393216 QKB327689:QTT393216 QTX327689:RDP393216 RDT327689:RNL393216 RNP327689:RXH393216 RXL327689:SHD393216 SHH327689:SQZ393216 SRD327689:TAV393216 TAZ327689:TKR393216 TKV327689:TUN393216 TUR327689:UEJ393216 UEN327689:UOF393216 UOJ327689:UYB393216 UYF327689:VHX393216 VIB327689:VRT393216 VRX327689:WBP393216 WBT327689:WLL393216 WLP327689:WVH393216 WVL327689:XFD393216 D393225:IV458752 IZ393225:SR458752 SV393225:ACN458752 ACR393225:AMJ458752 AMN393225:AWF458752 AWJ393225:BGB458752 BGF393225:BPX458752 BQB393225:BZT458752 BZX393225:CJP458752 CJT393225:CTL458752 CTP393225:DDH458752 DDL393225:DND458752 DNH393225:DWZ458752 DXD393225:EGV458752 EGZ393225:EQR458752 EQV393225:FAN458752 FAR393225:FKJ458752 FKN393225:FUF458752 FUJ393225:GEB458752 GEF393225:GNX458752 GOB393225:GXT458752 GXX393225:HHP458752 HHT393225:HRL458752 HRP393225:IBH458752 IBL393225:ILD458752 ILH393225:IUZ458752 IVD393225:JEV458752 JEZ393225:JOR458752 JOV393225:JYN458752 JYR393225:KIJ458752 KIN393225:KSF458752 KSJ393225:LCB458752 LCF393225:LLX458752 LMB393225:LVT458752 LVX393225:MFP458752 MFT393225:MPL458752 MPP393225:MZH458752 MZL393225:NJD458752 NJH393225:NSZ458752 NTD393225:OCV458752 OCZ393225:OMR458752 OMV393225:OWN458752 OWR393225:PGJ458752 PGN393225:PQF458752 PQJ393225:QAB458752 QAF393225:QJX458752 QKB393225:QTT458752 QTX393225:RDP458752 RDT393225:RNL458752 RNP393225:RXH458752 RXL393225:SHD458752 SHH393225:SQZ458752 SRD393225:TAV458752 TAZ393225:TKR458752 TKV393225:TUN458752 TUR393225:UEJ458752 UEN393225:UOF458752 UOJ393225:UYB458752 UYF393225:VHX458752 VIB393225:VRT458752 VRX393225:WBP458752 WBT393225:WLL458752 WLP393225:WVH458752 WVL393225:XFD458752 D458761:IV524288 IZ458761:SR524288 SV458761:ACN524288 ACR458761:AMJ524288 AMN458761:AWF524288 AWJ458761:BGB524288 BGF458761:BPX524288 BQB458761:BZT524288 BZX458761:CJP524288 CJT458761:CTL524288 CTP458761:DDH524288 DDL458761:DND524288 DNH458761:DWZ524288 DXD458761:EGV524288 EGZ458761:EQR524288 EQV458761:FAN524288 FAR458761:FKJ524288 FKN458761:FUF524288 FUJ458761:GEB524288 GEF458761:GNX524288 GOB458761:GXT524288 GXX458761:HHP524288 HHT458761:HRL524288 HRP458761:IBH524288 IBL458761:ILD524288 ILH458761:IUZ524288 IVD458761:JEV524288 JEZ458761:JOR524288 JOV458761:JYN524288 JYR458761:KIJ524288 KIN458761:KSF524288 KSJ458761:LCB524288 LCF458761:LLX524288 LMB458761:LVT524288 LVX458761:MFP524288 MFT458761:MPL524288 MPP458761:MZH524288 MZL458761:NJD524288 NJH458761:NSZ524288 NTD458761:OCV524288 OCZ458761:OMR524288 OMV458761:OWN524288 OWR458761:PGJ524288 PGN458761:PQF524288 PQJ458761:QAB524288 QAF458761:QJX524288 QKB458761:QTT524288 QTX458761:RDP524288 RDT458761:RNL524288 RNP458761:RXH524288 RXL458761:SHD524288 SHH458761:SQZ524288 SRD458761:TAV524288 TAZ458761:TKR524288 TKV458761:TUN524288 TUR458761:UEJ524288 UEN458761:UOF524288 UOJ458761:UYB524288 UYF458761:VHX524288 VIB458761:VRT524288 VRX458761:WBP524288 WBT458761:WLL524288 WLP458761:WVH524288 WVL458761:XFD524288 D524297:IV589824 IZ524297:SR589824 SV524297:ACN589824 ACR524297:AMJ589824 AMN524297:AWF589824 AWJ524297:BGB589824 BGF524297:BPX589824 BQB524297:BZT589824 BZX524297:CJP589824 CJT524297:CTL589824 CTP524297:DDH589824 DDL524297:DND589824 DNH524297:DWZ589824 DXD524297:EGV589824 EGZ524297:EQR589824 EQV524297:FAN589824 FAR524297:FKJ589824 FKN524297:FUF589824 FUJ524297:GEB589824 GEF524297:GNX589824 GOB524297:GXT589824 GXX524297:HHP589824 HHT524297:HRL589824 HRP524297:IBH589824 IBL524297:ILD589824 ILH524297:IUZ589824 IVD524297:JEV589824 JEZ524297:JOR589824 JOV524297:JYN589824 JYR524297:KIJ589824 KIN524297:KSF589824 KSJ524297:LCB589824 LCF524297:LLX589824 LMB524297:LVT589824 LVX524297:MFP589824 MFT524297:MPL589824 MPP524297:MZH589824 MZL524297:NJD589824 NJH524297:NSZ589824 NTD524297:OCV589824 OCZ524297:OMR589824 OMV524297:OWN589824 OWR524297:PGJ589824 PGN524297:PQF589824 PQJ524297:QAB589824 QAF524297:QJX589824 QKB524297:QTT589824 QTX524297:RDP589824 RDT524297:RNL589824 RNP524297:RXH589824 RXL524297:SHD589824 SHH524297:SQZ589824 SRD524297:TAV589824 TAZ524297:TKR589824 TKV524297:TUN589824 TUR524297:UEJ589824 UEN524297:UOF589824 UOJ524297:UYB589824 UYF524297:VHX589824 VIB524297:VRT589824 VRX524297:WBP589824 WBT524297:WLL589824 WLP524297:WVH589824 WVL524297:XFD589824 D589833:IV655360 IZ589833:SR655360 SV589833:ACN655360 ACR589833:AMJ655360 AMN589833:AWF655360 AWJ589833:BGB655360 BGF589833:BPX655360 BQB589833:BZT655360 BZX589833:CJP655360 CJT589833:CTL655360 CTP589833:DDH655360 DDL589833:DND655360 DNH589833:DWZ655360 DXD589833:EGV655360 EGZ589833:EQR655360 EQV589833:FAN655360 FAR589833:FKJ655360 FKN589833:FUF655360 FUJ589833:GEB655360 GEF589833:GNX655360 GOB589833:GXT655360 GXX589833:HHP655360 HHT589833:HRL655360 HRP589833:IBH655360 IBL589833:ILD655360 ILH589833:IUZ655360 IVD589833:JEV655360 JEZ589833:JOR655360 JOV589833:JYN655360 JYR589833:KIJ655360 KIN589833:KSF655360 KSJ589833:LCB655360 LCF589833:LLX655360 LMB589833:LVT655360 LVX589833:MFP655360 MFT589833:MPL655360 MPP589833:MZH655360 MZL589833:NJD655360 NJH589833:NSZ655360 NTD589833:OCV655360 OCZ589833:OMR655360 OMV589833:OWN655360 OWR589833:PGJ655360 PGN589833:PQF655360 PQJ589833:QAB655360 QAF589833:QJX655360 QKB589833:QTT655360 QTX589833:RDP655360 RDT589833:RNL655360 RNP589833:RXH655360 RXL589833:SHD655360 SHH589833:SQZ655360 SRD589833:TAV655360 TAZ589833:TKR655360 TKV589833:TUN655360 TUR589833:UEJ655360 UEN589833:UOF655360 UOJ589833:UYB655360 UYF589833:VHX655360 VIB589833:VRT655360 VRX589833:WBP655360 WBT589833:WLL655360 WLP589833:WVH655360 WVL589833:XFD655360 D655369:IV720896 IZ655369:SR720896 SV655369:ACN720896 ACR655369:AMJ720896 AMN655369:AWF720896 AWJ655369:BGB720896 BGF655369:BPX720896 BQB655369:BZT720896 BZX655369:CJP720896 CJT655369:CTL720896 CTP655369:DDH720896 DDL655369:DND720896 DNH655369:DWZ720896 DXD655369:EGV720896 EGZ655369:EQR720896 EQV655369:FAN720896 FAR655369:FKJ720896 FKN655369:FUF720896 FUJ655369:GEB720896 GEF655369:GNX720896 GOB655369:GXT720896 GXX655369:HHP720896 HHT655369:HRL720896 HRP655369:IBH720896 IBL655369:ILD720896 ILH655369:IUZ720896 IVD655369:JEV720896 JEZ655369:JOR720896 JOV655369:JYN720896 JYR655369:KIJ720896 KIN655369:KSF720896 KSJ655369:LCB720896 LCF655369:LLX720896 LMB655369:LVT720896 LVX655369:MFP720896 MFT655369:MPL720896 MPP655369:MZH720896 MZL655369:NJD720896 NJH655369:NSZ720896 NTD655369:OCV720896 OCZ655369:OMR720896 OMV655369:OWN720896 OWR655369:PGJ720896 PGN655369:PQF720896 PQJ655369:QAB720896 QAF655369:QJX720896 QKB655369:QTT720896 QTX655369:RDP720896 RDT655369:RNL720896 RNP655369:RXH720896 RXL655369:SHD720896 SHH655369:SQZ720896 SRD655369:TAV720896 TAZ655369:TKR720896 TKV655369:TUN720896 TUR655369:UEJ720896 UEN655369:UOF720896 UOJ655369:UYB720896 UYF655369:VHX720896 VIB655369:VRT720896 VRX655369:WBP720896 WBT655369:WLL720896 WLP655369:WVH720896 WVL655369:XFD720896 D720905:IV786432 IZ720905:SR786432 SV720905:ACN786432 ACR720905:AMJ786432 AMN720905:AWF786432 AWJ720905:BGB786432 BGF720905:BPX786432 BQB720905:BZT786432 BZX720905:CJP786432 CJT720905:CTL786432 CTP720905:DDH786432 DDL720905:DND786432 DNH720905:DWZ786432 DXD720905:EGV786432 EGZ720905:EQR786432 EQV720905:FAN786432 FAR720905:FKJ786432 FKN720905:FUF786432 FUJ720905:GEB786432 GEF720905:GNX786432 GOB720905:GXT786432 GXX720905:HHP786432 HHT720905:HRL786432 HRP720905:IBH786432 IBL720905:ILD786432 ILH720905:IUZ786432 IVD720905:JEV786432 JEZ720905:JOR786432 JOV720905:JYN786432 JYR720905:KIJ786432 KIN720905:KSF786432 KSJ720905:LCB786432 LCF720905:LLX786432 LMB720905:LVT786432 LVX720905:MFP786432 MFT720905:MPL786432 MPP720905:MZH786432 MZL720905:NJD786432 NJH720905:NSZ786432 NTD720905:OCV786432 OCZ720905:OMR786432 OMV720905:OWN786432 OWR720905:PGJ786432 PGN720905:PQF786432 PQJ720905:QAB786432 QAF720905:QJX786432 QKB720905:QTT786432 QTX720905:RDP786432 RDT720905:RNL786432 RNP720905:RXH786432 RXL720905:SHD786432 SHH720905:SQZ786432 SRD720905:TAV786432 TAZ720905:TKR786432 TKV720905:TUN786432 TUR720905:UEJ786432 UEN720905:UOF786432 UOJ720905:UYB786432 UYF720905:VHX786432 VIB720905:VRT786432 VRX720905:WBP786432 WBT720905:WLL786432 WLP720905:WVH786432 WVL720905:XFD786432 D786441:IV851968 IZ786441:SR851968 SV786441:ACN851968 ACR786441:AMJ851968 AMN786441:AWF851968 AWJ786441:BGB851968 BGF786441:BPX851968 BQB786441:BZT851968 BZX786441:CJP851968 CJT786441:CTL851968 CTP786441:DDH851968 DDL786441:DND851968 DNH786441:DWZ851968 DXD786441:EGV851968 EGZ786441:EQR851968 EQV786441:FAN851968 FAR786441:FKJ851968 FKN786441:FUF851968 FUJ786441:GEB851968 GEF786441:GNX851968 GOB786441:GXT851968 GXX786441:HHP851968 HHT786441:HRL851968 HRP786441:IBH851968 IBL786441:ILD851968 ILH786441:IUZ851968 IVD786441:JEV851968 JEZ786441:JOR851968 JOV786441:JYN851968 JYR786441:KIJ851968 KIN786441:KSF851968 KSJ786441:LCB851968 LCF786441:LLX851968 LMB786441:LVT851968 LVX786441:MFP851968 MFT786441:MPL851968 MPP786441:MZH851968 MZL786441:NJD851968 NJH786441:NSZ851968 NTD786441:OCV851968 OCZ786441:OMR851968 OMV786441:OWN851968 OWR786441:PGJ851968 PGN786441:PQF851968 PQJ786441:QAB851968 QAF786441:QJX851968 QKB786441:QTT851968 QTX786441:RDP851968 RDT786441:RNL851968 RNP786441:RXH851968 RXL786441:SHD851968 SHH786441:SQZ851968 SRD786441:TAV851968 TAZ786441:TKR851968 TKV786441:TUN851968 TUR786441:UEJ851968 UEN786441:UOF851968 UOJ786441:UYB851968 UYF786441:VHX851968 VIB786441:VRT851968 VRX786441:WBP851968 WBT786441:WLL851968 WLP786441:WVH851968 WVL786441:XFD851968 D851977:IV917504 IZ851977:SR917504 SV851977:ACN917504 ACR851977:AMJ917504 AMN851977:AWF917504 AWJ851977:BGB917504 BGF851977:BPX917504 BQB851977:BZT917504 BZX851977:CJP917504 CJT851977:CTL917504 CTP851977:DDH917504 DDL851977:DND917504 DNH851977:DWZ917504 DXD851977:EGV917504 EGZ851977:EQR917504 EQV851977:FAN917504 FAR851977:FKJ917504 FKN851977:FUF917504 FUJ851977:GEB917504 GEF851977:GNX917504 GOB851977:GXT917504 GXX851977:HHP917504 HHT851977:HRL917504 HRP851977:IBH917504 IBL851977:ILD917504 ILH851977:IUZ917504 IVD851977:JEV917504 JEZ851977:JOR917504 JOV851977:JYN917504 JYR851977:KIJ917504 KIN851977:KSF917504 KSJ851977:LCB917504 LCF851977:LLX917504 LMB851977:LVT917504 LVX851977:MFP917504 MFT851977:MPL917504 MPP851977:MZH917504 MZL851977:NJD917504 NJH851977:NSZ917504 NTD851977:OCV917504 OCZ851977:OMR917504 OMV851977:OWN917504 OWR851977:PGJ917504 PGN851977:PQF917504 PQJ851977:QAB917504 QAF851977:QJX917504 QKB851977:QTT917504 QTX851977:RDP917504 RDT851977:RNL917504 RNP851977:RXH917504 RXL851977:SHD917504 SHH851977:SQZ917504 SRD851977:TAV917504 TAZ851977:TKR917504 TKV851977:TUN917504 TUR851977:UEJ917504 UEN851977:UOF917504 UOJ851977:UYB917504 UYF851977:VHX917504 VIB851977:VRT917504 VRX851977:WBP917504 WBT851977:WLL917504 WLP851977:WVH917504 WVL851977:XFD917504 D917513:IV983040 IZ917513:SR983040 SV917513:ACN983040 ACR917513:AMJ983040 AMN917513:AWF983040 AWJ917513:BGB983040 BGF917513:BPX983040 BQB917513:BZT983040 BZX917513:CJP983040 CJT917513:CTL983040 CTP917513:DDH983040 DDL917513:DND983040 DNH917513:DWZ983040 DXD917513:EGV983040 EGZ917513:EQR983040 EQV917513:FAN983040 FAR917513:FKJ983040 FKN917513:FUF983040 FUJ917513:GEB983040 GEF917513:GNX983040 GOB917513:GXT983040 GXX917513:HHP983040 HHT917513:HRL983040 HRP917513:IBH983040 IBL917513:ILD983040 ILH917513:IUZ983040 IVD917513:JEV983040 JEZ917513:JOR983040 JOV917513:JYN983040 JYR917513:KIJ983040 KIN917513:KSF983040 KSJ917513:LCB983040 LCF917513:LLX983040 LMB917513:LVT983040 LVX917513:MFP983040 MFT917513:MPL983040 MPP917513:MZH983040 MZL917513:NJD983040 NJH917513:NSZ983040 NTD917513:OCV983040 OCZ917513:OMR983040 OMV917513:OWN983040 OWR917513:PGJ983040 PGN917513:PQF983040 PQJ917513:QAB983040 QAF917513:QJX983040 QKB917513:QTT983040 QTX917513:RDP983040 RDT917513:RNL983040 RNP917513:RXH983040 RXL917513:SHD983040 SHH917513:SQZ983040 SRD917513:TAV983040 TAZ917513:TKR983040 TKV917513:TUN983040 TUR917513:UEJ983040 UEN917513:UOF983040 UOJ917513:UYB983040 UYF917513:VHX983040 VIB917513:VRT983040 VRX917513:WBP983040 WBT917513:WLL983040 WLP917513:WVH983040 WVL917513:XFD983040 D983049:IV1048576 IZ983049:SR1048576 SV983049:ACN1048576 ACR983049:AMJ1048576 AMN983049:AWF1048576 AWJ983049:BGB1048576 BGF983049:BPX1048576 BQB983049:BZT1048576 BZX983049:CJP1048576 CJT983049:CTL1048576 CTP983049:DDH1048576 DDL983049:DND1048576 DNH983049:DWZ1048576 DXD983049:EGV1048576 EGZ983049:EQR1048576 EQV983049:FAN1048576 FAR983049:FKJ1048576 FKN983049:FUF1048576 FUJ983049:GEB1048576 GEF983049:GNX1048576 GOB983049:GXT1048576 GXX983049:HHP1048576 HHT983049:HRL1048576 HRP983049:IBH1048576 IBL983049:ILD1048576 ILH983049:IUZ1048576 IVD983049:JEV1048576 JEZ983049:JOR1048576 JOV983049:JYN1048576 JYR983049:KIJ1048576 KIN983049:KSF1048576 KSJ983049:LCB1048576 LCF983049:LLX1048576 LMB983049:LVT1048576 LVX983049:MFP1048576 MFT983049:MPL1048576 MPP983049:MZH1048576 MZL983049:NJD1048576 NJH983049:NSZ1048576 NTD983049:OCV1048576 OCZ983049:OMR1048576 OMV983049:OWN1048576 OWR983049:PGJ1048576 PGN983049:PQF1048576 PQJ983049:QAB1048576 QAF983049:QJX1048576 QKB983049:QTT1048576 QTX983049:RDP1048576 RDT983049:RNL1048576 RNP983049:RXH1048576 RXL983049:SHD1048576 SHH983049:SQZ1048576 SRD983049:TAV1048576 TAZ983049:TKR1048576 TKV983049:TUN1048576 TUR983049:UEJ1048576 UEN983049:UOF1048576 UOJ983049:UYB1048576 UYF983049:VHX1048576 VIB983049:VRT1048576 VRX983049:WBP1048576 WBT983049:WLL1048576 WLP983049:WVH1048576 WVL983049:XFD1048576 E9:IV65536 D9:D49 B50:D50 B51:C51" xr:uid="{EDAFCBD9-39B2-4B06-A567-6AAA07B7AC21}">
      <formula1>-999999999999.99</formula1>
      <formula2>999999999999.99</formula2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5FB1D-E4A5-4E76-BE1B-6E93D39BA070}">
  <sheetPr codeName="Sheet8"/>
  <dimension ref="A1:AH9"/>
  <sheetViews>
    <sheetView topLeftCell="A2" workbookViewId="0">
      <selection activeCell="B10" sqref="B10"/>
    </sheetView>
  </sheetViews>
  <sheetFormatPr baseColWidth="10" defaultColWidth="11.42578125" defaultRowHeight="11.25" x14ac:dyDescent="0.2"/>
  <cols>
    <col min="1" max="1" width="2.140625" style="80" customWidth="1"/>
    <col min="2" max="2" width="8.42578125" style="80" customWidth="1"/>
    <col min="3" max="3" width="43.7109375" style="88" customWidth="1"/>
    <col min="4" max="34" width="3.28515625" style="125" customWidth="1"/>
    <col min="35" max="203" width="18.7109375" style="89" customWidth="1"/>
    <col min="204" max="256" width="11.42578125" style="89"/>
    <col min="257" max="257" width="2.140625" style="89" customWidth="1"/>
    <col min="258" max="258" width="8.42578125" style="89" customWidth="1"/>
    <col min="259" max="259" width="43.7109375" style="89" customWidth="1"/>
    <col min="260" max="290" width="3.28515625" style="89" customWidth="1"/>
    <col min="291" max="459" width="18.7109375" style="89" customWidth="1"/>
    <col min="460" max="512" width="11.42578125" style="89"/>
    <col min="513" max="513" width="2.140625" style="89" customWidth="1"/>
    <col min="514" max="514" width="8.42578125" style="89" customWidth="1"/>
    <col min="515" max="515" width="43.7109375" style="89" customWidth="1"/>
    <col min="516" max="546" width="3.28515625" style="89" customWidth="1"/>
    <col min="547" max="715" width="18.7109375" style="89" customWidth="1"/>
    <col min="716" max="768" width="11.42578125" style="89"/>
    <col min="769" max="769" width="2.140625" style="89" customWidth="1"/>
    <col min="770" max="770" width="8.42578125" style="89" customWidth="1"/>
    <col min="771" max="771" width="43.7109375" style="89" customWidth="1"/>
    <col min="772" max="802" width="3.28515625" style="89" customWidth="1"/>
    <col min="803" max="971" width="18.7109375" style="89" customWidth="1"/>
    <col min="972" max="1024" width="11.42578125" style="89"/>
    <col min="1025" max="1025" width="2.140625" style="89" customWidth="1"/>
    <col min="1026" max="1026" width="8.42578125" style="89" customWidth="1"/>
    <col min="1027" max="1027" width="43.7109375" style="89" customWidth="1"/>
    <col min="1028" max="1058" width="3.28515625" style="89" customWidth="1"/>
    <col min="1059" max="1227" width="18.7109375" style="89" customWidth="1"/>
    <col min="1228" max="1280" width="11.42578125" style="89"/>
    <col min="1281" max="1281" width="2.140625" style="89" customWidth="1"/>
    <col min="1282" max="1282" width="8.42578125" style="89" customWidth="1"/>
    <col min="1283" max="1283" width="43.7109375" style="89" customWidth="1"/>
    <col min="1284" max="1314" width="3.28515625" style="89" customWidth="1"/>
    <col min="1315" max="1483" width="18.7109375" style="89" customWidth="1"/>
    <col min="1484" max="1536" width="11.42578125" style="89"/>
    <col min="1537" max="1537" width="2.140625" style="89" customWidth="1"/>
    <col min="1538" max="1538" width="8.42578125" style="89" customWidth="1"/>
    <col min="1539" max="1539" width="43.7109375" style="89" customWidth="1"/>
    <col min="1540" max="1570" width="3.28515625" style="89" customWidth="1"/>
    <col min="1571" max="1739" width="18.7109375" style="89" customWidth="1"/>
    <col min="1740" max="1792" width="11.42578125" style="89"/>
    <col min="1793" max="1793" width="2.140625" style="89" customWidth="1"/>
    <col min="1794" max="1794" width="8.42578125" style="89" customWidth="1"/>
    <col min="1795" max="1795" width="43.7109375" style="89" customWidth="1"/>
    <col min="1796" max="1826" width="3.28515625" style="89" customWidth="1"/>
    <col min="1827" max="1995" width="18.7109375" style="89" customWidth="1"/>
    <col min="1996" max="2048" width="11.42578125" style="89"/>
    <col min="2049" max="2049" width="2.140625" style="89" customWidth="1"/>
    <col min="2050" max="2050" width="8.42578125" style="89" customWidth="1"/>
    <col min="2051" max="2051" width="43.7109375" style="89" customWidth="1"/>
    <col min="2052" max="2082" width="3.28515625" style="89" customWidth="1"/>
    <col min="2083" max="2251" width="18.7109375" style="89" customWidth="1"/>
    <col min="2252" max="2304" width="11.42578125" style="89"/>
    <col min="2305" max="2305" width="2.140625" style="89" customWidth="1"/>
    <col min="2306" max="2306" width="8.42578125" style="89" customWidth="1"/>
    <col min="2307" max="2307" width="43.7109375" style="89" customWidth="1"/>
    <col min="2308" max="2338" width="3.28515625" style="89" customWidth="1"/>
    <col min="2339" max="2507" width="18.7109375" style="89" customWidth="1"/>
    <col min="2508" max="2560" width="11.42578125" style="89"/>
    <col min="2561" max="2561" width="2.140625" style="89" customWidth="1"/>
    <col min="2562" max="2562" width="8.42578125" style="89" customWidth="1"/>
    <col min="2563" max="2563" width="43.7109375" style="89" customWidth="1"/>
    <col min="2564" max="2594" width="3.28515625" style="89" customWidth="1"/>
    <col min="2595" max="2763" width="18.7109375" style="89" customWidth="1"/>
    <col min="2764" max="2816" width="11.42578125" style="89"/>
    <col min="2817" max="2817" width="2.140625" style="89" customWidth="1"/>
    <col min="2818" max="2818" width="8.42578125" style="89" customWidth="1"/>
    <col min="2819" max="2819" width="43.7109375" style="89" customWidth="1"/>
    <col min="2820" max="2850" width="3.28515625" style="89" customWidth="1"/>
    <col min="2851" max="3019" width="18.7109375" style="89" customWidth="1"/>
    <col min="3020" max="3072" width="11.42578125" style="89"/>
    <col min="3073" max="3073" width="2.140625" style="89" customWidth="1"/>
    <col min="3074" max="3074" width="8.42578125" style="89" customWidth="1"/>
    <col min="3075" max="3075" width="43.7109375" style="89" customWidth="1"/>
    <col min="3076" max="3106" width="3.28515625" style="89" customWidth="1"/>
    <col min="3107" max="3275" width="18.7109375" style="89" customWidth="1"/>
    <col min="3276" max="3328" width="11.42578125" style="89"/>
    <col min="3329" max="3329" width="2.140625" style="89" customWidth="1"/>
    <col min="3330" max="3330" width="8.42578125" style="89" customWidth="1"/>
    <col min="3331" max="3331" width="43.7109375" style="89" customWidth="1"/>
    <col min="3332" max="3362" width="3.28515625" style="89" customWidth="1"/>
    <col min="3363" max="3531" width="18.7109375" style="89" customWidth="1"/>
    <col min="3532" max="3584" width="11.42578125" style="89"/>
    <col min="3585" max="3585" width="2.140625" style="89" customWidth="1"/>
    <col min="3586" max="3586" width="8.42578125" style="89" customWidth="1"/>
    <col min="3587" max="3587" width="43.7109375" style="89" customWidth="1"/>
    <col min="3588" max="3618" width="3.28515625" style="89" customWidth="1"/>
    <col min="3619" max="3787" width="18.7109375" style="89" customWidth="1"/>
    <col min="3788" max="3840" width="11.42578125" style="89"/>
    <col min="3841" max="3841" width="2.140625" style="89" customWidth="1"/>
    <col min="3842" max="3842" width="8.42578125" style="89" customWidth="1"/>
    <col min="3843" max="3843" width="43.7109375" style="89" customWidth="1"/>
    <col min="3844" max="3874" width="3.28515625" style="89" customWidth="1"/>
    <col min="3875" max="4043" width="18.7109375" style="89" customWidth="1"/>
    <col min="4044" max="4096" width="11.42578125" style="89"/>
    <col min="4097" max="4097" width="2.140625" style="89" customWidth="1"/>
    <col min="4098" max="4098" width="8.42578125" style="89" customWidth="1"/>
    <col min="4099" max="4099" width="43.7109375" style="89" customWidth="1"/>
    <col min="4100" max="4130" width="3.28515625" style="89" customWidth="1"/>
    <col min="4131" max="4299" width="18.7109375" style="89" customWidth="1"/>
    <col min="4300" max="4352" width="11.42578125" style="89"/>
    <col min="4353" max="4353" width="2.140625" style="89" customWidth="1"/>
    <col min="4354" max="4354" width="8.42578125" style="89" customWidth="1"/>
    <col min="4355" max="4355" width="43.7109375" style="89" customWidth="1"/>
    <col min="4356" max="4386" width="3.28515625" style="89" customWidth="1"/>
    <col min="4387" max="4555" width="18.7109375" style="89" customWidth="1"/>
    <col min="4556" max="4608" width="11.42578125" style="89"/>
    <col min="4609" max="4609" width="2.140625" style="89" customWidth="1"/>
    <col min="4610" max="4610" width="8.42578125" style="89" customWidth="1"/>
    <col min="4611" max="4611" width="43.7109375" style="89" customWidth="1"/>
    <col min="4612" max="4642" width="3.28515625" style="89" customWidth="1"/>
    <col min="4643" max="4811" width="18.7109375" style="89" customWidth="1"/>
    <col min="4812" max="4864" width="11.42578125" style="89"/>
    <col min="4865" max="4865" width="2.140625" style="89" customWidth="1"/>
    <col min="4866" max="4866" width="8.42578125" style="89" customWidth="1"/>
    <col min="4867" max="4867" width="43.7109375" style="89" customWidth="1"/>
    <col min="4868" max="4898" width="3.28515625" style="89" customWidth="1"/>
    <col min="4899" max="5067" width="18.7109375" style="89" customWidth="1"/>
    <col min="5068" max="5120" width="11.42578125" style="89"/>
    <col min="5121" max="5121" width="2.140625" style="89" customWidth="1"/>
    <col min="5122" max="5122" width="8.42578125" style="89" customWidth="1"/>
    <col min="5123" max="5123" width="43.7109375" style="89" customWidth="1"/>
    <col min="5124" max="5154" width="3.28515625" style="89" customWidth="1"/>
    <col min="5155" max="5323" width="18.7109375" style="89" customWidth="1"/>
    <col min="5324" max="5376" width="11.42578125" style="89"/>
    <col min="5377" max="5377" width="2.140625" style="89" customWidth="1"/>
    <col min="5378" max="5378" width="8.42578125" style="89" customWidth="1"/>
    <col min="5379" max="5379" width="43.7109375" style="89" customWidth="1"/>
    <col min="5380" max="5410" width="3.28515625" style="89" customWidth="1"/>
    <col min="5411" max="5579" width="18.7109375" style="89" customWidth="1"/>
    <col min="5580" max="5632" width="11.42578125" style="89"/>
    <col min="5633" max="5633" width="2.140625" style="89" customWidth="1"/>
    <col min="5634" max="5634" width="8.42578125" style="89" customWidth="1"/>
    <col min="5635" max="5635" width="43.7109375" style="89" customWidth="1"/>
    <col min="5636" max="5666" width="3.28515625" style="89" customWidth="1"/>
    <col min="5667" max="5835" width="18.7109375" style="89" customWidth="1"/>
    <col min="5836" max="5888" width="11.42578125" style="89"/>
    <col min="5889" max="5889" width="2.140625" style="89" customWidth="1"/>
    <col min="5890" max="5890" width="8.42578125" style="89" customWidth="1"/>
    <col min="5891" max="5891" width="43.7109375" style="89" customWidth="1"/>
    <col min="5892" max="5922" width="3.28515625" style="89" customWidth="1"/>
    <col min="5923" max="6091" width="18.7109375" style="89" customWidth="1"/>
    <col min="6092" max="6144" width="11.42578125" style="89"/>
    <col min="6145" max="6145" width="2.140625" style="89" customWidth="1"/>
    <col min="6146" max="6146" width="8.42578125" style="89" customWidth="1"/>
    <col min="6147" max="6147" width="43.7109375" style="89" customWidth="1"/>
    <col min="6148" max="6178" width="3.28515625" style="89" customWidth="1"/>
    <col min="6179" max="6347" width="18.7109375" style="89" customWidth="1"/>
    <col min="6348" max="6400" width="11.42578125" style="89"/>
    <col min="6401" max="6401" width="2.140625" style="89" customWidth="1"/>
    <col min="6402" max="6402" width="8.42578125" style="89" customWidth="1"/>
    <col min="6403" max="6403" width="43.7109375" style="89" customWidth="1"/>
    <col min="6404" max="6434" width="3.28515625" style="89" customWidth="1"/>
    <col min="6435" max="6603" width="18.7109375" style="89" customWidth="1"/>
    <col min="6604" max="6656" width="11.42578125" style="89"/>
    <col min="6657" max="6657" width="2.140625" style="89" customWidth="1"/>
    <col min="6658" max="6658" width="8.42578125" style="89" customWidth="1"/>
    <col min="6659" max="6659" width="43.7109375" style="89" customWidth="1"/>
    <col min="6660" max="6690" width="3.28515625" style="89" customWidth="1"/>
    <col min="6691" max="6859" width="18.7109375" style="89" customWidth="1"/>
    <col min="6860" max="6912" width="11.42578125" style="89"/>
    <col min="6913" max="6913" width="2.140625" style="89" customWidth="1"/>
    <col min="6914" max="6914" width="8.42578125" style="89" customWidth="1"/>
    <col min="6915" max="6915" width="43.7109375" style="89" customWidth="1"/>
    <col min="6916" max="6946" width="3.28515625" style="89" customWidth="1"/>
    <col min="6947" max="7115" width="18.7109375" style="89" customWidth="1"/>
    <col min="7116" max="7168" width="11.42578125" style="89"/>
    <col min="7169" max="7169" width="2.140625" style="89" customWidth="1"/>
    <col min="7170" max="7170" width="8.42578125" style="89" customWidth="1"/>
    <col min="7171" max="7171" width="43.7109375" style="89" customWidth="1"/>
    <col min="7172" max="7202" width="3.28515625" style="89" customWidth="1"/>
    <col min="7203" max="7371" width="18.7109375" style="89" customWidth="1"/>
    <col min="7372" max="7424" width="11.42578125" style="89"/>
    <col min="7425" max="7425" width="2.140625" style="89" customWidth="1"/>
    <col min="7426" max="7426" width="8.42578125" style="89" customWidth="1"/>
    <col min="7427" max="7427" width="43.7109375" style="89" customWidth="1"/>
    <col min="7428" max="7458" width="3.28515625" style="89" customWidth="1"/>
    <col min="7459" max="7627" width="18.7109375" style="89" customWidth="1"/>
    <col min="7628" max="7680" width="11.42578125" style="89"/>
    <col min="7681" max="7681" width="2.140625" style="89" customWidth="1"/>
    <col min="7682" max="7682" width="8.42578125" style="89" customWidth="1"/>
    <col min="7683" max="7683" width="43.7109375" style="89" customWidth="1"/>
    <col min="7684" max="7714" width="3.28515625" style="89" customWidth="1"/>
    <col min="7715" max="7883" width="18.7109375" style="89" customWidth="1"/>
    <col min="7884" max="7936" width="11.42578125" style="89"/>
    <col min="7937" max="7937" width="2.140625" style="89" customWidth="1"/>
    <col min="7938" max="7938" width="8.42578125" style="89" customWidth="1"/>
    <col min="7939" max="7939" width="43.7109375" style="89" customWidth="1"/>
    <col min="7940" max="7970" width="3.28515625" style="89" customWidth="1"/>
    <col min="7971" max="8139" width="18.7109375" style="89" customWidth="1"/>
    <col min="8140" max="8192" width="11.42578125" style="89"/>
    <col min="8193" max="8193" width="2.140625" style="89" customWidth="1"/>
    <col min="8194" max="8194" width="8.42578125" style="89" customWidth="1"/>
    <col min="8195" max="8195" width="43.7109375" style="89" customWidth="1"/>
    <col min="8196" max="8226" width="3.28515625" style="89" customWidth="1"/>
    <col min="8227" max="8395" width="18.7109375" style="89" customWidth="1"/>
    <col min="8396" max="8448" width="11.42578125" style="89"/>
    <col min="8449" max="8449" width="2.140625" style="89" customWidth="1"/>
    <col min="8450" max="8450" width="8.42578125" style="89" customWidth="1"/>
    <col min="8451" max="8451" width="43.7109375" style="89" customWidth="1"/>
    <col min="8452" max="8482" width="3.28515625" style="89" customWidth="1"/>
    <col min="8483" max="8651" width="18.7109375" style="89" customWidth="1"/>
    <col min="8652" max="8704" width="11.42578125" style="89"/>
    <col min="8705" max="8705" width="2.140625" style="89" customWidth="1"/>
    <col min="8706" max="8706" width="8.42578125" style="89" customWidth="1"/>
    <col min="8707" max="8707" width="43.7109375" style="89" customWidth="1"/>
    <col min="8708" max="8738" width="3.28515625" style="89" customWidth="1"/>
    <col min="8739" max="8907" width="18.7109375" style="89" customWidth="1"/>
    <col min="8908" max="8960" width="11.42578125" style="89"/>
    <col min="8961" max="8961" width="2.140625" style="89" customWidth="1"/>
    <col min="8962" max="8962" width="8.42578125" style="89" customWidth="1"/>
    <col min="8963" max="8963" width="43.7109375" style="89" customWidth="1"/>
    <col min="8964" max="8994" width="3.28515625" style="89" customWidth="1"/>
    <col min="8995" max="9163" width="18.7109375" style="89" customWidth="1"/>
    <col min="9164" max="9216" width="11.42578125" style="89"/>
    <col min="9217" max="9217" width="2.140625" style="89" customWidth="1"/>
    <col min="9218" max="9218" width="8.42578125" style="89" customWidth="1"/>
    <col min="9219" max="9219" width="43.7109375" style="89" customWidth="1"/>
    <col min="9220" max="9250" width="3.28515625" style="89" customWidth="1"/>
    <col min="9251" max="9419" width="18.7109375" style="89" customWidth="1"/>
    <col min="9420" max="9472" width="11.42578125" style="89"/>
    <col min="9473" max="9473" width="2.140625" style="89" customWidth="1"/>
    <col min="9474" max="9474" width="8.42578125" style="89" customWidth="1"/>
    <col min="9475" max="9475" width="43.7109375" style="89" customWidth="1"/>
    <col min="9476" max="9506" width="3.28515625" style="89" customWidth="1"/>
    <col min="9507" max="9675" width="18.7109375" style="89" customWidth="1"/>
    <col min="9676" max="9728" width="11.42578125" style="89"/>
    <col min="9729" max="9729" width="2.140625" style="89" customWidth="1"/>
    <col min="9730" max="9730" width="8.42578125" style="89" customWidth="1"/>
    <col min="9731" max="9731" width="43.7109375" style="89" customWidth="1"/>
    <col min="9732" max="9762" width="3.28515625" style="89" customWidth="1"/>
    <col min="9763" max="9931" width="18.7109375" style="89" customWidth="1"/>
    <col min="9932" max="9984" width="11.42578125" style="89"/>
    <col min="9985" max="9985" width="2.140625" style="89" customWidth="1"/>
    <col min="9986" max="9986" width="8.42578125" style="89" customWidth="1"/>
    <col min="9987" max="9987" width="43.7109375" style="89" customWidth="1"/>
    <col min="9988" max="10018" width="3.28515625" style="89" customWidth="1"/>
    <col min="10019" max="10187" width="18.7109375" style="89" customWidth="1"/>
    <col min="10188" max="10240" width="11.42578125" style="89"/>
    <col min="10241" max="10241" width="2.140625" style="89" customWidth="1"/>
    <col min="10242" max="10242" width="8.42578125" style="89" customWidth="1"/>
    <col min="10243" max="10243" width="43.7109375" style="89" customWidth="1"/>
    <col min="10244" max="10274" width="3.28515625" style="89" customWidth="1"/>
    <col min="10275" max="10443" width="18.7109375" style="89" customWidth="1"/>
    <col min="10444" max="10496" width="11.42578125" style="89"/>
    <col min="10497" max="10497" width="2.140625" style="89" customWidth="1"/>
    <col min="10498" max="10498" width="8.42578125" style="89" customWidth="1"/>
    <col min="10499" max="10499" width="43.7109375" style="89" customWidth="1"/>
    <col min="10500" max="10530" width="3.28515625" style="89" customWidth="1"/>
    <col min="10531" max="10699" width="18.7109375" style="89" customWidth="1"/>
    <col min="10700" max="10752" width="11.42578125" style="89"/>
    <col min="10753" max="10753" width="2.140625" style="89" customWidth="1"/>
    <col min="10754" max="10754" width="8.42578125" style="89" customWidth="1"/>
    <col min="10755" max="10755" width="43.7109375" style="89" customWidth="1"/>
    <col min="10756" max="10786" width="3.28515625" style="89" customWidth="1"/>
    <col min="10787" max="10955" width="18.7109375" style="89" customWidth="1"/>
    <col min="10956" max="11008" width="11.42578125" style="89"/>
    <col min="11009" max="11009" width="2.140625" style="89" customWidth="1"/>
    <col min="11010" max="11010" width="8.42578125" style="89" customWidth="1"/>
    <col min="11011" max="11011" width="43.7109375" style="89" customWidth="1"/>
    <col min="11012" max="11042" width="3.28515625" style="89" customWidth="1"/>
    <col min="11043" max="11211" width="18.7109375" style="89" customWidth="1"/>
    <col min="11212" max="11264" width="11.42578125" style="89"/>
    <col min="11265" max="11265" width="2.140625" style="89" customWidth="1"/>
    <col min="11266" max="11266" width="8.42578125" style="89" customWidth="1"/>
    <col min="11267" max="11267" width="43.7109375" style="89" customWidth="1"/>
    <col min="11268" max="11298" width="3.28515625" style="89" customWidth="1"/>
    <col min="11299" max="11467" width="18.7109375" style="89" customWidth="1"/>
    <col min="11468" max="11520" width="11.42578125" style="89"/>
    <col min="11521" max="11521" width="2.140625" style="89" customWidth="1"/>
    <col min="11522" max="11522" width="8.42578125" style="89" customWidth="1"/>
    <col min="11523" max="11523" width="43.7109375" style="89" customWidth="1"/>
    <col min="11524" max="11554" width="3.28515625" style="89" customWidth="1"/>
    <col min="11555" max="11723" width="18.7109375" style="89" customWidth="1"/>
    <col min="11724" max="11776" width="11.42578125" style="89"/>
    <col min="11777" max="11777" width="2.140625" style="89" customWidth="1"/>
    <col min="11778" max="11778" width="8.42578125" style="89" customWidth="1"/>
    <col min="11779" max="11779" width="43.7109375" style="89" customWidth="1"/>
    <col min="11780" max="11810" width="3.28515625" style="89" customWidth="1"/>
    <col min="11811" max="11979" width="18.7109375" style="89" customWidth="1"/>
    <col min="11980" max="12032" width="11.42578125" style="89"/>
    <col min="12033" max="12033" width="2.140625" style="89" customWidth="1"/>
    <col min="12034" max="12034" width="8.42578125" style="89" customWidth="1"/>
    <col min="12035" max="12035" width="43.7109375" style="89" customWidth="1"/>
    <col min="12036" max="12066" width="3.28515625" style="89" customWidth="1"/>
    <col min="12067" max="12235" width="18.7109375" style="89" customWidth="1"/>
    <col min="12236" max="12288" width="11.42578125" style="89"/>
    <col min="12289" max="12289" width="2.140625" style="89" customWidth="1"/>
    <col min="12290" max="12290" width="8.42578125" style="89" customWidth="1"/>
    <col min="12291" max="12291" width="43.7109375" style="89" customWidth="1"/>
    <col min="12292" max="12322" width="3.28515625" style="89" customWidth="1"/>
    <col min="12323" max="12491" width="18.7109375" style="89" customWidth="1"/>
    <col min="12492" max="12544" width="11.42578125" style="89"/>
    <col min="12545" max="12545" width="2.140625" style="89" customWidth="1"/>
    <col min="12546" max="12546" width="8.42578125" style="89" customWidth="1"/>
    <col min="12547" max="12547" width="43.7109375" style="89" customWidth="1"/>
    <col min="12548" max="12578" width="3.28515625" style="89" customWidth="1"/>
    <col min="12579" max="12747" width="18.7109375" style="89" customWidth="1"/>
    <col min="12748" max="12800" width="11.42578125" style="89"/>
    <col min="12801" max="12801" width="2.140625" style="89" customWidth="1"/>
    <col min="12802" max="12802" width="8.42578125" style="89" customWidth="1"/>
    <col min="12803" max="12803" width="43.7109375" style="89" customWidth="1"/>
    <col min="12804" max="12834" width="3.28515625" style="89" customWidth="1"/>
    <col min="12835" max="13003" width="18.7109375" style="89" customWidth="1"/>
    <col min="13004" max="13056" width="11.42578125" style="89"/>
    <col min="13057" max="13057" width="2.140625" style="89" customWidth="1"/>
    <col min="13058" max="13058" width="8.42578125" style="89" customWidth="1"/>
    <col min="13059" max="13059" width="43.7109375" style="89" customWidth="1"/>
    <col min="13060" max="13090" width="3.28515625" style="89" customWidth="1"/>
    <col min="13091" max="13259" width="18.7109375" style="89" customWidth="1"/>
    <col min="13260" max="13312" width="11.42578125" style="89"/>
    <col min="13313" max="13313" width="2.140625" style="89" customWidth="1"/>
    <col min="13314" max="13314" width="8.42578125" style="89" customWidth="1"/>
    <col min="13315" max="13315" width="43.7109375" style="89" customWidth="1"/>
    <col min="13316" max="13346" width="3.28515625" style="89" customWidth="1"/>
    <col min="13347" max="13515" width="18.7109375" style="89" customWidth="1"/>
    <col min="13516" max="13568" width="11.42578125" style="89"/>
    <col min="13569" max="13569" width="2.140625" style="89" customWidth="1"/>
    <col min="13570" max="13570" width="8.42578125" style="89" customWidth="1"/>
    <col min="13571" max="13571" width="43.7109375" style="89" customWidth="1"/>
    <col min="13572" max="13602" width="3.28515625" style="89" customWidth="1"/>
    <col min="13603" max="13771" width="18.7109375" style="89" customWidth="1"/>
    <col min="13772" max="13824" width="11.42578125" style="89"/>
    <col min="13825" max="13825" width="2.140625" style="89" customWidth="1"/>
    <col min="13826" max="13826" width="8.42578125" style="89" customWidth="1"/>
    <col min="13827" max="13827" width="43.7109375" style="89" customWidth="1"/>
    <col min="13828" max="13858" width="3.28515625" style="89" customWidth="1"/>
    <col min="13859" max="14027" width="18.7109375" style="89" customWidth="1"/>
    <col min="14028" max="14080" width="11.42578125" style="89"/>
    <col min="14081" max="14081" width="2.140625" style="89" customWidth="1"/>
    <col min="14082" max="14082" width="8.42578125" style="89" customWidth="1"/>
    <col min="14083" max="14083" width="43.7109375" style="89" customWidth="1"/>
    <col min="14084" max="14114" width="3.28515625" style="89" customWidth="1"/>
    <col min="14115" max="14283" width="18.7109375" style="89" customWidth="1"/>
    <col min="14284" max="14336" width="11.42578125" style="89"/>
    <col min="14337" max="14337" width="2.140625" style="89" customWidth="1"/>
    <col min="14338" max="14338" width="8.42578125" style="89" customWidth="1"/>
    <col min="14339" max="14339" width="43.7109375" style="89" customWidth="1"/>
    <col min="14340" max="14370" width="3.28515625" style="89" customWidth="1"/>
    <col min="14371" max="14539" width="18.7109375" style="89" customWidth="1"/>
    <col min="14540" max="14592" width="11.42578125" style="89"/>
    <col min="14593" max="14593" width="2.140625" style="89" customWidth="1"/>
    <col min="14594" max="14594" width="8.42578125" style="89" customWidth="1"/>
    <col min="14595" max="14595" width="43.7109375" style="89" customWidth="1"/>
    <col min="14596" max="14626" width="3.28515625" style="89" customWidth="1"/>
    <col min="14627" max="14795" width="18.7109375" style="89" customWidth="1"/>
    <col min="14796" max="14848" width="11.42578125" style="89"/>
    <col min="14849" max="14849" width="2.140625" style="89" customWidth="1"/>
    <col min="14850" max="14850" width="8.42578125" style="89" customWidth="1"/>
    <col min="14851" max="14851" width="43.7109375" style="89" customWidth="1"/>
    <col min="14852" max="14882" width="3.28515625" style="89" customWidth="1"/>
    <col min="14883" max="15051" width="18.7109375" style="89" customWidth="1"/>
    <col min="15052" max="15104" width="11.42578125" style="89"/>
    <col min="15105" max="15105" width="2.140625" style="89" customWidth="1"/>
    <col min="15106" max="15106" width="8.42578125" style="89" customWidth="1"/>
    <col min="15107" max="15107" width="43.7109375" style="89" customWidth="1"/>
    <col min="15108" max="15138" width="3.28515625" style="89" customWidth="1"/>
    <col min="15139" max="15307" width="18.7109375" style="89" customWidth="1"/>
    <col min="15308" max="15360" width="11.42578125" style="89"/>
    <col min="15361" max="15361" width="2.140625" style="89" customWidth="1"/>
    <col min="15362" max="15362" width="8.42578125" style="89" customWidth="1"/>
    <col min="15363" max="15363" width="43.7109375" style="89" customWidth="1"/>
    <col min="15364" max="15394" width="3.28515625" style="89" customWidth="1"/>
    <col min="15395" max="15563" width="18.7109375" style="89" customWidth="1"/>
    <col min="15564" max="15616" width="11.42578125" style="89"/>
    <col min="15617" max="15617" width="2.140625" style="89" customWidth="1"/>
    <col min="15618" max="15618" width="8.42578125" style="89" customWidth="1"/>
    <col min="15619" max="15619" width="43.7109375" style="89" customWidth="1"/>
    <col min="15620" max="15650" width="3.28515625" style="89" customWidth="1"/>
    <col min="15651" max="15819" width="18.7109375" style="89" customWidth="1"/>
    <col min="15820" max="15872" width="11.42578125" style="89"/>
    <col min="15873" max="15873" width="2.140625" style="89" customWidth="1"/>
    <col min="15874" max="15874" width="8.42578125" style="89" customWidth="1"/>
    <col min="15875" max="15875" width="43.7109375" style="89" customWidth="1"/>
    <col min="15876" max="15906" width="3.28515625" style="89" customWidth="1"/>
    <col min="15907" max="16075" width="18.7109375" style="89" customWidth="1"/>
    <col min="16076" max="16128" width="11.42578125" style="89"/>
    <col min="16129" max="16129" width="2.140625" style="89" customWidth="1"/>
    <col min="16130" max="16130" width="8.42578125" style="89" customWidth="1"/>
    <col min="16131" max="16131" width="43.7109375" style="89" customWidth="1"/>
    <col min="16132" max="16162" width="3.28515625" style="89" customWidth="1"/>
    <col min="16163" max="16331" width="18.7109375" style="89" customWidth="1"/>
    <col min="16332" max="16384" width="11.42578125" style="89"/>
  </cols>
  <sheetData>
    <row r="1" spans="1:34" s="79" customFormat="1" ht="13.5" hidden="1" customHeight="1" x14ac:dyDescent="0.2">
      <c r="A1" s="78" t="s">
        <v>155</v>
      </c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</row>
    <row r="2" spans="1:34" s="79" customFormat="1" ht="13.5" customHeight="1" x14ac:dyDescent="0.2">
      <c r="A2" s="80"/>
      <c r="C2" s="81" t="s">
        <v>156</v>
      </c>
      <c r="D2" s="115" t="s">
        <v>157</v>
      </c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</row>
    <row r="3" spans="1:34" s="79" customFormat="1" ht="13.5" customHeight="1" x14ac:dyDescent="0.2">
      <c r="A3" s="80"/>
      <c r="C3" s="81" t="s">
        <v>158</v>
      </c>
      <c r="D3" s="115" t="s">
        <v>159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6"/>
      <c r="AE3" s="117" t="s">
        <v>160</v>
      </c>
      <c r="AF3" s="117"/>
      <c r="AG3" s="115"/>
      <c r="AH3" s="115"/>
    </row>
    <row r="4" spans="1:34" s="79" customFormat="1" ht="13.5" customHeight="1" x14ac:dyDescent="0.2">
      <c r="A4" s="80"/>
      <c r="C4" s="81"/>
      <c r="D4" s="115"/>
      <c r="E4" s="115"/>
      <c r="F4" s="115"/>
      <c r="G4" s="115"/>
      <c r="H4" s="115"/>
      <c r="I4" s="115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  <c r="AA4" s="115"/>
      <c r="AB4" s="115"/>
      <c r="AC4" s="115"/>
      <c r="AD4" s="118"/>
      <c r="AE4" s="117" t="s">
        <v>161</v>
      </c>
      <c r="AF4" s="117"/>
      <c r="AG4" s="115"/>
      <c r="AH4" s="115"/>
    </row>
    <row r="5" spans="1:34" s="79" customFormat="1" ht="13.5" customHeight="1" x14ac:dyDescent="0.2">
      <c r="A5" s="80"/>
      <c r="C5" s="81" t="s">
        <v>162</v>
      </c>
      <c r="D5" s="115" t="s">
        <v>163</v>
      </c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9"/>
      <c r="AE5" s="117" t="s">
        <v>164</v>
      </c>
      <c r="AF5" s="117"/>
      <c r="AG5" s="115"/>
      <c r="AH5" s="115"/>
    </row>
    <row r="6" spans="1:34" s="82" customFormat="1" ht="13.5" customHeight="1" x14ac:dyDescent="0.2">
      <c r="A6" s="80"/>
      <c r="B6" s="79"/>
      <c r="C6" s="79"/>
      <c r="D6" s="120" t="s">
        <v>165</v>
      </c>
      <c r="E6" s="115"/>
      <c r="F6" s="115"/>
      <c r="G6" s="115"/>
      <c r="H6" s="115"/>
      <c r="I6" s="115"/>
      <c r="J6" s="115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  <c r="AA6" s="115"/>
      <c r="AB6" s="115"/>
      <c r="AC6" s="115"/>
      <c r="AD6" s="115"/>
      <c r="AE6" s="115"/>
      <c r="AF6" s="115"/>
      <c r="AG6" s="115"/>
      <c r="AH6" s="115"/>
    </row>
    <row r="7" spans="1:34" s="82" customFormat="1" ht="13.5" customHeight="1" x14ac:dyDescent="0.2">
      <c r="A7" s="80"/>
      <c r="C7" s="79"/>
      <c r="D7" s="121" t="s">
        <v>166</v>
      </c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  <c r="AH7" s="122"/>
    </row>
    <row r="8" spans="1:34" s="82" customFormat="1" ht="13.5" customHeight="1" x14ac:dyDescent="0.2">
      <c r="A8" s="83"/>
      <c r="B8" s="182" t="s">
        <v>167</v>
      </c>
      <c r="C8" s="182"/>
      <c r="D8" s="123"/>
      <c r="E8" s="114"/>
      <c r="F8" s="114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114"/>
      <c r="AB8" s="114"/>
      <c r="AC8" s="114"/>
      <c r="AD8" s="114"/>
      <c r="AE8" s="114"/>
      <c r="AF8" s="114"/>
      <c r="AG8" s="114"/>
      <c r="AH8" s="114"/>
    </row>
    <row r="9" spans="1:34" s="86" customFormat="1" ht="13.5" customHeight="1" x14ac:dyDescent="0.2">
      <c r="A9" s="80"/>
      <c r="B9" s="84" t="s">
        <v>0</v>
      </c>
      <c r="C9" s="85" t="s">
        <v>1</v>
      </c>
      <c r="D9" s="124">
        <v>1</v>
      </c>
      <c r="E9" s="124">
        <v>2</v>
      </c>
      <c r="F9" s="124">
        <v>3</v>
      </c>
      <c r="G9" s="124">
        <v>4</v>
      </c>
      <c r="H9" s="124">
        <v>5</v>
      </c>
      <c r="I9" s="124">
        <v>6</v>
      </c>
      <c r="J9" s="124">
        <v>7</v>
      </c>
      <c r="K9" s="124">
        <v>8</v>
      </c>
      <c r="L9" s="124">
        <v>9</v>
      </c>
      <c r="M9" s="124">
        <v>10</v>
      </c>
      <c r="N9" s="124">
        <v>11</v>
      </c>
      <c r="O9" s="124">
        <v>12</v>
      </c>
      <c r="P9" s="124">
        <v>13</v>
      </c>
      <c r="Q9" s="124">
        <v>14</v>
      </c>
      <c r="R9" s="124">
        <v>15</v>
      </c>
      <c r="S9" s="124">
        <v>16</v>
      </c>
      <c r="T9" s="124">
        <v>17</v>
      </c>
      <c r="U9" s="124">
        <v>18</v>
      </c>
      <c r="V9" s="124">
        <v>19</v>
      </c>
      <c r="W9" s="124">
        <v>20</v>
      </c>
      <c r="X9" s="124">
        <v>21</v>
      </c>
      <c r="Y9" s="124">
        <v>22</v>
      </c>
      <c r="Z9" s="124">
        <v>23</v>
      </c>
      <c r="AA9" s="124">
        <v>24</v>
      </c>
      <c r="AB9" s="124">
        <v>25</v>
      </c>
      <c r="AC9" s="124">
        <v>26</v>
      </c>
      <c r="AD9" s="124">
        <v>27</v>
      </c>
      <c r="AE9" s="124">
        <v>28</v>
      </c>
      <c r="AF9" s="124">
        <v>29</v>
      </c>
      <c r="AG9" s="124">
        <v>30</v>
      </c>
      <c r="AH9" s="124">
        <v>31</v>
      </c>
    </row>
  </sheetData>
  <mergeCells count="1">
    <mergeCell ref="B8:C8"/>
  </mergeCells>
  <dataValidations count="2">
    <dataValidation allowBlank="1" showDropDown="1" showInputMessage="1" showErrorMessage="1" errorTitle="Atención" sqref="D9:AH9 IZ9:KD9 SV9:TZ9 ACR9:ADV9 AMN9:ANR9 AWJ9:AXN9 BGF9:BHJ9 BQB9:BRF9 BZX9:CBB9 CJT9:CKX9 CTP9:CUT9 DDL9:DEP9 DNH9:DOL9 DXD9:DYH9 EGZ9:EID9 EQV9:ERZ9 FAR9:FBV9 FKN9:FLR9 FUJ9:FVN9 GEF9:GFJ9 GOB9:GPF9 GXX9:GZB9 HHT9:HIX9 HRP9:HST9 IBL9:ICP9 ILH9:IML9 IVD9:IWH9 JEZ9:JGD9 JOV9:JPZ9 JYR9:JZV9 KIN9:KJR9 KSJ9:KTN9 LCF9:LDJ9 LMB9:LNF9 LVX9:LXB9 MFT9:MGX9 MPP9:MQT9 MZL9:NAP9 NJH9:NKL9 NTD9:NUH9 OCZ9:OED9 OMV9:ONZ9 OWR9:OXV9 PGN9:PHR9 PQJ9:PRN9 QAF9:QBJ9 QKB9:QLF9 QTX9:QVB9 RDT9:REX9 RNP9:ROT9 RXL9:RYP9 SHH9:SIL9 SRD9:SSH9 TAZ9:TCD9 TKV9:TLZ9 TUR9:TVV9 UEN9:UFR9 UOJ9:UPN9 UYF9:UZJ9 VIB9:VJF9 VRX9:VTB9 WBT9:WCX9 WLP9:WMT9 WVL9:WWP9 D65504:AH65504 IZ65504:KD65504 SV65504:TZ65504 ACR65504:ADV65504 AMN65504:ANR65504 AWJ65504:AXN65504 BGF65504:BHJ65504 BQB65504:BRF65504 BZX65504:CBB65504 CJT65504:CKX65504 CTP65504:CUT65504 DDL65504:DEP65504 DNH65504:DOL65504 DXD65504:DYH65504 EGZ65504:EID65504 EQV65504:ERZ65504 FAR65504:FBV65504 FKN65504:FLR65504 FUJ65504:FVN65504 GEF65504:GFJ65504 GOB65504:GPF65504 GXX65504:GZB65504 HHT65504:HIX65504 HRP65504:HST65504 IBL65504:ICP65504 ILH65504:IML65504 IVD65504:IWH65504 JEZ65504:JGD65504 JOV65504:JPZ65504 JYR65504:JZV65504 KIN65504:KJR65504 KSJ65504:KTN65504 LCF65504:LDJ65504 LMB65504:LNF65504 LVX65504:LXB65504 MFT65504:MGX65504 MPP65504:MQT65504 MZL65504:NAP65504 NJH65504:NKL65504 NTD65504:NUH65504 OCZ65504:OED65504 OMV65504:ONZ65504 OWR65504:OXV65504 PGN65504:PHR65504 PQJ65504:PRN65504 QAF65504:QBJ65504 QKB65504:QLF65504 QTX65504:QVB65504 RDT65504:REX65504 RNP65504:ROT65504 RXL65504:RYP65504 SHH65504:SIL65504 SRD65504:SSH65504 TAZ65504:TCD65504 TKV65504:TLZ65504 TUR65504:TVV65504 UEN65504:UFR65504 UOJ65504:UPN65504 UYF65504:UZJ65504 VIB65504:VJF65504 VRX65504:VTB65504 WBT65504:WCX65504 WLP65504:WMT65504 WVL65504:WWP65504 D131040:AH131040 IZ131040:KD131040 SV131040:TZ131040 ACR131040:ADV131040 AMN131040:ANR131040 AWJ131040:AXN131040 BGF131040:BHJ131040 BQB131040:BRF131040 BZX131040:CBB131040 CJT131040:CKX131040 CTP131040:CUT131040 DDL131040:DEP131040 DNH131040:DOL131040 DXD131040:DYH131040 EGZ131040:EID131040 EQV131040:ERZ131040 FAR131040:FBV131040 FKN131040:FLR131040 FUJ131040:FVN131040 GEF131040:GFJ131040 GOB131040:GPF131040 GXX131040:GZB131040 HHT131040:HIX131040 HRP131040:HST131040 IBL131040:ICP131040 ILH131040:IML131040 IVD131040:IWH131040 JEZ131040:JGD131040 JOV131040:JPZ131040 JYR131040:JZV131040 KIN131040:KJR131040 KSJ131040:KTN131040 LCF131040:LDJ131040 LMB131040:LNF131040 LVX131040:LXB131040 MFT131040:MGX131040 MPP131040:MQT131040 MZL131040:NAP131040 NJH131040:NKL131040 NTD131040:NUH131040 OCZ131040:OED131040 OMV131040:ONZ131040 OWR131040:OXV131040 PGN131040:PHR131040 PQJ131040:PRN131040 QAF131040:QBJ131040 QKB131040:QLF131040 QTX131040:QVB131040 RDT131040:REX131040 RNP131040:ROT131040 RXL131040:RYP131040 SHH131040:SIL131040 SRD131040:SSH131040 TAZ131040:TCD131040 TKV131040:TLZ131040 TUR131040:TVV131040 UEN131040:UFR131040 UOJ131040:UPN131040 UYF131040:UZJ131040 VIB131040:VJF131040 VRX131040:VTB131040 WBT131040:WCX131040 WLP131040:WMT131040 WVL131040:WWP131040 D196576:AH196576 IZ196576:KD196576 SV196576:TZ196576 ACR196576:ADV196576 AMN196576:ANR196576 AWJ196576:AXN196576 BGF196576:BHJ196576 BQB196576:BRF196576 BZX196576:CBB196576 CJT196576:CKX196576 CTP196576:CUT196576 DDL196576:DEP196576 DNH196576:DOL196576 DXD196576:DYH196576 EGZ196576:EID196576 EQV196576:ERZ196576 FAR196576:FBV196576 FKN196576:FLR196576 FUJ196576:FVN196576 GEF196576:GFJ196576 GOB196576:GPF196576 GXX196576:GZB196576 HHT196576:HIX196576 HRP196576:HST196576 IBL196576:ICP196576 ILH196576:IML196576 IVD196576:IWH196576 JEZ196576:JGD196576 JOV196576:JPZ196576 JYR196576:JZV196576 KIN196576:KJR196576 KSJ196576:KTN196576 LCF196576:LDJ196576 LMB196576:LNF196576 LVX196576:LXB196576 MFT196576:MGX196576 MPP196576:MQT196576 MZL196576:NAP196576 NJH196576:NKL196576 NTD196576:NUH196576 OCZ196576:OED196576 OMV196576:ONZ196576 OWR196576:OXV196576 PGN196576:PHR196576 PQJ196576:PRN196576 QAF196576:QBJ196576 QKB196576:QLF196576 QTX196576:QVB196576 RDT196576:REX196576 RNP196576:ROT196576 RXL196576:RYP196576 SHH196576:SIL196576 SRD196576:SSH196576 TAZ196576:TCD196576 TKV196576:TLZ196576 TUR196576:TVV196576 UEN196576:UFR196576 UOJ196576:UPN196576 UYF196576:UZJ196576 VIB196576:VJF196576 VRX196576:VTB196576 WBT196576:WCX196576 WLP196576:WMT196576 WVL196576:WWP196576 D262112:AH262112 IZ262112:KD262112 SV262112:TZ262112 ACR262112:ADV262112 AMN262112:ANR262112 AWJ262112:AXN262112 BGF262112:BHJ262112 BQB262112:BRF262112 BZX262112:CBB262112 CJT262112:CKX262112 CTP262112:CUT262112 DDL262112:DEP262112 DNH262112:DOL262112 DXD262112:DYH262112 EGZ262112:EID262112 EQV262112:ERZ262112 FAR262112:FBV262112 FKN262112:FLR262112 FUJ262112:FVN262112 GEF262112:GFJ262112 GOB262112:GPF262112 GXX262112:GZB262112 HHT262112:HIX262112 HRP262112:HST262112 IBL262112:ICP262112 ILH262112:IML262112 IVD262112:IWH262112 JEZ262112:JGD262112 JOV262112:JPZ262112 JYR262112:JZV262112 KIN262112:KJR262112 KSJ262112:KTN262112 LCF262112:LDJ262112 LMB262112:LNF262112 LVX262112:LXB262112 MFT262112:MGX262112 MPP262112:MQT262112 MZL262112:NAP262112 NJH262112:NKL262112 NTD262112:NUH262112 OCZ262112:OED262112 OMV262112:ONZ262112 OWR262112:OXV262112 PGN262112:PHR262112 PQJ262112:PRN262112 QAF262112:QBJ262112 QKB262112:QLF262112 QTX262112:QVB262112 RDT262112:REX262112 RNP262112:ROT262112 RXL262112:RYP262112 SHH262112:SIL262112 SRD262112:SSH262112 TAZ262112:TCD262112 TKV262112:TLZ262112 TUR262112:TVV262112 UEN262112:UFR262112 UOJ262112:UPN262112 UYF262112:UZJ262112 VIB262112:VJF262112 VRX262112:VTB262112 WBT262112:WCX262112 WLP262112:WMT262112 WVL262112:WWP262112 D327648:AH327648 IZ327648:KD327648 SV327648:TZ327648 ACR327648:ADV327648 AMN327648:ANR327648 AWJ327648:AXN327648 BGF327648:BHJ327648 BQB327648:BRF327648 BZX327648:CBB327648 CJT327648:CKX327648 CTP327648:CUT327648 DDL327648:DEP327648 DNH327648:DOL327648 DXD327648:DYH327648 EGZ327648:EID327648 EQV327648:ERZ327648 FAR327648:FBV327648 FKN327648:FLR327648 FUJ327648:FVN327648 GEF327648:GFJ327648 GOB327648:GPF327648 GXX327648:GZB327648 HHT327648:HIX327648 HRP327648:HST327648 IBL327648:ICP327648 ILH327648:IML327648 IVD327648:IWH327648 JEZ327648:JGD327648 JOV327648:JPZ327648 JYR327648:JZV327648 KIN327648:KJR327648 KSJ327648:KTN327648 LCF327648:LDJ327648 LMB327648:LNF327648 LVX327648:LXB327648 MFT327648:MGX327648 MPP327648:MQT327648 MZL327648:NAP327648 NJH327648:NKL327648 NTD327648:NUH327648 OCZ327648:OED327648 OMV327648:ONZ327648 OWR327648:OXV327648 PGN327648:PHR327648 PQJ327648:PRN327648 QAF327648:QBJ327648 QKB327648:QLF327648 QTX327648:QVB327648 RDT327648:REX327648 RNP327648:ROT327648 RXL327648:RYP327648 SHH327648:SIL327648 SRD327648:SSH327648 TAZ327648:TCD327648 TKV327648:TLZ327648 TUR327648:TVV327648 UEN327648:UFR327648 UOJ327648:UPN327648 UYF327648:UZJ327648 VIB327648:VJF327648 VRX327648:VTB327648 WBT327648:WCX327648 WLP327648:WMT327648 WVL327648:WWP327648 D393184:AH393184 IZ393184:KD393184 SV393184:TZ393184 ACR393184:ADV393184 AMN393184:ANR393184 AWJ393184:AXN393184 BGF393184:BHJ393184 BQB393184:BRF393184 BZX393184:CBB393184 CJT393184:CKX393184 CTP393184:CUT393184 DDL393184:DEP393184 DNH393184:DOL393184 DXD393184:DYH393184 EGZ393184:EID393184 EQV393184:ERZ393184 FAR393184:FBV393184 FKN393184:FLR393184 FUJ393184:FVN393184 GEF393184:GFJ393184 GOB393184:GPF393184 GXX393184:GZB393184 HHT393184:HIX393184 HRP393184:HST393184 IBL393184:ICP393184 ILH393184:IML393184 IVD393184:IWH393184 JEZ393184:JGD393184 JOV393184:JPZ393184 JYR393184:JZV393184 KIN393184:KJR393184 KSJ393184:KTN393184 LCF393184:LDJ393184 LMB393184:LNF393184 LVX393184:LXB393184 MFT393184:MGX393184 MPP393184:MQT393184 MZL393184:NAP393184 NJH393184:NKL393184 NTD393184:NUH393184 OCZ393184:OED393184 OMV393184:ONZ393184 OWR393184:OXV393184 PGN393184:PHR393184 PQJ393184:PRN393184 QAF393184:QBJ393184 QKB393184:QLF393184 QTX393184:QVB393184 RDT393184:REX393184 RNP393184:ROT393184 RXL393184:RYP393184 SHH393184:SIL393184 SRD393184:SSH393184 TAZ393184:TCD393184 TKV393184:TLZ393184 TUR393184:TVV393184 UEN393184:UFR393184 UOJ393184:UPN393184 UYF393184:UZJ393184 VIB393184:VJF393184 VRX393184:VTB393184 WBT393184:WCX393184 WLP393184:WMT393184 WVL393184:WWP393184 D458720:AH458720 IZ458720:KD458720 SV458720:TZ458720 ACR458720:ADV458720 AMN458720:ANR458720 AWJ458720:AXN458720 BGF458720:BHJ458720 BQB458720:BRF458720 BZX458720:CBB458720 CJT458720:CKX458720 CTP458720:CUT458720 DDL458720:DEP458720 DNH458720:DOL458720 DXD458720:DYH458720 EGZ458720:EID458720 EQV458720:ERZ458720 FAR458720:FBV458720 FKN458720:FLR458720 FUJ458720:FVN458720 GEF458720:GFJ458720 GOB458720:GPF458720 GXX458720:GZB458720 HHT458720:HIX458720 HRP458720:HST458720 IBL458720:ICP458720 ILH458720:IML458720 IVD458720:IWH458720 JEZ458720:JGD458720 JOV458720:JPZ458720 JYR458720:JZV458720 KIN458720:KJR458720 KSJ458720:KTN458720 LCF458720:LDJ458720 LMB458720:LNF458720 LVX458720:LXB458720 MFT458720:MGX458720 MPP458720:MQT458720 MZL458720:NAP458720 NJH458720:NKL458720 NTD458720:NUH458720 OCZ458720:OED458720 OMV458720:ONZ458720 OWR458720:OXV458720 PGN458720:PHR458720 PQJ458720:PRN458720 QAF458720:QBJ458720 QKB458720:QLF458720 QTX458720:QVB458720 RDT458720:REX458720 RNP458720:ROT458720 RXL458720:RYP458720 SHH458720:SIL458720 SRD458720:SSH458720 TAZ458720:TCD458720 TKV458720:TLZ458720 TUR458720:TVV458720 UEN458720:UFR458720 UOJ458720:UPN458720 UYF458720:UZJ458720 VIB458720:VJF458720 VRX458720:VTB458720 WBT458720:WCX458720 WLP458720:WMT458720 WVL458720:WWP458720 D524256:AH524256 IZ524256:KD524256 SV524256:TZ524256 ACR524256:ADV524256 AMN524256:ANR524256 AWJ524256:AXN524256 BGF524256:BHJ524256 BQB524256:BRF524256 BZX524256:CBB524256 CJT524256:CKX524256 CTP524256:CUT524256 DDL524256:DEP524256 DNH524256:DOL524256 DXD524256:DYH524256 EGZ524256:EID524256 EQV524256:ERZ524256 FAR524256:FBV524256 FKN524256:FLR524256 FUJ524256:FVN524256 GEF524256:GFJ524256 GOB524256:GPF524256 GXX524256:GZB524256 HHT524256:HIX524256 HRP524256:HST524256 IBL524256:ICP524256 ILH524256:IML524256 IVD524256:IWH524256 JEZ524256:JGD524256 JOV524256:JPZ524256 JYR524256:JZV524256 KIN524256:KJR524256 KSJ524256:KTN524256 LCF524256:LDJ524256 LMB524256:LNF524256 LVX524256:LXB524256 MFT524256:MGX524256 MPP524256:MQT524256 MZL524256:NAP524256 NJH524256:NKL524256 NTD524256:NUH524256 OCZ524256:OED524256 OMV524256:ONZ524256 OWR524256:OXV524256 PGN524256:PHR524256 PQJ524256:PRN524256 QAF524256:QBJ524256 QKB524256:QLF524256 QTX524256:QVB524256 RDT524256:REX524256 RNP524256:ROT524256 RXL524256:RYP524256 SHH524256:SIL524256 SRD524256:SSH524256 TAZ524256:TCD524256 TKV524256:TLZ524256 TUR524256:TVV524256 UEN524256:UFR524256 UOJ524256:UPN524256 UYF524256:UZJ524256 VIB524256:VJF524256 VRX524256:VTB524256 WBT524256:WCX524256 WLP524256:WMT524256 WVL524256:WWP524256 D589792:AH589792 IZ589792:KD589792 SV589792:TZ589792 ACR589792:ADV589792 AMN589792:ANR589792 AWJ589792:AXN589792 BGF589792:BHJ589792 BQB589792:BRF589792 BZX589792:CBB589792 CJT589792:CKX589792 CTP589792:CUT589792 DDL589792:DEP589792 DNH589792:DOL589792 DXD589792:DYH589792 EGZ589792:EID589792 EQV589792:ERZ589792 FAR589792:FBV589792 FKN589792:FLR589792 FUJ589792:FVN589792 GEF589792:GFJ589792 GOB589792:GPF589792 GXX589792:GZB589792 HHT589792:HIX589792 HRP589792:HST589792 IBL589792:ICP589792 ILH589792:IML589792 IVD589792:IWH589792 JEZ589792:JGD589792 JOV589792:JPZ589792 JYR589792:JZV589792 KIN589792:KJR589792 KSJ589792:KTN589792 LCF589792:LDJ589792 LMB589792:LNF589792 LVX589792:LXB589792 MFT589792:MGX589792 MPP589792:MQT589792 MZL589792:NAP589792 NJH589792:NKL589792 NTD589792:NUH589792 OCZ589792:OED589792 OMV589792:ONZ589792 OWR589792:OXV589792 PGN589792:PHR589792 PQJ589792:PRN589792 QAF589792:QBJ589792 QKB589792:QLF589792 QTX589792:QVB589792 RDT589792:REX589792 RNP589792:ROT589792 RXL589792:RYP589792 SHH589792:SIL589792 SRD589792:SSH589792 TAZ589792:TCD589792 TKV589792:TLZ589792 TUR589792:TVV589792 UEN589792:UFR589792 UOJ589792:UPN589792 UYF589792:UZJ589792 VIB589792:VJF589792 VRX589792:VTB589792 WBT589792:WCX589792 WLP589792:WMT589792 WVL589792:WWP589792 D655328:AH655328 IZ655328:KD655328 SV655328:TZ655328 ACR655328:ADV655328 AMN655328:ANR655328 AWJ655328:AXN655328 BGF655328:BHJ655328 BQB655328:BRF655328 BZX655328:CBB655328 CJT655328:CKX655328 CTP655328:CUT655328 DDL655328:DEP655328 DNH655328:DOL655328 DXD655328:DYH655328 EGZ655328:EID655328 EQV655328:ERZ655328 FAR655328:FBV655328 FKN655328:FLR655328 FUJ655328:FVN655328 GEF655328:GFJ655328 GOB655328:GPF655328 GXX655328:GZB655328 HHT655328:HIX655328 HRP655328:HST655328 IBL655328:ICP655328 ILH655328:IML655328 IVD655328:IWH655328 JEZ655328:JGD655328 JOV655328:JPZ655328 JYR655328:JZV655328 KIN655328:KJR655328 KSJ655328:KTN655328 LCF655328:LDJ655328 LMB655328:LNF655328 LVX655328:LXB655328 MFT655328:MGX655328 MPP655328:MQT655328 MZL655328:NAP655328 NJH655328:NKL655328 NTD655328:NUH655328 OCZ655328:OED655328 OMV655328:ONZ655328 OWR655328:OXV655328 PGN655328:PHR655328 PQJ655328:PRN655328 QAF655328:QBJ655328 QKB655328:QLF655328 QTX655328:QVB655328 RDT655328:REX655328 RNP655328:ROT655328 RXL655328:RYP655328 SHH655328:SIL655328 SRD655328:SSH655328 TAZ655328:TCD655328 TKV655328:TLZ655328 TUR655328:TVV655328 UEN655328:UFR655328 UOJ655328:UPN655328 UYF655328:UZJ655328 VIB655328:VJF655328 VRX655328:VTB655328 WBT655328:WCX655328 WLP655328:WMT655328 WVL655328:WWP655328 D720864:AH720864 IZ720864:KD720864 SV720864:TZ720864 ACR720864:ADV720864 AMN720864:ANR720864 AWJ720864:AXN720864 BGF720864:BHJ720864 BQB720864:BRF720864 BZX720864:CBB720864 CJT720864:CKX720864 CTP720864:CUT720864 DDL720864:DEP720864 DNH720864:DOL720864 DXD720864:DYH720864 EGZ720864:EID720864 EQV720864:ERZ720864 FAR720864:FBV720864 FKN720864:FLR720864 FUJ720864:FVN720864 GEF720864:GFJ720864 GOB720864:GPF720864 GXX720864:GZB720864 HHT720864:HIX720864 HRP720864:HST720864 IBL720864:ICP720864 ILH720864:IML720864 IVD720864:IWH720864 JEZ720864:JGD720864 JOV720864:JPZ720864 JYR720864:JZV720864 KIN720864:KJR720864 KSJ720864:KTN720864 LCF720864:LDJ720864 LMB720864:LNF720864 LVX720864:LXB720864 MFT720864:MGX720864 MPP720864:MQT720864 MZL720864:NAP720864 NJH720864:NKL720864 NTD720864:NUH720864 OCZ720864:OED720864 OMV720864:ONZ720864 OWR720864:OXV720864 PGN720864:PHR720864 PQJ720864:PRN720864 QAF720864:QBJ720864 QKB720864:QLF720864 QTX720864:QVB720864 RDT720864:REX720864 RNP720864:ROT720864 RXL720864:RYP720864 SHH720864:SIL720864 SRD720864:SSH720864 TAZ720864:TCD720864 TKV720864:TLZ720864 TUR720864:TVV720864 UEN720864:UFR720864 UOJ720864:UPN720864 UYF720864:UZJ720864 VIB720864:VJF720864 VRX720864:VTB720864 WBT720864:WCX720864 WLP720864:WMT720864 WVL720864:WWP720864 D786400:AH786400 IZ786400:KD786400 SV786400:TZ786400 ACR786400:ADV786400 AMN786400:ANR786400 AWJ786400:AXN786400 BGF786400:BHJ786400 BQB786400:BRF786400 BZX786400:CBB786400 CJT786400:CKX786400 CTP786400:CUT786400 DDL786400:DEP786400 DNH786400:DOL786400 DXD786400:DYH786400 EGZ786400:EID786400 EQV786400:ERZ786400 FAR786400:FBV786400 FKN786400:FLR786400 FUJ786400:FVN786400 GEF786400:GFJ786400 GOB786400:GPF786400 GXX786400:GZB786400 HHT786400:HIX786400 HRP786400:HST786400 IBL786400:ICP786400 ILH786400:IML786400 IVD786400:IWH786400 JEZ786400:JGD786400 JOV786400:JPZ786400 JYR786400:JZV786400 KIN786400:KJR786400 KSJ786400:KTN786400 LCF786400:LDJ786400 LMB786400:LNF786400 LVX786400:LXB786400 MFT786400:MGX786400 MPP786400:MQT786400 MZL786400:NAP786400 NJH786400:NKL786400 NTD786400:NUH786400 OCZ786400:OED786400 OMV786400:ONZ786400 OWR786400:OXV786400 PGN786400:PHR786400 PQJ786400:PRN786400 QAF786400:QBJ786400 QKB786400:QLF786400 QTX786400:QVB786400 RDT786400:REX786400 RNP786400:ROT786400 RXL786400:RYP786400 SHH786400:SIL786400 SRD786400:SSH786400 TAZ786400:TCD786400 TKV786400:TLZ786400 TUR786400:TVV786400 UEN786400:UFR786400 UOJ786400:UPN786400 UYF786400:UZJ786400 VIB786400:VJF786400 VRX786400:VTB786400 WBT786400:WCX786400 WLP786400:WMT786400 WVL786400:WWP786400 D851936:AH851936 IZ851936:KD851936 SV851936:TZ851936 ACR851936:ADV851936 AMN851936:ANR851936 AWJ851936:AXN851936 BGF851936:BHJ851936 BQB851936:BRF851936 BZX851936:CBB851936 CJT851936:CKX851936 CTP851936:CUT851936 DDL851936:DEP851936 DNH851936:DOL851936 DXD851936:DYH851936 EGZ851936:EID851936 EQV851936:ERZ851936 FAR851936:FBV851936 FKN851936:FLR851936 FUJ851936:FVN851936 GEF851936:GFJ851936 GOB851936:GPF851936 GXX851936:GZB851936 HHT851936:HIX851936 HRP851936:HST851936 IBL851936:ICP851936 ILH851936:IML851936 IVD851936:IWH851936 JEZ851936:JGD851936 JOV851936:JPZ851936 JYR851936:JZV851936 KIN851936:KJR851936 KSJ851936:KTN851936 LCF851936:LDJ851936 LMB851936:LNF851936 LVX851936:LXB851936 MFT851936:MGX851936 MPP851936:MQT851936 MZL851936:NAP851936 NJH851936:NKL851936 NTD851936:NUH851936 OCZ851936:OED851936 OMV851936:ONZ851936 OWR851936:OXV851936 PGN851936:PHR851936 PQJ851936:PRN851936 QAF851936:QBJ851936 QKB851936:QLF851936 QTX851936:QVB851936 RDT851936:REX851936 RNP851936:ROT851936 RXL851936:RYP851936 SHH851936:SIL851936 SRD851936:SSH851936 TAZ851936:TCD851936 TKV851936:TLZ851936 TUR851936:TVV851936 UEN851936:UFR851936 UOJ851936:UPN851936 UYF851936:UZJ851936 VIB851936:VJF851936 VRX851936:VTB851936 WBT851936:WCX851936 WLP851936:WMT851936 WVL851936:WWP851936 D917472:AH917472 IZ917472:KD917472 SV917472:TZ917472 ACR917472:ADV917472 AMN917472:ANR917472 AWJ917472:AXN917472 BGF917472:BHJ917472 BQB917472:BRF917472 BZX917472:CBB917472 CJT917472:CKX917472 CTP917472:CUT917472 DDL917472:DEP917472 DNH917472:DOL917472 DXD917472:DYH917472 EGZ917472:EID917472 EQV917472:ERZ917472 FAR917472:FBV917472 FKN917472:FLR917472 FUJ917472:FVN917472 GEF917472:GFJ917472 GOB917472:GPF917472 GXX917472:GZB917472 HHT917472:HIX917472 HRP917472:HST917472 IBL917472:ICP917472 ILH917472:IML917472 IVD917472:IWH917472 JEZ917472:JGD917472 JOV917472:JPZ917472 JYR917472:JZV917472 KIN917472:KJR917472 KSJ917472:KTN917472 LCF917472:LDJ917472 LMB917472:LNF917472 LVX917472:LXB917472 MFT917472:MGX917472 MPP917472:MQT917472 MZL917472:NAP917472 NJH917472:NKL917472 NTD917472:NUH917472 OCZ917472:OED917472 OMV917472:ONZ917472 OWR917472:OXV917472 PGN917472:PHR917472 PQJ917472:PRN917472 QAF917472:QBJ917472 QKB917472:QLF917472 QTX917472:QVB917472 RDT917472:REX917472 RNP917472:ROT917472 RXL917472:RYP917472 SHH917472:SIL917472 SRD917472:SSH917472 TAZ917472:TCD917472 TKV917472:TLZ917472 TUR917472:TVV917472 UEN917472:UFR917472 UOJ917472:UPN917472 UYF917472:UZJ917472 VIB917472:VJF917472 VRX917472:VTB917472 WBT917472:WCX917472 WLP917472:WMT917472 WVL917472:WWP917472 D983008:AH983008 IZ983008:KD983008 SV983008:TZ983008 ACR983008:ADV983008 AMN983008:ANR983008 AWJ983008:AXN983008 BGF983008:BHJ983008 BQB983008:BRF983008 BZX983008:CBB983008 CJT983008:CKX983008 CTP983008:CUT983008 DDL983008:DEP983008 DNH983008:DOL983008 DXD983008:DYH983008 EGZ983008:EID983008 EQV983008:ERZ983008 FAR983008:FBV983008 FKN983008:FLR983008 FUJ983008:FVN983008 GEF983008:GFJ983008 GOB983008:GPF983008 GXX983008:GZB983008 HHT983008:HIX983008 HRP983008:HST983008 IBL983008:ICP983008 ILH983008:IML983008 IVD983008:IWH983008 JEZ983008:JGD983008 JOV983008:JPZ983008 JYR983008:JZV983008 KIN983008:KJR983008 KSJ983008:KTN983008 LCF983008:LDJ983008 LMB983008:LNF983008 LVX983008:LXB983008 MFT983008:MGX983008 MPP983008:MQT983008 MZL983008:NAP983008 NJH983008:NKL983008 NTD983008:NUH983008 OCZ983008:OED983008 OMV983008:ONZ983008 OWR983008:OXV983008 PGN983008:PHR983008 PQJ983008:PRN983008 QAF983008:QBJ983008 QKB983008:QLF983008 QTX983008:QVB983008 RDT983008:REX983008 RNP983008:ROT983008 RXL983008:RYP983008 SHH983008:SIL983008 SRD983008:SSH983008 TAZ983008:TCD983008 TKV983008:TLZ983008 TUR983008:TVV983008 UEN983008:UFR983008 UOJ983008:UPN983008 UYF983008:UZJ983008 VIB983008:VJF983008 VRX983008:VTB983008 WBT983008:WCX983008 WLP983008:WMT983008 WVL983008:WWP983008" xr:uid="{ACB97230-921F-4EB3-800B-730FD853A97A}"/>
    <dataValidation type="list" allowBlank="1" showDropDown="1" showInputMessage="1" showErrorMessage="1" errorTitle="Atención" error="Debe informar un valor válido para la celda: X, x, I ó i" sqref="D65505:AH131031 IZ65505:KD131031 SV65505:TZ131031 ACR65505:ADV131031 AMN65505:ANR131031 AWJ65505:AXN131031 BGF65505:BHJ131031 BQB65505:BRF131031 BZX65505:CBB131031 CJT65505:CKX131031 CTP65505:CUT131031 DDL65505:DEP131031 DNH65505:DOL131031 DXD65505:DYH131031 EGZ65505:EID131031 EQV65505:ERZ131031 FAR65505:FBV131031 FKN65505:FLR131031 FUJ65505:FVN131031 GEF65505:GFJ131031 GOB65505:GPF131031 GXX65505:GZB131031 HHT65505:HIX131031 HRP65505:HST131031 IBL65505:ICP131031 ILH65505:IML131031 IVD65505:IWH131031 JEZ65505:JGD131031 JOV65505:JPZ131031 JYR65505:JZV131031 KIN65505:KJR131031 KSJ65505:KTN131031 LCF65505:LDJ131031 LMB65505:LNF131031 LVX65505:LXB131031 MFT65505:MGX131031 MPP65505:MQT131031 MZL65505:NAP131031 NJH65505:NKL131031 NTD65505:NUH131031 OCZ65505:OED131031 OMV65505:ONZ131031 OWR65505:OXV131031 PGN65505:PHR131031 PQJ65505:PRN131031 QAF65505:QBJ131031 QKB65505:QLF131031 QTX65505:QVB131031 RDT65505:REX131031 RNP65505:ROT131031 RXL65505:RYP131031 SHH65505:SIL131031 SRD65505:SSH131031 TAZ65505:TCD131031 TKV65505:TLZ131031 TUR65505:TVV131031 UEN65505:UFR131031 UOJ65505:UPN131031 UYF65505:UZJ131031 VIB65505:VJF131031 VRX65505:VTB131031 WBT65505:WCX131031 WLP65505:WMT131031 WVL65505:WWP131031 D131041:AH196567 IZ131041:KD196567 SV131041:TZ196567 ACR131041:ADV196567 AMN131041:ANR196567 AWJ131041:AXN196567 BGF131041:BHJ196567 BQB131041:BRF196567 BZX131041:CBB196567 CJT131041:CKX196567 CTP131041:CUT196567 DDL131041:DEP196567 DNH131041:DOL196567 DXD131041:DYH196567 EGZ131041:EID196567 EQV131041:ERZ196567 FAR131041:FBV196567 FKN131041:FLR196567 FUJ131041:FVN196567 GEF131041:GFJ196567 GOB131041:GPF196567 GXX131041:GZB196567 HHT131041:HIX196567 HRP131041:HST196567 IBL131041:ICP196567 ILH131041:IML196567 IVD131041:IWH196567 JEZ131041:JGD196567 JOV131041:JPZ196567 JYR131041:JZV196567 KIN131041:KJR196567 KSJ131041:KTN196567 LCF131041:LDJ196567 LMB131041:LNF196567 LVX131041:LXB196567 MFT131041:MGX196567 MPP131041:MQT196567 MZL131041:NAP196567 NJH131041:NKL196567 NTD131041:NUH196567 OCZ131041:OED196567 OMV131041:ONZ196567 OWR131041:OXV196567 PGN131041:PHR196567 PQJ131041:PRN196567 QAF131041:QBJ196567 QKB131041:QLF196567 QTX131041:QVB196567 RDT131041:REX196567 RNP131041:ROT196567 RXL131041:RYP196567 SHH131041:SIL196567 SRD131041:SSH196567 TAZ131041:TCD196567 TKV131041:TLZ196567 TUR131041:TVV196567 UEN131041:UFR196567 UOJ131041:UPN196567 UYF131041:UZJ196567 VIB131041:VJF196567 VRX131041:VTB196567 WBT131041:WCX196567 WLP131041:WMT196567 WVL131041:WWP196567 D196577:AH262103 IZ196577:KD262103 SV196577:TZ262103 ACR196577:ADV262103 AMN196577:ANR262103 AWJ196577:AXN262103 BGF196577:BHJ262103 BQB196577:BRF262103 BZX196577:CBB262103 CJT196577:CKX262103 CTP196577:CUT262103 DDL196577:DEP262103 DNH196577:DOL262103 DXD196577:DYH262103 EGZ196577:EID262103 EQV196577:ERZ262103 FAR196577:FBV262103 FKN196577:FLR262103 FUJ196577:FVN262103 GEF196577:GFJ262103 GOB196577:GPF262103 GXX196577:GZB262103 HHT196577:HIX262103 HRP196577:HST262103 IBL196577:ICP262103 ILH196577:IML262103 IVD196577:IWH262103 JEZ196577:JGD262103 JOV196577:JPZ262103 JYR196577:JZV262103 KIN196577:KJR262103 KSJ196577:KTN262103 LCF196577:LDJ262103 LMB196577:LNF262103 LVX196577:LXB262103 MFT196577:MGX262103 MPP196577:MQT262103 MZL196577:NAP262103 NJH196577:NKL262103 NTD196577:NUH262103 OCZ196577:OED262103 OMV196577:ONZ262103 OWR196577:OXV262103 PGN196577:PHR262103 PQJ196577:PRN262103 QAF196577:QBJ262103 QKB196577:QLF262103 QTX196577:QVB262103 RDT196577:REX262103 RNP196577:ROT262103 RXL196577:RYP262103 SHH196577:SIL262103 SRD196577:SSH262103 TAZ196577:TCD262103 TKV196577:TLZ262103 TUR196577:TVV262103 UEN196577:UFR262103 UOJ196577:UPN262103 UYF196577:UZJ262103 VIB196577:VJF262103 VRX196577:VTB262103 WBT196577:WCX262103 WLP196577:WMT262103 WVL196577:WWP262103 D262113:AH327639 IZ262113:KD327639 SV262113:TZ327639 ACR262113:ADV327639 AMN262113:ANR327639 AWJ262113:AXN327639 BGF262113:BHJ327639 BQB262113:BRF327639 BZX262113:CBB327639 CJT262113:CKX327639 CTP262113:CUT327639 DDL262113:DEP327639 DNH262113:DOL327639 DXD262113:DYH327639 EGZ262113:EID327639 EQV262113:ERZ327639 FAR262113:FBV327639 FKN262113:FLR327639 FUJ262113:FVN327639 GEF262113:GFJ327639 GOB262113:GPF327639 GXX262113:GZB327639 HHT262113:HIX327639 HRP262113:HST327639 IBL262113:ICP327639 ILH262113:IML327639 IVD262113:IWH327639 JEZ262113:JGD327639 JOV262113:JPZ327639 JYR262113:JZV327639 KIN262113:KJR327639 KSJ262113:KTN327639 LCF262113:LDJ327639 LMB262113:LNF327639 LVX262113:LXB327639 MFT262113:MGX327639 MPP262113:MQT327639 MZL262113:NAP327639 NJH262113:NKL327639 NTD262113:NUH327639 OCZ262113:OED327639 OMV262113:ONZ327639 OWR262113:OXV327639 PGN262113:PHR327639 PQJ262113:PRN327639 QAF262113:QBJ327639 QKB262113:QLF327639 QTX262113:QVB327639 RDT262113:REX327639 RNP262113:ROT327639 RXL262113:RYP327639 SHH262113:SIL327639 SRD262113:SSH327639 TAZ262113:TCD327639 TKV262113:TLZ327639 TUR262113:TVV327639 UEN262113:UFR327639 UOJ262113:UPN327639 UYF262113:UZJ327639 VIB262113:VJF327639 VRX262113:VTB327639 WBT262113:WCX327639 WLP262113:WMT327639 WVL262113:WWP327639 D327649:AH393175 IZ327649:KD393175 SV327649:TZ393175 ACR327649:ADV393175 AMN327649:ANR393175 AWJ327649:AXN393175 BGF327649:BHJ393175 BQB327649:BRF393175 BZX327649:CBB393175 CJT327649:CKX393175 CTP327649:CUT393175 DDL327649:DEP393175 DNH327649:DOL393175 DXD327649:DYH393175 EGZ327649:EID393175 EQV327649:ERZ393175 FAR327649:FBV393175 FKN327649:FLR393175 FUJ327649:FVN393175 GEF327649:GFJ393175 GOB327649:GPF393175 GXX327649:GZB393175 HHT327649:HIX393175 HRP327649:HST393175 IBL327649:ICP393175 ILH327649:IML393175 IVD327649:IWH393175 JEZ327649:JGD393175 JOV327649:JPZ393175 JYR327649:JZV393175 KIN327649:KJR393175 KSJ327649:KTN393175 LCF327649:LDJ393175 LMB327649:LNF393175 LVX327649:LXB393175 MFT327649:MGX393175 MPP327649:MQT393175 MZL327649:NAP393175 NJH327649:NKL393175 NTD327649:NUH393175 OCZ327649:OED393175 OMV327649:ONZ393175 OWR327649:OXV393175 PGN327649:PHR393175 PQJ327649:PRN393175 QAF327649:QBJ393175 QKB327649:QLF393175 QTX327649:QVB393175 RDT327649:REX393175 RNP327649:ROT393175 RXL327649:RYP393175 SHH327649:SIL393175 SRD327649:SSH393175 TAZ327649:TCD393175 TKV327649:TLZ393175 TUR327649:TVV393175 UEN327649:UFR393175 UOJ327649:UPN393175 UYF327649:UZJ393175 VIB327649:VJF393175 VRX327649:VTB393175 WBT327649:WCX393175 WLP327649:WMT393175 WVL327649:WWP393175 D393185:AH458711 IZ393185:KD458711 SV393185:TZ458711 ACR393185:ADV458711 AMN393185:ANR458711 AWJ393185:AXN458711 BGF393185:BHJ458711 BQB393185:BRF458711 BZX393185:CBB458711 CJT393185:CKX458711 CTP393185:CUT458711 DDL393185:DEP458711 DNH393185:DOL458711 DXD393185:DYH458711 EGZ393185:EID458711 EQV393185:ERZ458711 FAR393185:FBV458711 FKN393185:FLR458711 FUJ393185:FVN458711 GEF393185:GFJ458711 GOB393185:GPF458711 GXX393185:GZB458711 HHT393185:HIX458711 HRP393185:HST458711 IBL393185:ICP458711 ILH393185:IML458711 IVD393185:IWH458711 JEZ393185:JGD458711 JOV393185:JPZ458711 JYR393185:JZV458711 KIN393185:KJR458711 KSJ393185:KTN458711 LCF393185:LDJ458711 LMB393185:LNF458711 LVX393185:LXB458711 MFT393185:MGX458711 MPP393185:MQT458711 MZL393185:NAP458711 NJH393185:NKL458711 NTD393185:NUH458711 OCZ393185:OED458711 OMV393185:ONZ458711 OWR393185:OXV458711 PGN393185:PHR458711 PQJ393185:PRN458711 QAF393185:QBJ458711 QKB393185:QLF458711 QTX393185:QVB458711 RDT393185:REX458711 RNP393185:ROT458711 RXL393185:RYP458711 SHH393185:SIL458711 SRD393185:SSH458711 TAZ393185:TCD458711 TKV393185:TLZ458711 TUR393185:TVV458711 UEN393185:UFR458711 UOJ393185:UPN458711 UYF393185:UZJ458711 VIB393185:VJF458711 VRX393185:VTB458711 WBT393185:WCX458711 WLP393185:WMT458711 WVL393185:WWP458711 D458721:AH524247 IZ458721:KD524247 SV458721:TZ524247 ACR458721:ADV524247 AMN458721:ANR524247 AWJ458721:AXN524247 BGF458721:BHJ524247 BQB458721:BRF524247 BZX458721:CBB524247 CJT458721:CKX524247 CTP458721:CUT524247 DDL458721:DEP524247 DNH458721:DOL524247 DXD458721:DYH524247 EGZ458721:EID524247 EQV458721:ERZ524247 FAR458721:FBV524247 FKN458721:FLR524247 FUJ458721:FVN524247 GEF458721:GFJ524247 GOB458721:GPF524247 GXX458721:GZB524247 HHT458721:HIX524247 HRP458721:HST524247 IBL458721:ICP524247 ILH458721:IML524247 IVD458721:IWH524247 JEZ458721:JGD524247 JOV458721:JPZ524247 JYR458721:JZV524247 KIN458721:KJR524247 KSJ458721:KTN524247 LCF458721:LDJ524247 LMB458721:LNF524247 LVX458721:LXB524247 MFT458721:MGX524247 MPP458721:MQT524247 MZL458721:NAP524247 NJH458721:NKL524247 NTD458721:NUH524247 OCZ458721:OED524247 OMV458721:ONZ524247 OWR458721:OXV524247 PGN458721:PHR524247 PQJ458721:PRN524247 QAF458721:QBJ524247 QKB458721:QLF524247 QTX458721:QVB524247 RDT458721:REX524247 RNP458721:ROT524247 RXL458721:RYP524247 SHH458721:SIL524247 SRD458721:SSH524247 TAZ458721:TCD524247 TKV458721:TLZ524247 TUR458721:TVV524247 UEN458721:UFR524247 UOJ458721:UPN524247 UYF458721:UZJ524247 VIB458721:VJF524247 VRX458721:VTB524247 WBT458721:WCX524247 WLP458721:WMT524247 WVL458721:WWP524247 D524257:AH589783 IZ524257:KD589783 SV524257:TZ589783 ACR524257:ADV589783 AMN524257:ANR589783 AWJ524257:AXN589783 BGF524257:BHJ589783 BQB524257:BRF589783 BZX524257:CBB589783 CJT524257:CKX589783 CTP524257:CUT589783 DDL524257:DEP589783 DNH524257:DOL589783 DXD524257:DYH589783 EGZ524257:EID589783 EQV524257:ERZ589783 FAR524257:FBV589783 FKN524257:FLR589783 FUJ524257:FVN589783 GEF524257:GFJ589783 GOB524257:GPF589783 GXX524257:GZB589783 HHT524257:HIX589783 HRP524257:HST589783 IBL524257:ICP589783 ILH524257:IML589783 IVD524257:IWH589783 JEZ524257:JGD589783 JOV524257:JPZ589783 JYR524257:JZV589783 KIN524257:KJR589783 KSJ524257:KTN589783 LCF524257:LDJ589783 LMB524257:LNF589783 LVX524257:LXB589783 MFT524257:MGX589783 MPP524257:MQT589783 MZL524257:NAP589783 NJH524257:NKL589783 NTD524257:NUH589783 OCZ524257:OED589783 OMV524257:ONZ589783 OWR524257:OXV589783 PGN524257:PHR589783 PQJ524257:PRN589783 QAF524257:QBJ589783 QKB524257:QLF589783 QTX524257:QVB589783 RDT524257:REX589783 RNP524257:ROT589783 RXL524257:RYP589783 SHH524257:SIL589783 SRD524257:SSH589783 TAZ524257:TCD589783 TKV524257:TLZ589783 TUR524257:TVV589783 UEN524257:UFR589783 UOJ524257:UPN589783 UYF524257:UZJ589783 VIB524257:VJF589783 VRX524257:VTB589783 WBT524257:WCX589783 WLP524257:WMT589783 WVL524257:WWP589783 D589793:AH655319 IZ589793:KD655319 SV589793:TZ655319 ACR589793:ADV655319 AMN589793:ANR655319 AWJ589793:AXN655319 BGF589793:BHJ655319 BQB589793:BRF655319 BZX589793:CBB655319 CJT589793:CKX655319 CTP589793:CUT655319 DDL589793:DEP655319 DNH589793:DOL655319 DXD589793:DYH655319 EGZ589793:EID655319 EQV589793:ERZ655319 FAR589793:FBV655319 FKN589793:FLR655319 FUJ589793:FVN655319 GEF589793:GFJ655319 GOB589793:GPF655319 GXX589793:GZB655319 HHT589793:HIX655319 HRP589793:HST655319 IBL589793:ICP655319 ILH589793:IML655319 IVD589793:IWH655319 JEZ589793:JGD655319 JOV589793:JPZ655319 JYR589793:JZV655319 KIN589793:KJR655319 KSJ589793:KTN655319 LCF589793:LDJ655319 LMB589793:LNF655319 LVX589793:LXB655319 MFT589793:MGX655319 MPP589793:MQT655319 MZL589793:NAP655319 NJH589793:NKL655319 NTD589793:NUH655319 OCZ589793:OED655319 OMV589793:ONZ655319 OWR589793:OXV655319 PGN589793:PHR655319 PQJ589793:PRN655319 QAF589793:QBJ655319 QKB589793:QLF655319 QTX589793:QVB655319 RDT589793:REX655319 RNP589793:ROT655319 RXL589793:RYP655319 SHH589793:SIL655319 SRD589793:SSH655319 TAZ589793:TCD655319 TKV589793:TLZ655319 TUR589793:TVV655319 UEN589793:UFR655319 UOJ589793:UPN655319 UYF589793:UZJ655319 VIB589793:VJF655319 VRX589793:VTB655319 WBT589793:WCX655319 WLP589793:WMT655319 WVL589793:WWP655319 D655329:AH720855 IZ655329:KD720855 SV655329:TZ720855 ACR655329:ADV720855 AMN655329:ANR720855 AWJ655329:AXN720855 BGF655329:BHJ720855 BQB655329:BRF720855 BZX655329:CBB720855 CJT655329:CKX720855 CTP655329:CUT720855 DDL655329:DEP720855 DNH655329:DOL720855 DXD655329:DYH720855 EGZ655329:EID720855 EQV655329:ERZ720855 FAR655329:FBV720855 FKN655329:FLR720855 FUJ655329:FVN720855 GEF655329:GFJ720855 GOB655329:GPF720855 GXX655329:GZB720855 HHT655329:HIX720855 HRP655329:HST720855 IBL655329:ICP720855 ILH655329:IML720855 IVD655329:IWH720855 JEZ655329:JGD720855 JOV655329:JPZ720855 JYR655329:JZV720855 KIN655329:KJR720855 KSJ655329:KTN720855 LCF655329:LDJ720855 LMB655329:LNF720855 LVX655329:LXB720855 MFT655329:MGX720855 MPP655329:MQT720855 MZL655329:NAP720855 NJH655329:NKL720855 NTD655329:NUH720855 OCZ655329:OED720855 OMV655329:ONZ720855 OWR655329:OXV720855 PGN655329:PHR720855 PQJ655329:PRN720855 QAF655329:QBJ720855 QKB655329:QLF720855 QTX655329:QVB720855 RDT655329:REX720855 RNP655329:ROT720855 RXL655329:RYP720855 SHH655329:SIL720855 SRD655329:SSH720855 TAZ655329:TCD720855 TKV655329:TLZ720855 TUR655329:TVV720855 UEN655329:UFR720855 UOJ655329:UPN720855 UYF655329:UZJ720855 VIB655329:VJF720855 VRX655329:VTB720855 WBT655329:WCX720855 WLP655329:WMT720855 WVL655329:WWP720855 D720865:AH786391 IZ720865:KD786391 SV720865:TZ786391 ACR720865:ADV786391 AMN720865:ANR786391 AWJ720865:AXN786391 BGF720865:BHJ786391 BQB720865:BRF786391 BZX720865:CBB786391 CJT720865:CKX786391 CTP720865:CUT786391 DDL720865:DEP786391 DNH720865:DOL786391 DXD720865:DYH786391 EGZ720865:EID786391 EQV720865:ERZ786391 FAR720865:FBV786391 FKN720865:FLR786391 FUJ720865:FVN786391 GEF720865:GFJ786391 GOB720865:GPF786391 GXX720865:GZB786391 HHT720865:HIX786391 HRP720865:HST786391 IBL720865:ICP786391 ILH720865:IML786391 IVD720865:IWH786391 JEZ720865:JGD786391 JOV720865:JPZ786391 JYR720865:JZV786391 KIN720865:KJR786391 KSJ720865:KTN786391 LCF720865:LDJ786391 LMB720865:LNF786391 LVX720865:LXB786391 MFT720865:MGX786391 MPP720865:MQT786391 MZL720865:NAP786391 NJH720865:NKL786391 NTD720865:NUH786391 OCZ720865:OED786391 OMV720865:ONZ786391 OWR720865:OXV786391 PGN720865:PHR786391 PQJ720865:PRN786391 QAF720865:QBJ786391 QKB720865:QLF786391 QTX720865:QVB786391 RDT720865:REX786391 RNP720865:ROT786391 RXL720865:RYP786391 SHH720865:SIL786391 SRD720865:SSH786391 TAZ720865:TCD786391 TKV720865:TLZ786391 TUR720865:TVV786391 UEN720865:UFR786391 UOJ720865:UPN786391 UYF720865:UZJ786391 VIB720865:VJF786391 VRX720865:VTB786391 WBT720865:WCX786391 WLP720865:WMT786391 WVL720865:WWP786391 D786401:AH851927 IZ786401:KD851927 SV786401:TZ851927 ACR786401:ADV851927 AMN786401:ANR851927 AWJ786401:AXN851927 BGF786401:BHJ851927 BQB786401:BRF851927 BZX786401:CBB851927 CJT786401:CKX851927 CTP786401:CUT851927 DDL786401:DEP851927 DNH786401:DOL851927 DXD786401:DYH851927 EGZ786401:EID851927 EQV786401:ERZ851927 FAR786401:FBV851927 FKN786401:FLR851927 FUJ786401:FVN851927 GEF786401:GFJ851927 GOB786401:GPF851927 GXX786401:GZB851927 HHT786401:HIX851927 HRP786401:HST851927 IBL786401:ICP851927 ILH786401:IML851927 IVD786401:IWH851927 JEZ786401:JGD851927 JOV786401:JPZ851927 JYR786401:JZV851927 KIN786401:KJR851927 KSJ786401:KTN851927 LCF786401:LDJ851927 LMB786401:LNF851927 LVX786401:LXB851927 MFT786401:MGX851927 MPP786401:MQT851927 MZL786401:NAP851927 NJH786401:NKL851927 NTD786401:NUH851927 OCZ786401:OED851927 OMV786401:ONZ851927 OWR786401:OXV851927 PGN786401:PHR851927 PQJ786401:PRN851927 QAF786401:QBJ851927 QKB786401:QLF851927 QTX786401:QVB851927 RDT786401:REX851927 RNP786401:ROT851927 RXL786401:RYP851927 SHH786401:SIL851927 SRD786401:SSH851927 TAZ786401:TCD851927 TKV786401:TLZ851927 TUR786401:TVV851927 UEN786401:UFR851927 UOJ786401:UPN851927 UYF786401:UZJ851927 VIB786401:VJF851927 VRX786401:VTB851927 WBT786401:WCX851927 WLP786401:WMT851927 WVL786401:WWP851927 D851937:AH917463 IZ851937:KD917463 SV851937:TZ917463 ACR851937:ADV917463 AMN851937:ANR917463 AWJ851937:AXN917463 BGF851937:BHJ917463 BQB851937:BRF917463 BZX851937:CBB917463 CJT851937:CKX917463 CTP851937:CUT917463 DDL851937:DEP917463 DNH851937:DOL917463 DXD851937:DYH917463 EGZ851937:EID917463 EQV851937:ERZ917463 FAR851937:FBV917463 FKN851937:FLR917463 FUJ851937:FVN917463 GEF851937:GFJ917463 GOB851937:GPF917463 GXX851937:GZB917463 HHT851937:HIX917463 HRP851937:HST917463 IBL851937:ICP917463 ILH851937:IML917463 IVD851937:IWH917463 JEZ851937:JGD917463 JOV851937:JPZ917463 JYR851937:JZV917463 KIN851937:KJR917463 KSJ851937:KTN917463 LCF851937:LDJ917463 LMB851937:LNF917463 LVX851937:LXB917463 MFT851937:MGX917463 MPP851937:MQT917463 MZL851937:NAP917463 NJH851937:NKL917463 NTD851937:NUH917463 OCZ851937:OED917463 OMV851937:ONZ917463 OWR851937:OXV917463 PGN851937:PHR917463 PQJ851937:PRN917463 QAF851937:QBJ917463 QKB851937:QLF917463 QTX851937:QVB917463 RDT851937:REX917463 RNP851937:ROT917463 RXL851937:RYP917463 SHH851937:SIL917463 SRD851937:SSH917463 TAZ851937:TCD917463 TKV851937:TLZ917463 TUR851937:TVV917463 UEN851937:UFR917463 UOJ851937:UPN917463 UYF851937:UZJ917463 VIB851937:VJF917463 VRX851937:VTB917463 WBT851937:WCX917463 WLP851937:WMT917463 WVL851937:WWP917463 D917473:AH982999 IZ917473:KD982999 SV917473:TZ982999 ACR917473:ADV982999 AMN917473:ANR982999 AWJ917473:AXN982999 BGF917473:BHJ982999 BQB917473:BRF982999 BZX917473:CBB982999 CJT917473:CKX982999 CTP917473:CUT982999 DDL917473:DEP982999 DNH917473:DOL982999 DXD917473:DYH982999 EGZ917473:EID982999 EQV917473:ERZ982999 FAR917473:FBV982999 FKN917473:FLR982999 FUJ917473:FVN982999 GEF917473:GFJ982999 GOB917473:GPF982999 GXX917473:GZB982999 HHT917473:HIX982999 HRP917473:HST982999 IBL917473:ICP982999 ILH917473:IML982999 IVD917473:IWH982999 JEZ917473:JGD982999 JOV917473:JPZ982999 JYR917473:JZV982999 KIN917473:KJR982999 KSJ917473:KTN982999 LCF917473:LDJ982999 LMB917473:LNF982999 LVX917473:LXB982999 MFT917473:MGX982999 MPP917473:MQT982999 MZL917473:NAP982999 NJH917473:NKL982999 NTD917473:NUH982999 OCZ917473:OED982999 OMV917473:ONZ982999 OWR917473:OXV982999 PGN917473:PHR982999 PQJ917473:PRN982999 QAF917473:QBJ982999 QKB917473:QLF982999 QTX917473:QVB982999 RDT917473:REX982999 RNP917473:ROT982999 RXL917473:RYP982999 SHH917473:SIL982999 SRD917473:SSH982999 TAZ917473:TCD982999 TKV917473:TLZ982999 TUR917473:TVV982999 UEN917473:UFR982999 UOJ917473:UPN982999 UYF917473:UZJ982999 VIB917473:VJF982999 VRX917473:VTB982999 WBT917473:WCX982999 WLP917473:WMT982999 WVL917473:WWP982999 D983009:AH1048576 IZ983009:KD1048576 SV983009:TZ1048576 ACR983009:ADV1048576 AMN983009:ANR1048576 AWJ983009:AXN1048576 BGF983009:BHJ1048576 BQB983009:BRF1048576 BZX983009:CBB1048576 CJT983009:CKX1048576 CTP983009:CUT1048576 DDL983009:DEP1048576 DNH983009:DOL1048576 DXD983009:DYH1048576 EGZ983009:EID1048576 EQV983009:ERZ1048576 FAR983009:FBV1048576 FKN983009:FLR1048576 FUJ983009:FVN1048576 GEF983009:GFJ1048576 GOB983009:GPF1048576 GXX983009:GZB1048576 HHT983009:HIX1048576 HRP983009:HST1048576 IBL983009:ICP1048576 ILH983009:IML1048576 IVD983009:IWH1048576 JEZ983009:JGD1048576 JOV983009:JPZ1048576 JYR983009:JZV1048576 KIN983009:KJR1048576 KSJ983009:KTN1048576 LCF983009:LDJ1048576 LMB983009:LNF1048576 LVX983009:LXB1048576 MFT983009:MGX1048576 MPP983009:MQT1048576 MZL983009:NAP1048576 NJH983009:NKL1048576 NTD983009:NUH1048576 OCZ983009:OED1048576 OMV983009:ONZ1048576 OWR983009:OXV1048576 PGN983009:PHR1048576 PQJ983009:PRN1048576 QAF983009:QBJ1048576 QKB983009:QLF1048576 QTX983009:QVB1048576 RDT983009:REX1048576 RNP983009:ROT1048576 RXL983009:RYP1048576 SHH983009:SIL1048576 SRD983009:SSH1048576 TAZ983009:TCD1048576 TKV983009:TLZ1048576 TUR983009:TVV1048576 UEN983009:UFR1048576 UOJ983009:UPN1048576 UYF983009:UZJ1048576 VIB983009:VJF1048576 VRX983009:VTB1048576 WBT983009:WCX1048576 WLP983009:WMT1048576 WVL983009:WWP1048576 D10:AH65495 IZ10:KD65495 SV10:TZ65495 ACR10:ADV65495 AMN10:ANR65495 AWJ10:AXN65495 BGF10:BHJ65495 BQB10:BRF65495 BZX10:CBB65495 CJT10:CKX65495 CTP10:CUT65495 DDL10:DEP65495 DNH10:DOL65495 DXD10:DYH65495 EGZ10:EID65495 EQV10:ERZ65495 FAR10:FBV65495 FKN10:FLR65495 FUJ10:FVN65495 GEF10:GFJ65495 GOB10:GPF65495 GXX10:GZB65495 HHT10:HIX65495 HRP10:HST65495 IBL10:ICP65495 ILH10:IML65495 IVD10:IWH65495 JEZ10:JGD65495 JOV10:JPZ65495 JYR10:JZV65495 KIN10:KJR65495 KSJ10:KTN65495 LCF10:LDJ65495 LMB10:LNF65495 LVX10:LXB65495 MFT10:MGX65495 MPP10:MQT65495 MZL10:NAP65495 NJH10:NKL65495 NTD10:NUH65495 OCZ10:OED65495 OMV10:ONZ65495 OWR10:OXV65495 PGN10:PHR65495 PQJ10:PRN65495 QAF10:QBJ65495 QKB10:QLF65495 QTX10:QVB65495 RDT10:REX65495 RNP10:ROT65495 RXL10:RYP65495 SHH10:SIL65495 SRD10:SSH65495 TAZ10:TCD65495 TKV10:TLZ65495 TUR10:TVV65495 UEN10:UFR65495 UOJ10:UPN65495 UYF10:UZJ65495 VIB10:VJF65495 VRX10:VTB65495 WBT10:WCX65495 WLP10:WMT65495 WVL10:WWP65495" xr:uid="{E4F6E7BA-2065-4B4D-89FD-C4C023D9C79A}">
      <formula1>"X,x,I,i"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B26B2-2A70-4287-8075-34E633E6CA2F}">
  <sheetPr codeName="Sheet1"/>
  <dimension ref="A1:N91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9.7109375" customWidth="1"/>
    <col min="2" max="2" width="43.140625" bestFit="1" customWidth="1"/>
    <col min="3" max="3" width="10.42578125" bestFit="1" customWidth="1"/>
    <col min="7" max="7" width="5.140625" bestFit="1" customWidth="1"/>
    <col min="8" max="8" width="10.42578125" bestFit="1" customWidth="1"/>
    <col min="9" max="9" width="17.140625" bestFit="1" customWidth="1"/>
    <col min="10" max="10" width="12" bestFit="1" customWidth="1"/>
    <col min="11" max="11" width="10.140625" customWidth="1"/>
    <col min="12" max="12" width="12.42578125" customWidth="1"/>
    <col min="13" max="13" width="11.28515625" bestFit="1" customWidth="1"/>
    <col min="14" max="14" width="12" bestFit="1" customWidth="1"/>
    <col min="15" max="15" width="5.28515625" customWidth="1"/>
    <col min="17" max="17" width="10.5703125" bestFit="1" customWidth="1"/>
  </cols>
  <sheetData>
    <row r="1" spans="1:14" x14ac:dyDescent="0.25">
      <c r="C1" s="183" t="s">
        <v>183</v>
      </c>
      <c r="D1" s="185" t="s">
        <v>184</v>
      </c>
      <c r="E1" s="185"/>
      <c r="F1" s="185"/>
      <c r="G1" s="183" t="s">
        <v>185</v>
      </c>
      <c r="H1" s="183" t="s">
        <v>186</v>
      </c>
      <c r="I1" s="183" t="s">
        <v>187</v>
      </c>
      <c r="J1" s="183" t="s">
        <v>2430</v>
      </c>
      <c r="K1" s="183" t="s">
        <v>2431</v>
      </c>
      <c r="L1" s="183" t="s">
        <v>806</v>
      </c>
      <c r="M1" s="183" t="s">
        <v>2432</v>
      </c>
      <c r="N1" s="183" t="s">
        <v>2433</v>
      </c>
    </row>
    <row r="2" spans="1:14" x14ac:dyDescent="0.25">
      <c r="A2" t="s">
        <v>0</v>
      </c>
      <c r="B2" t="s">
        <v>2434</v>
      </c>
      <c r="C2" s="184"/>
      <c r="D2" s="113" t="s">
        <v>188</v>
      </c>
      <c r="E2" s="113" t="s">
        <v>189</v>
      </c>
      <c r="F2" s="113" t="s">
        <v>190</v>
      </c>
      <c r="G2" s="184"/>
      <c r="H2" s="184"/>
      <c r="I2" s="184"/>
      <c r="J2" s="184"/>
      <c r="K2" s="184"/>
      <c r="L2" s="184"/>
      <c r="M2" s="184"/>
      <c r="N2" s="184"/>
    </row>
    <row r="3" spans="1:14" x14ac:dyDescent="0.25">
      <c r="C3" s="105"/>
      <c r="D3" s="106"/>
      <c r="E3" s="106"/>
      <c r="F3" s="106"/>
      <c r="G3" s="111"/>
      <c r="H3" s="105"/>
      <c r="I3" s="105"/>
      <c r="J3" s="105"/>
      <c r="L3" s="105"/>
      <c r="N3" s="106"/>
    </row>
    <row r="4" spans="1:14" x14ac:dyDescent="0.25">
      <c r="C4" s="105"/>
      <c r="D4" s="106"/>
      <c r="E4" s="106"/>
      <c r="F4" s="106"/>
      <c r="G4" s="111"/>
      <c r="H4" s="105"/>
      <c r="I4" s="109" t="s">
        <v>193</v>
      </c>
      <c r="J4" s="110" t="s">
        <v>200</v>
      </c>
      <c r="L4" s="105"/>
      <c r="N4" s="106"/>
    </row>
    <row r="5" spans="1:14" x14ac:dyDescent="0.25">
      <c r="C5" s="105"/>
      <c r="D5" s="106"/>
      <c r="E5" s="106"/>
      <c r="F5" s="106"/>
      <c r="G5" s="111"/>
      <c r="H5" s="105"/>
      <c r="I5" s="61" t="s">
        <v>194</v>
      </c>
      <c r="J5" s="110" t="s">
        <v>195</v>
      </c>
      <c r="L5" s="105"/>
      <c r="N5" s="106"/>
    </row>
    <row r="6" spans="1:14" x14ac:dyDescent="0.25">
      <c r="G6" s="112"/>
      <c r="I6" s="108" t="s">
        <v>196</v>
      </c>
      <c r="J6" s="110" t="s">
        <v>197</v>
      </c>
      <c r="L6" s="105"/>
    </row>
    <row r="7" spans="1:14" x14ac:dyDescent="0.25">
      <c r="G7" s="112"/>
      <c r="I7" s="107" t="s">
        <v>198</v>
      </c>
      <c r="J7" s="110" t="s">
        <v>199</v>
      </c>
      <c r="L7" s="105"/>
    </row>
    <row r="8" spans="1:14" x14ac:dyDescent="0.25">
      <c r="G8" s="112"/>
    </row>
    <row r="9" spans="1:14" x14ac:dyDescent="0.25">
      <c r="G9" s="112"/>
    </row>
    <row r="10" spans="1:14" x14ac:dyDescent="0.25">
      <c r="G10" s="112"/>
    </row>
    <row r="11" spans="1:14" x14ac:dyDescent="0.25">
      <c r="G11" s="112"/>
    </row>
    <row r="12" spans="1:14" x14ac:dyDescent="0.25">
      <c r="G12" s="112"/>
    </row>
    <row r="13" spans="1:14" x14ac:dyDescent="0.25">
      <c r="G13" s="112"/>
    </row>
    <row r="14" spans="1:14" x14ac:dyDescent="0.25">
      <c r="G14" s="112"/>
    </row>
    <row r="15" spans="1:14" x14ac:dyDescent="0.25">
      <c r="G15" s="112"/>
    </row>
    <row r="16" spans="1:14" x14ac:dyDescent="0.25">
      <c r="G16" s="112"/>
    </row>
    <row r="17" spans="7:7" x14ac:dyDescent="0.25">
      <c r="G17" s="112"/>
    </row>
    <row r="18" spans="7:7" x14ac:dyDescent="0.25">
      <c r="G18" s="112"/>
    </row>
    <row r="19" spans="7:7" x14ac:dyDescent="0.25">
      <c r="G19" s="112"/>
    </row>
    <row r="20" spans="7:7" x14ac:dyDescent="0.25">
      <c r="G20" s="112"/>
    </row>
    <row r="21" spans="7:7" x14ac:dyDescent="0.25">
      <c r="G21" s="112"/>
    </row>
    <row r="22" spans="7:7" x14ac:dyDescent="0.25">
      <c r="G22" s="112"/>
    </row>
    <row r="23" spans="7:7" x14ac:dyDescent="0.25">
      <c r="G23" s="112"/>
    </row>
    <row r="24" spans="7:7" x14ac:dyDescent="0.25">
      <c r="G24" s="112"/>
    </row>
    <row r="25" spans="7:7" x14ac:dyDescent="0.25">
      <c r="G25" s="112"/>
    </row>
    <row r="26" spans="7:7" x14ac:dyDescent="0.25">
      <c r="G26" s="112"/>
    </row>
    <row r="27" spans="7:7" x14ac:dyDescent="0.25">
      <c r="G27" s="112"/>
    </row>
    <row r="28" spans="7:7" x14ac:dyDescent="0.25">
      <c r="G28" s="112"/>
    </row>
    <row r="29" spans="7:7" x14ac:dyDescent="0.25">
      <c r="G29" s="112"/>
    </row>
    <row r="30" spans="7:7" x14ac:dyDescent="0.25">
      <c r="G30" s="112"/>
    </row>
    <row r="31" spans="7:7" x14ac:dyDescent="0.25">
      <c r="G31" s="112"/>
    </row>
    <row r="32" spans="7:7" x14ac:dyDescent="0.25">
      <c r="G32" s="112"/>
    </row>
    <row r="51" spans="3:3" x14ac:dyDescent="0.25">
      <c r="C51" s="87"/>
    </row>
    <row r="52" spans="3:3" x14ac:dyDescent="0.25">
      <c r="C52" s="87"/>
    </row>
    <row r="53" spans="3:3" x14ac:dyDescent="0.25">
      <c r="C53" s="87"/>
    </row>
    <row r="54" spans="3:3" x14ac:dyDescent="0.25">
      <c r="C54" s="87"/>
    </row>
    <row r="55" spans="3:3" x14ac:dyDescent="0.25">
      <c r="C55" s="87"/>
    </row>
    <row r="56" spans="3:3" x14ac:dyDescent="0.25">
      <c r="C56" s="87"/>
    </row>
    <row r="57" spans="3:3" x14ac:dyDescent="0.25">
      <c r="C57" s="87"/>
    </row>
    <row r="58" spans="3:3" x14ac:dyDescent="0.25">
      <c r="C58" s="87"/>
    </row>
    <row r="59" spans="3:3" x14ac:dyDescent="0.25">
      <c r="C59" s="87"/>
    </row>
    <row r="60" spans="3:3" x14ac:dyDescent="0.25">
      <c r="C60" s="87"/>
    </row>
    <row r="61" spans="3:3" x14ac:dyDescent="0.25">
      <c r="C61" s="87"/>
    </row>
    <row r="62" spans="3:3" x14ac:dyDescent="0.25">
      <c r="C62" s="87"/>
    </row>
    <row r="63" spans="3:3" x14ac:dyDescent="0.25">
      <c r="C63" s="87"/>
    </row>
    <row r="64" spans="3:3" x14ac:dyDescent="0.25">
      <c r="C64" s="87"/>
    </row>
    <row r="65" spans="3:3" x14ac:dyDescent="0.25">
      <c r="C65" s="87"/>
    </row>
    <row r="66" spans="3:3" x14ac:dyDescent="0.25">
      <c r="C66" s="87"/>
    </row>
    <row r="67" spans="3:3" x14ac:dyDescent="0.25">
      <c r="C67" s="87"/>
    </row>
    <row r="68" spans="3:3" x14ac:dyDescent="0.25">
      <c r="C68" s="87"/>
    </row>
    <row r="69" spans="3:3" x14ac:dyDescent="0.25">
      <c r="C69" s="87"/>
    </row>
    <row r="70" spans="3:3" x14ac:dyDescent="0.25">
      <c r="C70" s="87"/>
    </row>
    <row r="71" spans="3:3" x14ac:dyDescent="0.25">
      <c r="C71" s="87"/>
    </row>
    <row r="72" spans="3:3" x14ac:dyDescent="0.25">
      <c r="C72" s="87"/>
    </row>
    <row r="73" spans="3:3" x14ac:dyDescent="0.25">
      <c r="C73" s="87"/>
    </row>
    <row r="74" spans="3:3" x14ac:dyDescent="0.25">
      <c r="C74" s="87"/>
    </row>
    <row r="75" spans="3:3" x14ac:dyDescent="0.25">
      <c r="C75" s="87"/>
    </row>
    <row r="76" spans="3:3" x14ac:dyDescent="0.25">
      <c r="C76" s="87"/>
    </row>
    <row r="77" spans="3:3" x14ac:dyDescent="0.25">
      <c r="C77" s="87"/>
    </row>
    <row r="78" spans="3:3" x14ac:dyDescent="0.25">
      <c r="C78" s="87"/>
    </row>
    <row r="79" spans="3:3" x14ac:dyDescent="0.25">
      <c r="C79" s="87"/>
    </row>
    <row r="80" spans="3:3" x14ac:dyDescent="0.25">
      <c r="C80" s="87"/>
    </row>
    <row r="81" spans="3:3" x14ac:dyDescent="0.25">
      <c r="C81" s="87"/>
    </row>
    <row r="82" spans="3:3" x14ac:dyDescent="0.25">
      <c r="C82" s="87"/>
    </row>
    <row r="83" spans="3:3" x14ac:dyDescent="0.25">
      <c r="C83" s="87"/>
    </row>
    <row r="84" spans="3:3" x14ac:dyDescent="0.25">
      <c r="C84" s="87"/>
    </row>
    <row r="85" spans="3:3" x14ac:dyDescent="0.25">
      <c r="C85" s="87"/>
    </row>
    <row r="86" spans="3:3" x14ac:dyDescent="0.25">
      <c r="C86" s="87"/>
    </row>
    <row r="87" spans="3:3" x14ac:dyDescent="0.25">
      <c r="C87" s="87"/>
    </row>
    <row r="88" spans="3:3" x14ac:dyDescent="0.25">
      <c r="C88" s="87"/>
    </row>
    <row r="89" spans="3:3" x14ac:dyDescent="0.25">
      <c r="C89" s="87"/>
    </row>
    <row r="90" spans="3:3" x14ac:dyDescent="0.25">
      <c r="C90" s="87"/>
    </row>
    <row r="91" spans="3:3" x14ac:dyDescent="0.25">
      <c r="C91" s="87"/>
    </row>
  </sheetData>
  <sortState xmlns:xlrd2="http://schemas.microsoft.com/office/spreadsheetml/2017/richdata2" ref="A51:B113">
    <sortCondition ref="A51:A113"/>
  </sortState>
  <mergeCells count="10">
    <mergeCell ref="D1:F1"/>
    <mergeCell ref="C1:C2"/>
    <mergeCell ref="G1:G2"/>
    <mergeCell ref="H1:H2"/>
    <mergeCell ref="M1:M2"/>
    <mergeCell ref="N1:N2"/>
    <mergeCell ref="L1:L2"/>
    <mergeCell ref="I1:I2"/>
    <mergeCell ref="J1:J2"/>
    <mergeCell ref="K1:K2"/>
  </mergeCells>
  <conditionalFormatting sqref="N1:N1048576">
    <cfRule type="containsBlanks" dxfId="54" priority="1">
      <formula>LEN(TRIM(N1))=0</formula>
    </cfRule>
    <cfRule type="cellIs" dxfId="53" priority="2" operator="lessThan">
      <formula>1</formula>
    </cfRule>
    <cfRule type="cellIs" dxfId="52" priority="3" operator="between">
      <formula>5</formula>
      <formula>25</formula>
    </cfRule>
    <cfRule type="cellIs" dxfId="51" priority="4" operator="between">
      <formula>1</formula>
      <formula>5</formula>
    </cfRule>
    <cfRule type="cellIs" dxfId="50" priority="5" operator="greaterThan">
      <formula>25</formula>
    </cfRule>
  </conditionalFormatting>
  <conditionalFormatting sqref="K1:K1048576">
    <cfRule type="containsBlanks" dxfId="49" priority="8">
      <formula>LEN(TRIM(K1))=0</formula>
    </cfRule>
    <cfRule type="cellIs" dxfId="48" priority="10" operator="lessThan">
      <formula>1</formula>
    </cfRule>
    <cfRule type="cellIs" dxfId="47" priority="11" operator="greaterThan">
      <formula>10</formula>
    </cfRule>
    <cfRule type="cellIs" dxfId="46" priority="13" operator="between">
      <formula>1</formula>
      <formula>5</formula>
    </cfRule>
    <cfRule type="cellIs" dxfId="45" priority="16" operator="between">
      <formula>6</formula>
      <formula>10</formula>
    </cfRule>
  </conditionalFormatting>
  <conditionalFormatting sqref="A3:A113">
    <cfRule type="duplicateValues" dxfId="44" priority="20143"/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A53EC-03FD-4D65-9068-F0D4E2CF6243}">
  <sheetPr codeName="Sheet13"/>
  <dimension ref="A1:AI7"/>
  <sheetViews>
    <sheetView zoomScale="85" zoomScaleNormal="85" workbookViewId="0">
      <selection activeCell="Q16" sqref="Q16"/>
    </sheetView>
  </sheetViews>
  <sheetFormatPr baseColWidth="10" defaultColWidth="9.140625" defaultRowHeight="15" x14ac:dyDescent="0.25"/>
  <cols>
    <col min="1" max="1" width="5" style="9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76" customWidth="1"/>
    <col min="7" max="9" width="6.5703125" style="1" customWidth="1"/>
    <col min="10" max="10" width="6.5703125" style="76" customWidth="1"/>
    <col min="11" max="13" width="6.5703125" style="1" customWidth="1"/>
    <col min="14" max="14" width="6.5703125" style="76" customWidth="1"/>
    <col min="15" max="17" width="6.5703125" style="1" customWidth="1"/>
    <col min="18" max="18" width="6.5703125" style="76" customWidth="1"/>
    <col min="19" max="21" width="6.5703125" style="1" customWidth="1"/>
    <col min="22" max="22" width="6.5703125" style="76" customWidth="1"/>
    <col min="23" max="24" width="6.5703125" style="1" customWidth="1"/>
    <col min="25" max="25" width="6.5703125" customWidth="1"/>
    <col min="26" max="26" width="6.5703125" style="61" customWidth="1"/>
    <col min="27" max="29" width="6.5703125" customWidth="1"/>
    <col min="30" max="30" width="6.5703125" style="61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A1" s="139"/>
      <c r="B1" s="192"/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  <c r="P1" s="192"/>
      <c r="Q1" s="192"/>
      <c r="R1" s="192"/>
      <c r="S1" s="192"/>
      <c r="T1" s="192"/>
      <c r="U1" s="192"/>
      <c r="V1" s="192"/>
      <c r="W1" s="192"/>
      <c r="X1" s="192"/>
      <c r="Y1" s="192"/>
      <c r="Z1" s="192"/>
      <c r="AA1" s="192"/>
      <c r="AB1" s="192"/>
      <c r="AC1" s="192"/>
      <c r="AD1" s="192"/>
      <c r="AE1" s="192"/>
      <c r="AF1" s="192"/>
    </row>
    <row r="2" spans="1:35" ht="15.75" thickBot="1" x14ac:dyDescent="0.3">
      <c r="A2" s="140"/>
      <c r="B2" s="139" t="s">
        <v>149</v>
      </c>
      <c r="C2" s="193" t="s">
        <v>123</v>
      </c>
      <c r="D2" s="195" t="s">
        <v>1038</v>
      </c>
      <c r="E2" s="196"/>
      <c r="F2" s="196"/>
      <c r="G2" s="197"/>
      <c r="H2" s="186" t="s">
        <v>1039</v>
      </c>
      <c r="I2" s="187"/>
      <c r="J2" s="187"/>
      <c r="K2" s="188"/>
      <c r="L2" s="186" t="s">
        <v>1040</v>
      </c>
      <c r="M2" s="187"/>
      <c r="N2" s="187"/>
      <c r="O2" s="188"/>
      <c r="P2" s="186" t="s">
        <v>1041</v>
      </c>
      <c r="Q2" s="187"/>
      <c r="R2" s="187"/>
      <c r="S2" s="188"/>
      <c r="T2" s="186" t="s">
        <v>1042</v>
      </c>
      <c r="U2" s="187"/>
      <c r="V2" s="187"/>
      <c r="W2" s="188"/>
      <c r="X2" s="186" t="s">
        <v>1043</v>
      </c>
      <c r="Y2" s="187"/>
      <c r="Z2" s="187"/>
      <c r="AA2" s="188"/>
      <c r="AB2" s="189" t="s">
        <v>1044</v>
      </c>
      <c r="AC2" s="187"/>
      <c r="AD2" s="187"/>
      <c r="AE2" s="188"/>
      <c r="AF2" s="190" t="s">
        <v>12</v>
      </c>
      <c r="AH2" t="s">
        <v>151</v>
      </c>
      <c r="AI2">
        <v>2024</v>
      </c>
    </row>
    <row r="3" spans="1:35" ht="18.75" customHeight="1" thickBot="1" x14ac:dyDescent="0.3">
      <c r="A3" s="141"/>
      <c r="B3" s="139"/>
      <c r="C3" s="194"/>
      <c r="D3" s="142" t="s">
        <v>124</v>
      </c>
      <c r="E3" s="143" t="s">
        <v>125</v>
      </c>
      <c r="F3" s="165" t="s">
        <v>126</v>
      </c>
      <c r="G3" s="144" t="s">
        <v>127</v>
      </c>
      <c r="H3" s="145" t="s">
        <v>124</v>
      </c>
      <c r="I3" s="146" t="s">
        <v>125</v>
      </c>
      <c r="J3" s="162" t="s">
        <v>126</v>
      </c>
      <c r="K3" s="147" t="s">
        <v>127</v>
      </c>
      <c r="L3" s="145" t="s">
        <v>124</v>
      </c>
      <c r="M3" s="146" t="s">
        <v>125</v>
      </c>
      <c r="N3" s="162" t="s">
        <v>126</v>
      </c>
      <c r="O3" s="147" t="s">
        <v>127</v>
      </c>
      <c r="P3" s="145" t="s">
        <v>124</v>
      </c>
      <c r="Q3" s="146" t="s">
        <v>125</v>
      </c>
      <c r="R3" s="162" t="s">
        <v>126</v>
      </c>
      <c r="S3" s="147" t="s">
        <v>127</v>
      </c>
      <c r="T3" s="145" t="s">
        <v>124</v>
      </c>
      <c r="U3" s="146" t="s">
        <v>125</v>
      </c>
      <c r="V3" s="162" t="s">
        <v>126</v>
      </c>
      <c r="W3" s="147" t="s">
        <v>127</v>
      </c>
      <c r="X3" s="145" t="s">
        <v>124</v>
      </c>
      <c r="Y3" s="146" t="s">
        <v>125</v>
      </c>
      <c r="Z3" s="160" t="s">
        <v>126</v>
      </c>
      <c r="AA3" s="147" t="s">
        <v>127</v>
      </c>
      <c r="AB3" s="145" t="s">
        <v>124</v>
      </c>
      <c r="AC3" s="146" t="s">
        <v>125</v>
      </c>
      <c r="AD3" s="160" t="s">
        <v>126</v>
      </c>
      <c r="AE3" s="147" t="s">
        <v>127</v>
      </c>
      <c r="AF3" s="191"/>
    </row>
    <row r="4" spans="1:35" ht="15.75" thickBot="1" x14ac:dyDescent="0.3">
      <c r="A4" s="104">
        <v>1</v>
      </c>
      <c r="B4" s="92"/>
      <c r="C4" s="15"/>
      <c r="D4" s="93"/>
      <c r="E4" s="94"/>
      <c r="F4" s="163"/>
      <c r="G4" s="95"/>
      <c r="H4" s="93"/>
      <c r="I4" s="94"/>
      <c r="J4" s="163"/>
      <c r="K4" s="95"/>
      <c r="L4" s="93"/>
      <c r="M4" s="94"/>
      <c r="N4" s="164"/>
      <c r="O4" s="95"/>
      <c r="P4" s="93"/>
      <c r="Q4" s="94"/>
      <c r="R4" s="163"/>
      <c r="S4" s="95"/>
      <c r="T4" s="93"/>
      <c r="U4" s="94"/>
      <c r="V4" s="163"/>
      <c r="W4" s="95"/>
      <c r="X4" s="93"/>
      <c r="Y4" s="94"/>
      <c r="Z4" s="161"/>
      <c r="AA4" s="95"/>
      <c r="AB4" s="93"/>
      <c r="AC4" s="94"/>
      <c r="AD4" s="161"/>
      <c r="AE4" s="95"/>
      <c r="AF4" s="96">
        <f>F4+J4+N4+R4+V4+Z4+AD4</f>
        <v>0</v>
      </c>
      <c r="AG4">
        <f>SUM(AF4:AF7)</f>
        <v>0</v>
      </c>
    </row>
    <row r="5" spans="1:35" x14ac:dyDescent="0.25">
      <c r="A5" s="10"/>
      <c r="B5" s="19"/>
      <c r="C5" s="90"/>
      <c r="D5" s="63"/>
      <c r="E5" s="64"/>
      <c r="F5" s="75"/>
      <c r="G5" s="77"/>
      <c r="H5" s="63"/>
      <c r="I5" s="64"/>
      <c r="J5" s="75"/>
      <c r="K5" s="77"/>
      <c r="L5" s="63"/>
      <c r="M5" s="64"/>
      <c r="N5" s="75"/>
      <c r="O5" s="77"/>
      <c r="P5" s="63"/>
      <c r="Q5" s="64"/>
      <c r="R5" s="75"/>
      <c r="S5" s="77"/>
      <c r="T5" s="63"/>
      <c r="U5" s="64"/>
      <c r="V5" s="75"/>
      <c r="W5" s="77"/>
      <c r="X5" s="63"/>
      <c r="Y5" s="64"/>
      <c r="Z5" s="60"/>
      <c r="AA5" s="77"/>
      <c r="AB5" s="63"/>
      <c r="AC5" s="64"/>
      <c r="AD5" s="60"/>
      <c r="AE5" s="62"/>
      <c r="AF5" s="91">
        <f>F5+J5+N5+R5+V5+Z5+AD5</f>
        <v>0</v>
      </c>
    </row>
    <row r="6" spans="1:35" x14ac:dyDescent="0.25">
      <c r="A6" s="10"/>
      <c r="B6" s="9"/>
      <c r="C6" s="16"/>
      <c r="D6" s="11"/>
      <c r="E6" s="12"/>
      <c r="F6" s="74"/>
      <c r="G6" s="13"/>
      <c r="H6" s="11"/>
      <c r="I6" s="12"/>
      <c r="J6" s="74"/>
      <c r="K6" s="13"/>
      <c r="L6" s="11"/>
      <c r="M6" s="12"/>
      <c r="N6" s="74"/>
      <c r="O6" s="13"/>
      <c r="P6" s="11"/>
      <c r="Q6" s="12"/>
      <c r="R6" s="74"/>
      <c r="S6" s="13"/>
      <c r="T6" s="11"/>
      <c r="U6" s="12"/>
      <c r="V6" s="74"/>
      <c r="W6" s="13"/>
      <c r="X6" s="11"/>
      <c r="Y6" s="12"/>
      <c r="Z6" s="59"/>
      <c r="AA6" s="13"/>
      <c r="AB6" s="11"/>
      <c r="AC6" s="12"/>
      <c r="AD6" s="59"/>
      <c r="AE6" s="17"/>
      <c r="AF6" s="91">
        <f t="shared" ref="AF6:AF7" si="0">F6+J6+N6+R6+V6+Z6+AD6</f>
        <v>0</v>
      </c>
    </row>
    <row r="7" spans="1:35" ht="15.75" thickBot="1" x14ac:dyDescent="0.3">
      <c r="A7" s="14"/>
      <c r="B7" s="20"/>
      <c r="C7" s="18"/>
      <c r="D7" s="99"/>
      <c r="E7" s="97"/>
      <c r="F7" s="100"/>
      <c r="G7" s="101"/>
      <c r="H7" s="99"/>
      <c r="I7" s="97"/>
      <c r="J7" s="100"/>
      <c r="K7" s="101"/>
      <c r="L7" s="99"/>
      <c r="M7" s="97"/>
      <c r="N7" s="100"/>
      <c r="O7" s="101"/>
      <c r="P7" s="99"/>
      <c r="Q7" s="97"/>
      <c r="R7" s="100"/>
      <c r="S7" s="101"/>
      <c r="T7" s="99"/>
      <c r="U7" s="97"/>
      <c r="V7" s="100"/>
      <c r="W7" s="101"/>
      <c r="X7" s="99"/>
      <c r="Y7" s="97"/>
      <c r="Z7" s="102"/>
      <c r="AA7" s="101"/>
      <c r="AB7" s="99"/>
      <c r="AC7" s="97"/>
      <c r="AD7" s="102"/>
      <c r="AE7" s="98"/>
      <c r="AF7" s="103">
        <f t="shared" si="0"/>
        <v>0</v>
      </c>
    </row>
  </sheetData>
  <mergeCells count="10">
    <mergeCell ref="X2:AA2"/>
    <mergeCell ref="AB2:AE2"/>
    <mergeCell ref="AF2:AF3"/>
    <mergeCell ref="B1:AF1"/>
    <mergeCell ref="C2:C3"/>
    <mergeCell ref="D2:G2"/>
    <mergeCell ref="H2:K2"/>
    <mergeCell ref="L2:O2"/>
    <mergeCell ref="P2:S2"/>
    <mergeCell ref="T2:W2"/>
  </mergeCells>
  <conditionalFormatting sqref="B4:B7">
    <cfRule type="duplicateValues" dxfId="43" priority="20094"/>
  </conditionalFormatting>
  <conditionalFormatting sqref="B4:B7">
    <cfRule type="duplicateValues" dxfId="42" priority="20095"/>
    <cfRule type="duplicateValues" dxfId="41" priority="20096"/>
    <cfRule type="duplicateValues" dxfId="40" priority="20097"/>
  </conditionalFormatting>
  <conditionalFormatting sqref="B4:B19888">
    <cfRule type="duplicateValues" dxfId="39" priority="20099"/>
    <cfRule type="duplicateValues" dxfId="38" priority="20100"/>
  </conditionalFormatting>
  <conditionalFormatting sqref="B4:B19887">
    <cfRule type="duplicateValues" dxfId="37" priority="20103"/>
  </conditionalFormatting>
  <conditionalFormatting sqref="B4:B19886">
    <cfRule type="duplicateValues" dxfId="36" priority="20105"/>
  </conditionalFormatting>
  <conditionalFormatting sqref="B4:B19677">
    <cfRule type="duplicateValues" dxfId="35" priority="20108"/>
  </conditionalFormatting>
  <conditionalFormatting sqref="B4:B19674">
    <cfRule type="duplicateValues" dxfId="34" priority="20110"/>
  </conditionalFormatting>
  <conditionalFormatting sqref="B4:B19676">
    <cfRule type="duplicateValues" dxfId="33" priority="20112"/>
  </conditionalFormatting>
  <conditionalFormatting sqref="B4:B19673">
    <cfRule type="duplicateValues" dxfId="32" priority="20114"/>
  </conditionalFormatting>
  <conditionalFormatting sqref="B4:B19559">
    <cfRule type="duplicateValues" dxfId="31" priority="20116"/>
    <cfRule type="duplicateValues" dxfId="30" priority="20117"/>
    <cfRule type="duplicateValues" dxfId="29" priority="20118"/>
    <cfRule type="duplicateValues" dxfId="28" priority="20119"/>
    <cfRule type="duplicateValues" dxfId="27" priority="20120"/>
    <cfRule type="duplicateValues" dxfId="26" priority="20121"/>
    <cfRule type="duplicateValues" dxfId="25" priority="20122"/>
    <cfRule type="duplicateValues" dxfId="24" priority="20123"/>
    <cfRule type="duplicateValues" dxfId="23" priority="20124"/>
    <cfRule type="duplicateValues" dxfId="22" priority="20125"/>
    <cfRule type="duplicateValues" dxfId="21" priority="20126"/>
    <cfRule type="duplicateValues" dxfId="20" priority="20127"/>
    <cfRule type="duplicateValues" dxfId="19" priority="20128"/>
  </conditionalFormatting>
  <conditionalFormatting sqref="B4:B19559">
    <cfRule type="duplicateValues" dxfId="18" priority="20142"/>
  </conditionalFormatting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C6FA-4D77-4695-B211-A25892C4AA6A}">
  <sheetPr codeName="Sheet7"/>
  <dimension ref="A1:AA1489"/>
  <sheetViews>
    <sheetView workbookViewId="0">
      <selection activeCell="Z2" sqref="Z2"/>
    </sheetView>
  </sheetViews>
  <sheetFormatPr baseColWidth="10" defaultColWidth="9.140625" defaultRowHeight="15" x14ac:dyDescent="0.25"/>
  <cols>
    <col min="1" max="1" width="17.85546875" bestFit="1" customWidth="1"/>
    <col min="2" max="2" width="19.5703125" bestFit="1" customWidth="1"/>
    <col min="3" max="3" width="27" bestFit="1" customWidth="1"/>
    <col min="4" max="4" width="20.28515625" bestFit="1" customWidth="1"/>
    <col min="5" max="5" width="15.42578125" bestFit="1" customWidth="1"/>
    <col min="6" max="6" width="12" bestFit="1" customWidth="1"/>
    <col min="7" max="7" width="81.140625" bestFit="1" customWidth="1"/>
    <col min="8" max="8" width="10.7109375" bestFit="1" customWidth="1"/>
  </cols>
  <sheetData>
    <row r="1" spans="1:27" x14ac:dyDescent="0.25">
      <c r="A1" t="s">
        <v>794</v>
      </c>
      <c r="B1" t="s">
        <v>795</v>
      </c>
      <c r="C1" t="s">
        <v>796</v>
      </c>
      <c r="D1" t="s">
        <v>797</v>
      </c>
      <c r="E1" t="s">
        <v>798</v>
      </c>
      <c r="F1" t="s">
        <v>126</v>
      </c>
      <c r="G1" t="s">
        <v>799</v>
      </c>
      <c r="Z1" t="s">
        <v>1064</v>
      </c>
      <c r="AA1" t="s">
        <v>1064</v>
      </c>
    </row>
    <row r="2" spans="1:27" x14ac:dyDescent="0.25">
      <c r="A2">
        <v>6</v>
      </c>
      <c r="B2" t="s">
        <v>378</v>
      </c>
      <c r="C2" t="s">
        <v>379</v>
      </c>
      <c r="D2" t="s">
        <v>272</v>
      </c>
      <c r="E2" t="s">
        <v>1098</v>
      </c>
      <c r="F2">
        <v>0</v>
      </c>
    </row>
    <row r="3" spans="1:27" x14ac:dyDescent="0.25">
      <c r="E3" t="s">
        <v>1099</v>
      </c>
      <c r="F3">
        <v>0</v>
      </c>
    </row>
    <row r="4" spans="1:27" x14ac:dyDescent="0.25">
      <c r="E4" t="s">
        <v>1100</v>
      </c>
      <c r="F4">
        <v>0</v>
      </c>
    </row>
    <row r="5" spans="1:27" x14ac:dyDescent="0.25">
      <c r="E5" t="s">
        <v>1101</v>
      </c>
      <c r="F5">
        <v>0</v>
      </c>
    </row>
    <row r="6" spans="1:27" x14ac:dyDescent="0.25">
      <c r="E6" t="s">
        <v>1102</v>
      </c>
      <c r="F6">
        <v>0.29374999999999996</v>
      </c>
      <c r="G6" t="s">
        <v>1103</v>
      </c>
    </row>
    <row r="7" spans="1:27" x14ac:dyDescent="0.25">
      <c r="E7" t="s">
        <v>1104</v>
      </c>
      <c r="F7">
        <v>0.30624999999999991</v>
      </c>
      <c r="G7" t="s">
        <v>1105</v>
      </c>
    </row>
    <row r="8" spans="1:27" x14ac:dyDescent="0.25">
      <c r="E8" t="s">
        <v>1106</v>
      </c>
      <c r="F8">
        <v>0.20625000000000004</v>
      </c>
      <c r="G8" t="s">
        <v>1107</v>
      </c>
    </row>
    <row r="9" spans="1:27" x14ac:dyDescent="0.25">
      <c r="E9" t="s">
        <v>1108</v>
      </c>
      <c r="F9">
        <v>0</v>
      </c>
    </row>
    <row r="10" spans="1:27" x14ac:dyDescent="0.25">
      <c r="E10" t="s">
        <v>1109</v>
      </c>
      <c r="F10">
        <v>0.29166666666666674</v>
      </c>
      <c r="G10" t="s">
        <v>1110</v>
      </c>
    </row>
    <row r="11" spans="1:27" x14ac:dyDescent="0.25">
      <c r="E11" t="s">
        <v>1111</v>
      </c>
      <c r="F11">
        <v>0.2895833333333333</v>
      </c>
      <c r="G11" t="s">
        <v>1112</v>
      </c>
    </row>
    <row r="12" spans="1:27" x14ac:dyDescent="0.25">
      <c r="E12" t="s">
        <v>1113</v>
      </c>
      <c r="F12">
        <v>0.29166666666666674</v>
      </c>
      <c r="G12" t="s">
        <v>1114</v>
      </c>
    </row>
    <row r="13" spans="1:27" x14ac:dyDescent="0.25">
      <c r="E13" t="s">
        <v>1115</v>
      </c>
      <c r="F13">
        <v>0.29097222222222219</v>
      </c>
      <c r="G13" t="s">
        <v>1116</v>
      </c>
    </row>
    <row r="14" spans="1:27" x14ac:dyDescent="0.25">
      <c r="E14" t="s">
        <v>1117</v>
      </c>
      <c r="F14">
        <v>0.33402777777777781</v>
      </c>
      <c r="G14" t="s">
        <v>1118</v>
      </c>
    </row>
    <row r="15" spans="1:27" x14ac:dyDescent="0.25">
      <c r="E15" t="s">
        <v>1119</v>
      </c>
      <c r="F15">
        <v>0.21111111111111103</v>
      </c>
      <c r="G15" t="s">
        <v>1120</v>
      </c>
    </row>
    <row r="16" spans="1:27" x14ac:dyDescent="0.25">
      <c r="E16" t="s">
        <v>1121</v>
      </c>
      <c r="F16">
        <v>0</v>
      </c>
    </row>
    <row r="17" spans="5:7" x14ac:dyDescent="0.25">
      <c r="E17" t="s">
        <v>1122</v>
      </c>
      <c r="F17">
        <v>0.29930555555555549</v>
      </c>
      <c r="G17" t="s">
        <v>1123</v>
      </c>
    </row>
    <row r="18" spans="5:7" x14ac:dyDescent="0.25">
      <c r="E18" t="s">
        <v>1124</v>
      </c>
      <c r="F18">
        <v>0.29444444444444451</v>
      </c>
      <c r="G18" t="s">
        <v>1125</v>
      </c>
    </row>
    <row r="19" spans="5:7" x14ac:dyDescent="0.25">
      <c r="E19" t="s">
        <v>1126</v>
      </c>
      <c r="F19">
        <v>0.29374999999999996</v>
      </c>
      <c r="G19" t="s">
        <v>1127</v>
      </c>
    </row>
    <row r="20" spans="5:7" x14ac:dyDescent="0.25">
      <c r="E20" t="s">
        <v>1128</v>
      </c>
      <c r="F20">
        <v>0.29583333333333339</v>
      </c>
      <c r="G20" t="s">
        <v>1129</v>
      </c>
    </row>
    <row r="21" spans="5:7" x14ac:dyDescent="0.25">
      <c r="E21" t="s">
        <v>1130</v>
      </c>
      <c r="F21">
        <v>0.29166666666666674</v>
      </c>
      <c r="G21" t="s">
        <v>1131</v>
      </c>
    </row>
    <row r="22" spans="5:7" x14ac:dyDescent="0.25">
      <c r="E22" t="s">
        <v>1132</v>
      </c>
      <c r="F22">
        <v>0.20902777777777781</v>
      </c>
      <c r="G22" t="s">
        <v>1133</v>
      </c>
    </row>
    <row r="23" spans="5:7" x14ac:dyDescent="0.25">
      <c r="E23" t="s">
        <v>1134</v>
      </c>
      <c r="F23">
        <v>0</v>
      </c>
    </row>
    <row r="24" spans="5:7" x14ac:dyDescent="0.25">
      <c r="E24" t="s">
        <v>1135</v>
      </c>
      <c r="F24">
        <v>0.29652777777777772</v>
      </c>
      <c r="G24" t="s">
        <v>1136</v>
      </c>
    </row>
    <row r="25" spans="5:7" x14ac:dyDescent="0.25">
      <c r="E25" t="s">
        <v>1137</v>
      </c>
      <c r="F25">
        <v>0.3354166666666667</v>
      </c>
      <c r="G25" t="s">
        <v>1138</v>
      </c>
    </row>
    <row r="26" spans="5:7" x14ac:dyDescent="0.25">
      <c r="E26" t="s">
        <v>1139</v>
      </c>
      <c r="F26">
        <v>0.33819444444444446</v>
      </c>
      <c r="G26" t="s">
        <v>1140</v>
      </c>
    </row>
    <row r="27" spans="5:7" x14ac:dyDescent="0.25">
      <c r="E27" t="s">
        <v>1141</v>
      </c>
      <c r="F27">
        <v>0.33749999999999991</v>
      </c>
      <c r="G27" t="s">
        <v>1142</v>
      </c>
    </row>
    <row r="28" spans="5:7" x14ac:dyDescent="0.25">
      <c r="E28" t="s">
        <v>1143</v>
      </c>
      <c r="F28">
        <v>0.33333333333333326</v>
      </c>
      <c r="G28" t="s">
        <v>1144</v>
      </c>
    </row>
    <row r="29" spans="5:7" x14ac:dyDescent="0.25">
      <c r="E29" t="s">
        <v>1145</v>
      </c>
      <c r="F29">
        <v>0</v>
      </c>
    </row>
    <row r="30" spans="5:7" x14ac:dyDescent="0.25">
      <c r="E30" t="s">
        <v>1146</v>
      </c>
      <c r="F30">
        <v>0</v>
      </c>
    </row>
    <row r="31" spans="5:7" x14ac:dyDescent="0.25">
      <c r="E31" t="s">
        <v>1147</v>
      </c>
      <c r="F31">
        <v>0.33402777777777781</v>
      </c>
      <c r="G31" t="s">
        <v>1148</v>
      </c>
    </row>
    <row r="32" spans="5:7" x14ac:dyDescent="0.25">
      <c r="E32" t="s">
        <v>1149</v>
      </c>
      <c r="F32">
        <v>6.1743055555555557</v>
      </c>
      <c r="G32" t="s">
        <v>1150</v>
      </c>
    </row>
    <row r="33" spans="1:7" x14ac:dyDescent="0.25">
      <c r="A33">
        <v>76</v>
      </c>
      <c r="B33" t="s">
        <v>646</v>
      </c>
      <c r="C33" t="s">
        <v>647</v>
      </c>
      <c r="D33" t="s">
        <v>293</v>
      </c>
      <c r="E33" t="s">
        <v>1098</v>
      </c>
      <c r="F33">
        <v>0</v>
      </c>
    </row>
    <row r="34" spans="1:7" x14ac:dyDescent="0.25">
      <c r="E34" t="s">
        <v>1099</v>
      </c>
      <c r="F34">
        <v>0</v>
      </c>
    </row>
    <row r="35" spans="1:7" x14ac:dyDescent="0.25">
      <c r="E35" t="s">
        <v>1100</v>
      </c>
      <c r="F35">
        <v>0.31666666666666665</v>
      </c>
      <c r="G35" t="s">
        <v>1151</v>
      </c>
    </row>
    <row r="36" spans="1:7" x14ac:dyDescent="0.25">
      <c r="E36" t="s">
        <v>1101</v>
      </c>
      <c r="F36">
        <v>0.29305555555555562</v>
      </c>
      <c r="G36" t="s">
        <v>1152</v>
      </c>
    </row>
    <row r="37" spans="1:7" x14ac:dyDescent="0.25">
      <c r="E37" t="s">
        <v>1102</v>
      </c>
      <c r="F37">
        <v>0.29444444444444451</v>
      </c>
      <c r="G37" t="s">
        <v>1153</v>
      </c>
    </row>
    <row r="38" spans="1:7" x14ac:dyDescent="0.25">
      <c r="E38" t="s">
        <v>1104</v>
      </c>
      <c r="F38">
        <v>0.37847222222222232</v>
      </c>
      <c r="G38" t="s">
        <v>1154</v>
      </c>
    </row>
    <row r="39" spans="1:7" x14ac:dyDescent="0.25">
      <c r="E39" t="s">
        <v>1106</v>
      </c>
      <c r="F39">
        <v>0.20486111111111116</v>
      </c>
      <c r="G39" t="s">
        <v>1155</v>
      </c>
    </row>
    <row r="40" spans="1:7" x14ac:dyDescent="0.25">
      <c r="E40" t="s">
        <v>1108</v>
      </c>
      <c r="F40">
        <v>0</v>
      </c>
    </row>
    <row r="41" spans="1:7" x14ac:dyDescent="0.25">
      <c r="E41" t="s">
        <v>1109</v>
      </c>
      <c r="F41">
        <v>0.29444444444444451</v>
      </c>
      <c r="G41" t="s">
        <v>1156</v>
      </c>
    </row>
    <row r="42" spans="1:7" x14ac:dyDescent="0.25">
      <c r="E42" t="s">
        <v>1111</v>
      </c>
      <c r="F42">
        <v>0.29583333333333339</v>
      </c>
      <c r="G42" t="s">
        <v>1157</v>
      </c>
    </row>
    <row r="43" spans="1:7" x14ac:dyDescent="0.25">
      <c r="E43" t="s">
        <v>1113</v>
      </c>
      <c r="F43">
        <v>0.29374999999999996</v>
      </c>
      <c r="G43" t="s">
        <v>1158</v>
      </c>
    </row>
    <row r="44" spans="1:7" x14ac:dyDescent="0.25">
      <c r="E44" t="s">
        <v>1115</v>
      </c>
      <c r="F44">
        <v>0.29305555555555562</v>
      </c>
      <c r="G44" t="s">
        <v>1159</v>
      </c>
    </row>
    <row r="45" spans="1:7" x14ac:dyDescent="0.25">
      <c r="E45" t="s">
        <v>1117</v>
      </c>
      <c r="F45">
        <v>0.33263888888888893</v>
      </c>
      <c r="G45" t="s">
        <v>1160</v>
      </c>
    </row>
    <row r="46" spans="1:7" x14ac:dyDescent="0.25">
      <c r="E46" t="s">
        <v>1119</v>
      </c>
      <c r="F46">
        <v>0.2138888888888888</v>
      </c>
      <c r="G46" t="s">
        <v>1161</v>
      </c>
    </row>
    <row r="47" spans="1:7" x14ac:dyDescent="0.25">
      <c r="E47" t="s">
        <v>1121</v>
      </c>
      <c r="F47">
        <v>0</v>
      </c>
    </row>
    <row r="48" spans="1:7" x14ac:dyDescent="0.25">
      <c r="E48" t="s">
        <v>1122</v>
      </c>
      <c r="F48">
        <v>0.29027777777777786</v>
      </c>
      <c r="G48" t="s">
        <v>1162</v>
      </c>
    </row>
    <row r="49" spans="1:7" x14ac:dyDescent="0.25">
      <c r="E49" t="s">
        <v>1124</v>
      </c>
      <c r="F49">
        <v>0.29166666666666674</v>
      </c>
      <c r="G49" t="s">
        <v>1163</v>
      </c>
    </row>
    <row r="50" spans="1:7" x14ac:dyDescent="0.25">
      <c r="E50" t="s">
        <v>1126</v>
      </c>
      <c r="F50">
        <v>0.2895833333333333</v>
      </c>
      <c r="G50" t="s">
        <v>1164</v>
      </c>
    </row>
    <row r="51" spans="1:7" x14ac:dyDescent="0.25">
      <c r="E51" t="s">
        <v>1128</v>
      </c>
      <c r="F51">
        <v>0.29861111111111116</v>
      </c>
      <c r="G51" t="s">
        <v>1165</v>
      </c>
    </row>
    <row r="52" spans="1:7" x14ac:dyDescent="0.25">
      <c r="E52" t="s">
        <v>1130</v>
      </c>
      <c r="F52">
        <v>0.29791666666666661</v>
      </c>
      <c r="G52" t="s">
        <v>1166</v>
      </c>
    </row>
    <row r="53" spans="1:7" x14ac:dyDescent="0.25">
      <c r="E53" t="s">
        <v>1132</v>
      </c>
      <c r="F53">
        <v>0.20972222222222214</v>
      </c>
      <c r="G53" t="s">
        <v>1167</v>
      </c>
    </row>
    <row r="54" spans="1:7" x14ac:dyDescent="0.25">
      <c r="E54" t="s">
        <v>1134</v>
      </c>
      <c r="F54">
        <v>0</v>
      </c>
    </row>
    <row r="55" spans="1:7" x14ac:dyDescent="0.25">
      <c r="E55" t="s">
        <v>1135</v>
      </c>
      <c r="F55">
        <v>0.29722222222222228</v>
      </c>
      <c r="G55" t="s">
        <v>1168</v>
      </c>
    </row>
    <row r="56" spans="1:7" x14ac:dyDescent="0.25">
      <c r="E56" t="s">
        <v>1137</v>
      </c>
      <c r="F56">
        <v>0.3388888888888888</v>
      </c>
      <c r="G56" t="s">
        <v>1169</v>
      </c>
    </row>
    <row r="57" spans="1:7" x14ac:dyDescent="0.25">
      <c r="E57" t="s">
        <v>1139</v>
      </c>
      <c r="F57">
        <v>0.33402777777777781</v>
      </c>
      <c r="G57" t="s">
        <v>1170</v>
      </c>
    </row>
    <row r="58" spans="1:7" x14ac:dyDescent="0.25">
      <c r="E58" t="s">
        <v>1141</v>
      </c>
      <c r="F58">
        <v>0.33333333333333326</v>
      </c>
      <c r="G58" t="s">
        <v>1171</v>
      </c>
    </row>
    <row r="59" spans="1:7" x14ac:dyDescent="0.25">
      <c r="E59" t="s">
        <v>1143</v>
      </c>
      <c r="F59">
        <v>0.17361111111111116</v>
      </c>
      <c r="G59" t="s">
        <v>1172</v>
      </c>
    </row>
    <row r="60" spans="1:7" x14ac:dyDescent="0.25">
      <c r="E60" t="s">
        <v>1145</v>
      </c>
      <c r="F60">
        <v>0</v>
      </c>
    </row>
    <row r="61" spans="1:7" x14ac:dyDescent="0.25">
      <c r="E61" t="s">
        <v>1146</v>
      </c>
      <c r="F61">
        <v>0</v>
      </c>
    </row>
    <row r="62" spans="1:7" x14ac:dyDescent="0.25">
      <c r="E62" t="s">
        <v>1147</v>
      </c>
      <c r="F62">
        <v>0.3354166666666667</v>
      </c>
      <c r="G62" t="s">
        <v>1173</v>
      </c>
    </row>
    <row r="63" spans="1:7" x14ac:dyDescent="0.25">
      <c r="E63" t="s">
        <v>1149</v>
      </c>
      <c r="F63">
        <v>6.7013888888888893</v>
      </c>
      <c r="G63" t="s">
        <v>1150</v>
      </c>
    </row>
    <row r="64" spans="1:7" x14ac:dyDescent="0.25">
      <c r="A64">
        <v>41</v>
      </c>
      <c r="B64" t="s">
        <v>524</v>
      </c>
      <c r="C64" t="s">
        <v>1174</v>
      </c>
      <c r="D64" t="s">
        <v>1175</v>
      </c>
      <c r="E64" t="s">
        <v>1098</v>
      </c>
      <c r="F64">
        <v>0</v>
      </c>
    </row>
    <row r="65" spans="5:7" x14ac:dyDescent="0.25">
      <c r="E65" t="s">
        <v>1099</v>
      </c>
      <c r="F65">
        <v>0.30833333333333335</v>
      </c>
      <c r="G65" t="s">
        <v>1176</v>
      </c>
    </row>
    <row r="66" spans="5:7" x14ac:dyDescent="0.25">
      <c r="E66" t="s">
        <v>1100</v>
      </c>
      <c r="F66">
        <v>0.32638888888888884</v>
      </c>
      <c r="G66" t="s">
        <v>1177</v>
      </c>
    </row>
    <row r="67" spans="5:7" x14ac:dyDescent="0.25">
      <c r="E67" t="s">
        <v>1101</v>
      </c>
      <c r="F67">
        <v>0.30000000000000004</v>
      </c>
      <c r="G67" t="s">
        <v>1178</v>
      </c>
    </row>
    <row r="68" spans="5:7" x14ac:dyDescent="0.25">
      <c r="E68" t="s">
        <v>1102</v>
      </c>
      <c r="F68">
        <v>0.30000000000000004</v>
      </c>
      <c r="G68" t="s">
        <v>1179</v>
      </c>
    </row>
    <row r="69" spans="5:7" x14ac:dyDescent="0.25">
      <c r="E69" t="s">
        <v>1104</v>
      </c>
      <c r="F69">
        <v>0.31180555555555545</v>
      </c>
      <c r="G69" t="s">
        <v>1180</v>
      </c>
    </row>
    <row r="70" spans="5:7" x14ac:dyDescent="0.25">
      <c r="E70" t="s">
        <v>1106</v>
      </c>
      <c r="F70">
        <v>0.2138888888888888</v>
      </c>
      <c r="G70" t="s">
        <v>1181</v>
      </c>
    </row>
    <row r="71" spans="5:7" x14ac:dyDescent="0.25">
      <c r="E71" t="s">
        <v>1108</v>
      </c>
      <c r="F71">
        <v>0</v>
      </c>
    </row>
    <row r="72" spans="5:7" x14ac:dyDescent="0.25">
      <c r="E72" t="s">
        <v>1109</v>
      </c>
      <c r="F72">
        <v>0.29722222222222228</v>
      </c>
      <c r="G72" t="s">
        <v>1182</v>
      </c>
    </row>
    <row r="73" spans="5:7" x14ac:dyDescent="0.25">
      <c r="E73" t="s">
        <v>1111</v>
      </c>
      <c r="F73">
        <v>0.29374999999999996</v>
      </c>
      <c r="G73" t="s">
        <v>1183</v>
      </c>
    </row>
    <row r="74" spans="5:7" x14ac:dyDescent="0.25">
      <c r="E74" t="s">
        <v>1113</v>
      </c>
      <c r="F74">
        <v>0.29861111111111116</v>
      </c>
      <c r="G74" t="s">
        <v>1184</v>
      </c>
    </row>
    <row r="75" spans="5:7" x14ac:dyDescent="0.25">
      <c r="E75" t="s">
        <v>1115</v>
      </c>
      <c r="F75">
        <v>0.29930555555555549</v>
      </c>
      <c r="G75" t="s">
        <v>1185</v>
      </c>
    </row>
    <row r="76" spans="5:7" x14ac:dyDescent="0.25">
      <c r="E76" t="s">
        <v>1117</v>
      </c>
      <c r="F76">
        <v>0.33819444444444446</v>
      </c>
      <c r="G76" t="s">
        <v>1186</v>
      </c>
    </row>
    <row r="77" spans="5:7" x14ac:dyDescent="0.25">
      <c r="E77" t="s">
        <v>1119</v>
      </c>
      <c r="F77">
        <v>0.22083333333333344</v>
      </c>
      <c r="G77" t="s">
        <v>1187</v>
      </c>
    </row>
    <row r="78" spans="5:7" x14ac:dyDescent="0.25">
      <c r="E78" t="s">
        <v>1121</v>
      </c>
      <c r="F78">
        <v>0</v>
      </c>
    </row>
    <row r="79" spans="5:7" x14ac:dyDescent="0.25">
      <c r="E79" t="s">
        <v>1122</v>
      </c>
      <c r="F79">
        <v>0.30555555555555558</v>
      </c>
      <c r="G79" t="s">
        <v>1188</v>
      </c>
    </row>
    <row r="80" spans="5:7" x14ac:dyDescent="0.25">
      <c r="E80" t="s">
        <v>1124</v>
      </c>
      <c r="F80">
        <v>0.30347222222222214</v>
      </c>
      <c r="G80" t="s">
        <v>1189</v>
      </c>
    </row>
    <row r="81" spans="1:7" x14ac:dyDescent="0.25">
      <c r="E81" t="s">
        <v>1126</v>
      </c>
      <c r="F81">
        <v>0.31319444444444455</v>
      </c>
      <c r="G81" t="s">
        <v>1190</v>
      </c>
    </row>
    <row r="82" spans="1:7" x14ac:dyDescent="0.25">
      <c r="E82" t="s">
        <v>1128</v>
      </c>
      <c r="F82">
        <v>0.30972222222222223</v>
      </c>
      <c r="G82" t="s">
        <v>1191</v>
      </c>
    </row>
    <row r="83" spans="1:7" x14ac:dyDescent="0.25">
      <c r="E83" t="s">
        <v>1130</v>
      </c>
      <c r="F83">
        <v>0.30347222222222214</v>
      </c>
      <c r="G83" t="s">
        <v>1192</v>
      </c>
    </row>
    <row r="84" spans="1:7" x14ac:dyDescent="0.25">
      <c r="E84" t="s">
        <v>1132</v>
      </c>
      <c r="F84">
        <v>0.19861111111111107</v>
      </c>
      <c r="G84" t="s">
        <v>1193</v>
      </c>
    </row>
    <row r="85" spans="1:7" x14ac:dyDescent="0.25">
      <c r="E85" t="s">
        <v>1134</v>
      </c>
      <c r="F85">
        <v>0</v>
      </c>
    </row>
    <row r="86" spans="1:7" x14ac:dyDescent="0.25">
      <c r="E86" t="s">
        <v>1135</v>
      </c>
      <c r="F86">
        <v>0.31180555555555545</v>
      </c>
      <c r="G86" t="s">
        <v>1194</v>
      </c>
    </row>
    <row r="87" spans="1:7" x14ac:dyDescent="0.25">
      <c r="E87" t="s">
        <v>1137</v>
      </c>
      <c r="F87">
        <v>0.34166666666666656</v>
      </c>
      <c r="G87" t="s">
        <v>1195</v>
      </c>
    </row>
    <row r="88" spans="1:7" x14ac:dyDescent="0.25">
      <c r="E88" t="s">
        <v>1139</v>
      </c>
      <c r="F88">
        <v>0.3486111111111112</v>
      </c>
      <c r="G88" t="s">
        <v>1196</v>
      </c>
    </row>
    <row r="89" spans="1:7" x14ac:dyDescent="0.25">
      <c r="E89" t="s">
        <v>1141</v>
      </c>
      <c r="F89">
        <v>0.3388888888888888</v>
      </c>
      <c r="G89" t="s">
        <v>1197</v>
      </c>
    </row>
    <row r="90" spans="1:7" x14ac:dyDescent="0.25">
      <c r="E90" t="s">
        <v>1143</v>
      </c>
      <c r="F90">
        <v>0.17708333333333326</v>
      </c>
      <c r="G90" t="s">
        <v>1198</v>
      </c>
    </row>
    <row r="91" spans="1:7" x14ac:dyDescent="0.25">
      <c r="E91" t="s">
        <v>1145</v>
      </c>
      <c r="F91">
        <v>0</v>
      </c>
    </row>
    <row r="92" spans="1:7" x14ac:dyDescent="0.25">
      <c r="E92" t="s">
        <v>1146</v>
      </c>
      <c r="F92">
        <v>0</v>
      </c>
    </row>
    <row r="93" spans="1:7" x14ac:dyDescent="0.25">
      <c r="E93" t="s">
        <v>1147</v>
      </c>
      <c r="F93">
        <v>0.34097222222222223</v>
      </c>
      <c r="G93" t="s">
        <v>1199</v>
      </c>
    </row>
    <row r="94" spans="1:7" x14ac:dyDescent="0.25">
      <c r="E94" t="s">
        <v>1149</v>
      </c>
      <c r="F94">
        <v>7.1013888888888896</v>
      </c>
      <c r="G94" t="s">
        <v>1150</v>
      </c>
    </row>
    <row r="95" spans="1:7" x14ac:dyDescent="0.25">
      <c r="A95">
        <v>68</v>
      </c>
      <c r="B95" t="s">
        <v>1200</v>
      </c>
      <c r="C95" t="s">
        <v>1201</v>
      </c>
      <c r="D95" t="s">
        <v>231</v>
      </c>
      <c r="E95" t="s">
        <v>1098</v>
      </c>
      <c r="F95">
        <v>0</v>
      </c>
    </row>
    <row r="96" spans="1:7" x14ac:dyDescent="0.25">
      <c r="E96" t="s">
        <v>1099</v>
      </c>
      <c r="F96">
        <v>0.40902777777777777</v>
      </c>
      <c r="G96" t="s">
        <v>1202</v>
      </c>
    </row>
    <row r="97" spans="5:7" x14ac:dyDescent="0.25">
      <c r="E97" t="s">
        <v>1100</v>
      </c>
      <c r="F97">
        <v>0.36458333333333326</v>
      </c>
      <c r="G97" t="s">
        <v>1203</v>
      </c>
    </row>
    <row r="98" spans="5:7" x14ac:dyDescent="0.25">
      <c r="E98" t="s">
        <v>1101</v>
      </c>
      <c r="F98">
        <v>0.36041666666666661</v>
      </c>
      <c r="G98" t="s">
        <v>1204</v>
      </c>
    </row>
    <row r="99" spans="5:7" x14ac:dyDescent="0.25">
      <c r="E99" t="s">
        <v>1102</v>
      </c>
      <c r="F99">
        <v>0.38749999999999996</v>
      </c>
      <c r="G99" t="s">
        <v>1205</v>
      </c>
    </row>
    <row r="100" spans="5:7" x14ac:dyDescent="0.25">
      <c r="E100" t="s">
        <v>1104</v>
      </c>
      <c r="F100">
        <v>0.39166666666666661</v>
      </c>
      <c r="G100" t="s">
        <v>1206</v>
      </c>
    </row>
    <row r="101" spans="5:7" x14ac:dyDescent="0.25">
      <c r="E101" t="s">
        <v>1106</v>
      </c>
      <c r="F101">
        <v>0.16874999999999996</v>
      </c>
      <c r="G101" t="s">
        <v>1207</v>
      </c>
    </row>
    <row r="102" spans="5:7" x14ac:dyDescent="0.25">
      <c r="E102" t="s">
        <v>1108</v>
      </c>
      <c r="F102">
        <v>0</v>
      </c>
    </row>
    <row r="103" spans="5:7" x14ac:dyDescent="0.25">
      <c r="E103" t="s">
        <v>1109</v>
      </c>
      <c r="F103">
        <v>0.40277777777777768</v>
      </c>
      <c r="G103" t="s">
        <v>1208</v>
      </c>
    </row>
    <row r="104" spans="5:7" x14ac:dyDescent="0.25">
      <c r="E104" t="s">
        <v>1111</v>
      </c>
      <c r="F104">
        <v>0.39166666666666661</v>
      </c>
      <c r="G104" t="s">
        <v>1209</v>
      </c>
    </row>
    <row r="105" spans="5:7" x14ac:dyDescent="0.25">
      <c r="E105" t="s">
        <v>1113</v>
      </c>
      <c r="F105">
        <v>0.40625</v>
      </c>
      <c r="G105" t="s">
        <v>1210</v>
      </c>
    </row>
    <row r="106" spans="5:7" x14ac:dyDescent="0.25">
      <c r="E106" t="s">
        <v>1115</v>
      </c>
      <c r="F106">
        <v>0.39305555555555549</v>
      </c>
      <c r="G106" t="s">
        <v>1211</v>
      </c>
    </row>
    <row r="107" spans="5:7" x14ac:dyDescent="0.25">
      <c r="E107" t="s">
        <v>1117</v>
      </c>
      <c r="F107">
        <v>0.21111111111111103</v>
      </c>
      <c r="G107" t="s">
        <v>1212</v>
      </c>
    </row>
    <row r="108" spans="5:7" x14ac:dyDescent="0.25">
      <c r="E108" t="s">
        <v>1119</v>
      </c>
      <c r="F108">
        <v>0.36805555555555558</v>
      </c>
      <c r="G108" t="s">
        <v>1213</v>
      </c>
    </row>
    <row r="109" spans="5:7" x14ac:dyDescent="0.25">
      <c r="E109" t="s">
        <v>1121</v>
      </c>
      <c r="F109">
        <v>0.38125000000000009</v>
      </c>
      <c r="G109" t="s">
        <v>1214</v>
      </c>
    </row>
    <row r="110" spans="5:7" x14ac:dyDescent="0.25">
      <c r="E110" t="s">
        <v>1122</v>
      </c>
      <c r="F110">
        <v>0.38680555555555562</v>
      </c>
      <c r="G110" t="s">
        <v>1215</v>
      </c>
    </row>
    <row r="111" spans="5:7" x14ac:dyDescent="0.25">
      <c r="E111" t="s">
        <v>1124</v>
      </c>
      <c r="F111">
        <v>0.39999999999999991</v>
      </c>
      <c r="G111" t="s">
        <v>1216</v>
      </c>
    </row>
    <row r="112" spans="5:7" x14ac:dyDescent="0.25">
      <c r="E112" t="s">
        <v>1126</v>
      </c>
      <c r="F112">
        <v>0.38888888888888884</v>
      </c>
      <c r="G112" t="s">
        <v>1217</v>
      </c>
    </row>
    <row r="113" spans="1:7" x14ac:dyDescent="0.25">
      <c r="E113" t="s">
        <v>1128</v>
      </c>
      <c r="F113">
        <v>0.39583333333333326</v>
      </c>
      <c r="G113" t="s">
        <v>1218</v>
      </c>
    </row>
    <row r="114" spans="1:7" x14ac:dyDescent="0.25">
      <c r="E114" t="s">
        <v>1130</v>
      </c>
      <c r="F114">
        <v>0.39513888888888893</v>
      </c>
      <c r="G114" t="s">
        <v>1219</v>
      </c>
    </row>
    <row r="115" spans="1:7" x14ac:dyDescent="0.25">
      <c r="E115" t="s">
        <v>1132</v>
      </c>
      <c r="F115">
        <v>0.22847222222222219</v>
      </c>
      <c r="G115" t="s">
        <v>1220</v>
      </c>
    </row>
    <row r="116" spans="1:7" x14ac:dyDescent="0.25">
      <c r="E116" t="s">
        <v>1134</v>
      </c>
      <c r="F116">
        <v>0</v>
      </c>
    </row>
    <row r="117" spans="1:7" x14ac:dyDescent="0.25">
      <c r="E117" t="s">
        <v>1135</v>
      </c>
      <c r="F117">
        <v>0.38611111111111107</v>
      </c>
      <c r="G117" t="s">
        <v>1221</v>
      </c>
    </row>
    <row r="118" spans="1:7" x14ac:dyDescent="0.25">
      <c r="E118" t="s">
        <v>1137</v>
      </c>
      <c r="F118">
        <v>0.38611111111111107</v>
      </c>
      <c r="G118" t="s">
        <v>1222</v>
      </c>
    </row>
    <row r="119" spans="1:7" x14ac:dyDescent="0.25">
      <c r="E119" t="s">
        <v>1139</v>
      </c>
      <c r="F119">
        <v>0.41666666666666674</v>
      </c>
      <c r="G119" t="s">
        <v>1223</v>
      </c>
    </row>
    <row r="120" spans="1:7" x14ac:dyDescent="0.25">
      <c r="E120" t="s">
        <v>1141</v>
      </c>
      <c r="F120">
        <v>0.38888888888888884</v>
      </c>
      <c r="G120" t="s">
        <v>1224</v>
      </c>
    </row>
    <row r="121" spans="1:7" x14ac:dyDescent="0.25">
      <c r="E121" t="s">
        <v>1143</v>
      </c>
      <c r="F121">
        <v>0.38472222222222219</v>
      </c>
      <c r="G121" t="s">
        <v>1225</v>
      </c>
    </row>
    <row r="122" spans="1:7" x14ac:dyDescent="0.25">
      <c r="E122" t="s">
        <v>1145</v>
      </c>
      <c r="F122">
        <v>0</v>
      </c>
    </row>
    <row r="123" spans="1:7" x14ac:dyDescent="0.25">
      <c r="E123" t="s">
        <v>1146</v>
      </c>
      <c r="F123">
        <v>0.38125000000000009</v>
      </c>
      <c r="G123" t="s">
        <v>1226</v>
      </c>
    </row>
    <row r="124" spans="1:7" x14ac:dyDescent="0.25">
      <c r="E124" t="s">
        <v>1147</v>
      </c>
      <c r="F124">
        <v>0.37916666666666665</v>
      </c>
      <c r="G124" t="s">
        <v>1227</v>
      </c>
    </row>
    <row r="125" spans="1:7" x14ac:dyDescent="0.25">
      <c r="E125" t="s">
        <v>1149</v>
      </c>
      <c r="F125">
        <v>9.5541666666666671</v>
      </c>
      <c r="G125" t="s">
        <v>1150</v>
      </c>
    </row>
    <row r="126" spans="1:7" x14ac:dyDescent="0.25">
      <c r="A126">
        <v>3</v>
      </c>
      <c r="B126" t="s">
        <v>364</v>
      </c>
      <c r="C126" t="s">
        <v>1228</v>
      </c>
      <c r="D126" t="s">
        <v>1229</v>
      </c>
      <c r="E126" t="s">
        <v>1098</v>
      </c>
      <c r="F126">
        <v>0</v>
      </c>
    </row>
    <row r="127" spans="1:7" x14ac:dyDescent="0.25">
      <c r="E127" t="s">
        <v>1099</v>
      </c>
      <c r="F127">
        <v>0</v>
      </c>
    </row>
    <row r="128" spans="1:7" x14ac:dyDescent="0.25">
      <c r="E128" t="s">
        <v>1100</v>
      </c>
      <c r="F128">
        <v>0</v>
      </c>
    </row>
    <row r="129" spans="5:7" x14ac:dyDescent="0.25">
      <c r="E129" t="s">
        <v>1101</v>
      </c>
      <c r="F129">
        <v>0</v>
      </c>
    </row>
    <row r="130" spans="5:7" x14ac:dyDescent="0.25">
      <c r="E130" t="s">
        <v>1102</v>
      </c>
      <c r="F130">
        <v>0</v>
      </c>
    </row>
    <row r="131" spans="5:7" x14ac:dyDescent="0.25">
      <c r="E131" t="s">
        <v>1104</v>
      </c>
      <c r="F131">
        <v>0</v>
      </c>
    </row>
    <row r="132" spans="5:7" x14ac:dyDescent="0.25">
      <c r="E132" t="s">
        <v>1106</v>
      </c>
      <c r="F132">
        <v>0</v>
      </c>
    </row>
    <row r="133" spans="5:7" x14ac:dyDescent="0.25">
      <c r="E133" t="s">
        <v>1108</v>
      </c>
      <c r="F133">
        <v>0</v>
      </c>
    </row>
    <row r="134" spans="5:7" x14ac:dyDescent="0.25">
      <c r="E134" t="s">
        <v>1109</v>
      </c>
      <c r="F134">
        <v>0.42222222222222228</v>
      </c>
      <c r="G134" t="s">
        <v>1230</v>
      </c>
    </row>
    <row r="135" spans="5:7" x14ac:dyDescent="0.25">
      <c r="E135" t="s">
        <v>1111</v>
      </c>
      <c r="F135">
        <v>0</v>
      </c>
    </row>
    <row r="136" spans="5:7" x14ac:dyDescent="0.25">
      <c r="E136" t="s">
        <v>1113</v>
      </c>
      <c r="F136">
        <v>0.41388888888888897</v>
      </c>
      <c r="G136" t="s">
        <v>1231</v>
      </c>
    </row>
    <row r="137" spans="5:7" x14ac:dyDescent="0.25">
      <c r="E137" t="s">
        <v>1115</v>
      </c>
      <c r="F137">
        <v>0.40347222222222223</v>
      </c>
      <c r="G137" t="s">
        <v>1232</v>
      </c>
    </row>
    <row r="138" spans="5:7" x14ac:dyDescent="0.25">
      <c r="E138" t="s">
        <v>1117</v>
      </c>
      <c r="F138">
        <v>0</v>
      </c>
    </row>
    <row r="139" spans="5:7" x14ac:dyDescent="0.25">
      <c r="E139" t="s">
        <v>1119</v>
      </c>
      <c r="F139">
        <v>0</v>
      </c>
    </row>
    <row r="140" spans="5:7" x14ac:dyDescent="0.25">
      <c r="E140" t="s">
        <v>1121</v>
      </c>
      <c r="F140">
        <v>0</v>
      </c>
    </row>
    <row r="141" spans="5:7" x14ac:dyDescent="0.25">
      <c r="E141" t="s">
        <v>1122</v>
      </c>
      <c r="F141">
        <v>0</v>
      </c>
    </row>
    <row r="142" spans="5:7" x14ac:dyDescent="0.25">
      <c r="E142" t="s">
        <v>1124</v>
      </c>
      <c r="F142">
        <v>0</v>
      </c>
    </row>
    <row r="143" spans="5:7" x14ac:dyDescent="0.25">
      <c r="E143" t="s">
        <v>1126</v>
      </c>
      <c r="F143">
        <v>0</v>
      </c>
    </row>
    <row r="144" spans="5:7" x14ac:dyDescent="0.25">
      <c r="E144" t="s">
        <v>1128</v>
      </c>
      <c r="F144">
        <v>0</v>
      </c>
    </row>
    <row r="145" spans="1:7" x14ac:dyDescent="0.25">
      <c r="E145" t="s">
        <v>1130</v>
      </c>
      <c r="F145">
        <v>0</v>
      </c>
    </row>
    <row r="146" spans="1:7" x14ac:dyDescent="0.25">
      <c r="E146" t="s">
        <v>1132</v>
      </c>
      <c r="F146">
        <v>0</v>
      </c>
    </row>
    <row r="147" spans="1:7" x14ac:dyDescent="0.25">
      <c r="E147" t="s">
        <v>1134</v>
      </c>
      <c r="F147">
        <v>0</v>
      </c>
    </row>
    <row r="148" spans="1:7" x14ac:dyDescent="0.25">
      <c r="E148" t="s">
        <v>1135</v>
      </c>
      <c r="F148">
        <v>0</v>
      </c>
    </row>
    <row r="149" spans="1:7" x14ac:dyDescent="0.25">
      <c r="E149" t="s">
        <v>1137</v>
      </c>
      <c r="F149">
        <v>0</v>
      </c>
    </row>
    <row r="150" spans="1:7" x14ac:dyDescent="0.25">
      <c r="E150" t="s">
        <v>1139</v>
      </c>
      <c r="F150">
        <v>0</v>
      </c>
    </row>
    <row r="151" spans="1:7" x14ac:dyDescent="0.25">
      <c r="E151" t="s">
        <v>1141</v>
      </c>
      <c r="F151">
        <v>0</v>
      </c>
    </row>
    <row r="152" spans="1:7" x14ac:dyDescent="0.25">
      <c r="E152" t="s">
        <v>1143</v>
      </c>
      <c r="F152">
        <v>0</v>
      </c>
    </row>
    <row r="153" spans="1:7" x14ac:dyDescent="0.25">
      <c r="E153" t="s">
        <v>1145</v>
      </c>
      <c r="F153">
        <v>0</v>
      </c>
    </row>
    <row r="154" spans="1:7" x14ac:dyDescent="0.25">
      <c r="E154" t="s">
        <v>1146</v>
      </c>
      <c r="F154">
        <v>0</v>
      </c>
    </row>
    <row r="155" spans="1:7" x14ac:dyDescent="0.25">
      <c r="E155" t="s">
        <v>1147</v>
      </c>
      <c r="F155">
        <v>0</v>
      </c>
    </row>
    <row r="156" spans="1:7" x14ac:dyDescent="0.25">
      <c r="E156" t="s">
        <v>1149</v>
      </c>
      <c r="F156">
        <v>1.2395833333333335</v>
      </c>
      <c r="G156" t="s">
        <v>1150</v>
      </c>
    </row>
    <row r="157" spans="1:7" x14ac:dyDescent="0.25">
      <c r="A157">
        <v>38</v>
      </c>
      <c r="B157" t="s">
        <v>510</v>
      </c>
      <c r="C157" t="s">
        <v>1233</v>
      </c>
      <c r="D157" t="s">
        <v>1234</v>
      </c>
      <c r="E157" t="s">
        <v>1098</v>
      </c>
      <c r="F157">
        <v>0</v>
      </c>
    </row>
    <row r="158" spans="1:7" x14ac:dyDescent="0.25">
      <c r="E158" t="s">
        <v>1099</v>
      </c>
      <c r="F158">
        <v>0.43472222222222223</v>
      </c>
      <c r="G158" t="s">
        <v>1235</v>
      </c>
    </row>
    <row r="159" spans="1:7" x14ac:dyDescent="0.25">
      <c r="E159" t="s">
        <v>1100</v>
      </c>
      <c r="F159">
        <v>0.42222222222222228</v>
      </c>
      <c r="G159" t="s">
        <v>1236</v>
      </c>
    </row>
    <row r="160" spans="1:7" x14ac:dyDescent="0.25">
      <c r="E160" t="s">
        <v>1101</v>
      </c>
      <c r="F160">
        <v>0.3979166666666667</v>
      </c>
      <c r="G160" t="s">
        <v>1237</v>
      </c>
    </row>
    <row r="161" spans="5:7" x14ac:dyDescent="0.25">
      <c r="E161" t="s">
        <v>1102</v>
      </c>
      <c r="F161">
        <v>0.45833333333333326</v>
      </c>
      <c r="G161" t="s">
        <v>1238</v>
      </c>
    </row>
    <row r="162" spans="5:7" x14ac:dyDescent="0.25">
      <c r="E162" t="s">
        <v>1104</v>
      </c>
      <c r="F162">
        <v>0.28680555555555554</v>
      </c>
      <c r="G162" t="s">
        <v>1239</v>
      </c>
    </row>
    <row r="163" spans="5:7" x14ac:dyDescent="0.25">
      <c r="E163" t="s">
        <v>1106</v>
      </c>
      <c r="F163">
        <v>0.45694444444444438</v>
      </c>
      <c r="G163" t="s">
        <v>1240</v>
      </c>
    </row>
    <row r="164" spans="5:7" x14ac:dyDescent="0.25">
      <c r="E164" t="s">
        <v>1108</v>
      </c>
      <c r="F164">
        <v>0</v>
      </c>
    </row>
    <row r="165" spans="5:7" x14ac:dyDescent="0.25">
      <c r="E165" t="s">
        <v>1109</v>
      </c>
      <c r="F165">
        <v>0.45902777777777781</v>
      </c>
      <c r="G165" t="s">
        <v>1241</v>
      </c>
    </row>
    <row r="166" spans="5:7" x14ac:dyDescent="0.25">
      <c r="E166" t="s">
        <v>1111</v>
      </c>
      <c r="F166">
        <v>0.45416666666666661</v>
      </c>
      <c r="G166" t="s">
        <v>1242</v>
      </c>
    </row>
    <row r="167" spans="5:7" x14ac:dyDescent="0.25">
      <c r="E167" t="s">
        <v>1113</v>
      </c>
      <c r="F167">
        <v>0.44513888888888897</v>
      </c>
      <c r="G167" t="s">
        <v>1243</v>
      </c>
    </row>
    <row r="168" spans="5:7" x14ac:dyDescent="0.25">
      <c r="E168" t="s">
        <v>1115</v>
      </c>
      <c r="F168">
        <v>0.43541666666666656</v>
      </c>
      <c r="G168" t="s">
        <v>1244</v>
      </c>
    </row>
    <row r="169" spans="5:7" x14ac:dyDescent="0.25">
      <c r="E169" t="s">
        <v>1117</v>
      </c>
      <c r="F169">
        <v>0.36250000000000004</v>
      </c>
      <c r="G169" t="s">
        <v>1245</v>
      </c>
    </row>
    <row r="170" spans="5:7" x14ac:dyDescent="0.25">
      <c r="E170" t="s">
        <v>1119</v>
      </c>
      <c r="F170">
        <v>0.42083333333333339</v>
      </c>
      <c r="G170" t="s">
        <v>1246</v>
      </c>
    </row>
    <row r="171" spans="5:7" x14ac:dyDescent="0.25">
      <c r="E171" t="s">
        <v>1121</v>
      </c>
      <c r="F171">
        <v>0</v>
      </c>
    </row>
    <row r="172" spans="5:7" x14ac:dyDescent="0.25">
      <c r="E172" t="s">
        <v>1122</v>
      </c>
      <c r="F172">
        <v>0.45833333333333326</v>
      </c>
      <c r="G172" t="s">
        <v>1247</v>
      </c>
    </row>
    <row r="173" spans="5:7" x14ac:dyDescent="0.25">
      <c r="E173" t="s">
        <v>1124</v>
      </c>
      <c r="F173">
        <v>0.45763888888888893</v>
      </c>
      <c r="G173" t="s">
        <v>1248</v>
      </c>
    </row>
    <row r="174" spans="5:7" x14ac:dyDescent="0.25">
      <c r="E174" t="s">
        <v>1126</v>
      </c>
      <c r="F174">
        <v>0.56805555555555554</v>
      </c>
      <c r="G174" t="s">
        <v>1249</v>
      </c>
    </row>
    <row r="175" spans="5:7" x14ac:dyDescent="0.25">
      <c r="E175" t="s">
        <v>1128</v>
      </c>
      <c r="F175">
        <v>0.36388888888888893</v>
      </c>
      <c r="G175" t="s">
        <v>1250</v>
      </c>
    </row>
    <row r="176" spans="5:7" x14ac:dyDescent="0.25">
      <c r="E176" t="s">
        <v>1130</v>
      </c>
      <c r="F176">
        <v>0.11111111111111116</v>
      </c>
      <c r="G176" t="s">
        <v>1251</v>
      </c>
    </row>
    <row r="177" spans="1:7" x14ac:dyDescent="0.25">
      <c r="E177" t="s">
        <v>1132</v>
      </c>
      <c r="F177">
        <v>0.41666666666666674</v>
      </c>
      <c r="G177" t="s">
        <v>1252</v>
      </c>
    </row>
    <row r="178" spans="1:7" x14ac:dyDescent="0.25">
      <c r="E178" t="s">
        <v>1134</v>
      </c>
      <c r="F178">
        <v>0</v>
      </c>
    </row>
    <row r="179" spans="1:7" x14ac:dyDescent="0.25">
      <c r="E179" t="s">
        <v>1135</v>
      </c>
      <c r="F179">
        <v>0</v>
      </c>
    </row>
    <row r="180" spans="1:7" x14ac:dyDescent="0.25">
      <c r="E180" t="s">
        <v>1137</v>
      </c>
      <c r="F180">
        <v>0.38402777777777786</v>
      </c>
      <c r="G180" t="s">
        <v>1253</v>
      </c>
    </row>
    <row r="181" spans="1:7" x14ac:dyDescent="0.25">
      <c r="E181" t="s">
        <v>1139</v>
      </c>
      <c r="F181">
        <v>0.38472222222222219</v>
      </c>
      <c r="G181" t="s">
        <v>1254</v>
      </c>
    </row>
    <row r="182" spans="1:7" x14ac:dyDescent="0.25">
      <c r="E182" t="s">
        <v>1141</v>
      </c>
      <c r="F182">
        <v>0.38125000000000009</v>
      </c>
      <c r="G182" t="s">
        <v>1255</v>
      </c>
    </row>
    <row r="183" spans="1:7" x14ac:dyDescent="0.25">
      <c r="E183" t="s">
        <v>1143</v>
      </c>
      <c r="F183">
        <v>0.32013888888888897</v>
      </c>
      <c r="G183" t="s">
        <v>1256</v>
      </c>
    </row>
    <row r="184" spans="1:7" x14ac:dyDescent="0.25">
      <c r="E184" t="s">
        <v>1145</v>
      </c>
      <c r="F184">
        <v>0.40625</v>
      </c>
      <c r="G184" t="s">
        <v>1257</v>
      </c>
    </row>
    <row r="185" spans="1:7" x14ac:dyDescent="0.25">
      <c r="E185" t="s">
        <v>1146</v>
      </c>
      <c r="F185">
        <v>0</v>
      </c>
    </row>
    <row r="186" spans="1:7" x14ac:dyDescent="0.25">
      <c r="E186" t="s">
        <v>1147</v>
      </c>
      <c r="F186">
        <v>0.34305555555555545</v>
      </c>
      <c r="G186" t="s">
        <v>1258</v>
      </c>
    </row>
    <row r="187" spans="1:7" x14ac:dyDescent="0.25">
      <c r="E187" t="s">
        <v>1149</v>
      </c>
      <c r="F187">
        <v>9.6291666666666664</v>
      </c>
      <c r="G187" t="s">
        <v>1150</v>
      </c>
    </row>
    <row r="188" spans="1:7" x14ac:dyDescent="0.25">
      <c r="A188">
        <v>44</v>
      </c>
      <c r="B188" t="s">
        <v>1259</v>
      </c>
      <c r="C188" t="s">
        <v>1260</v>
      </c>
      <c r="D188" t="s">
        <v>1261</v>
      </c>
      <c r="E188" t="s">
        <v>1098</v>
      </c>
      <c r="F188">
        <v>0</v>
      </c>
    </row>
    <row r="189" spans="1:7" x14ac:dyDescent="0.25">
      <c r="E189" t="s">
        <v>1099</v>
      </c>
      <c r="F189">
        <v>0.29722222222222228</v>
      </c>
      <c r="G189" t="s">
        <v>1262</v>
      </c>
    </row>
    <row r="190" spans="1:7" x14ac:dyDescent="0.25">
      <c r="E190" t="s">
        <v>1100</v>
      </c>
      <c r="F190">
        <v>0</v>
      </c>
    </row>
    <row r="191" spans="1:7" x14ac:dyDescent="0.25">
      <c r="E191" t="s">
        <v>1101</v>
      </c>
      <c r="F191">
        <v>0.29722222222222228</v>
      </c>
      <c r="G191" t="s">
        <v>1263</v>
      </c>
    </row>
    <row r="192" spans="1:7" x14ac:dyDescent="0.25">
      <c r="E192" t="s">
        <v>1102</v>
      </c>
      <c r="F192">
        <v>0.29305555555555562</v>
      </c>
      <c r="G192" t="s">
        <v>1264</v>
      </c>
    </row>
    <row r="193" spans="5:7" x14ac:dyDescent="0.25">
      <c r="E193" t="s">
        <v>1104</v>
      </c>
      <c r="F193">
        <v>0.30624999999999991</v>
      </c>
      <c r="G193" t="s">
        <v>1265</v>
      </c>
    </row>
    <row r="194" spans="5:7" x14ac:dyDescent="0.25">
      <c r="E194" t="s">
        <v>1106</v>
      </c>
      <c r="F194">
        <v>0.20694444444444438</v>
      </c>
      <c r="G194" t="s">
        <v>1266</v>
      </c>
    </row>
    <row r="195" spans="5:7" x14ac:dyDescent="0.25">
      <c r="E195" t="s">
        <v>1108</v>
      </c>
      <c r="F195">
        <v>0</v>
      </c>
    </row>
    <row r="196" spans="5:7" x14ac:dyDescent="0.25">
      <c r="E196" t="s">
        <v>1109</v>
      </c>
      <c r="F196">
        <v>0.29166666666666674</v>
      </c>
      <c r="G196" t="s">
        <v>1267</v>
      </c>
    </row>
    <row r="197" spans="5:7" x14ac:dyDescent="0.25">
      <c r="E197" t="s">
        <v>1111</v>
      </c>
      <c r="F197">
        <v>0.29583333333333339</v>
      </c>
      <c r="G197" t="s">
        <v>1268</v>
      </c>
    </row>
    <row r="198" spans="5:7" x14ac:dyDescent="0.25">
      <c r="E198" t="s">
        <v>1113</v>
      </c>
      <c r="F198">
        <v>0.29513888888888884</v>
      </c>
      <c r="G198" t="s">
        <v>1269</v>
      </c>
    </row>
    <row r="199" spans="5:7" x14ac:dyDescent="0.25">
      <c r="E199" t="s">
        <v>1115</v>
      </c>
      <c r="F199">
        <v>0.40972222222222232</v>
      </c>
      <c r="G199" t="s">
        <v>1270</v>
      </c>
    </row>
    <row r="200" spans="5:7" x14ac:dyDescent="0.25">
      <c r="E200" t="s">
        <v>1117</v>
      </c>
      <c r="F200">
        <v>0.33472222222222214</v>
      </c>
      <c r="G200" t="s">
        <v>1271</v>
      </c>
    </row>
    <row r="201" spans="5:7" x14ac:dyDescent="0.25">
      <c r="E201" t="s">
        <v>1119</v>
      </c>
      <c r="F201">
        <v>0.2138888888888888</v>
      </c>
      <c r="G201" t="s">
        <v>1272</v>
      </c>
    </row>
    <row r="202" spans="5:7" x14ac:dyDescent="0.25">
      <c r="E202" t="s">
        <v>1121</v>
      </c>
      <c r="F202">
        <v>0</v>
      </c>
    </row>
    <row r="203" spans="5:7" x14ac:dyDescent="0.25">
      <c r="E203" t="s">
        <v>1122</v>
      </c>
      <c r="F203">
        <v>0.29583333333333339</v>
      </c>
      <c r="G203" t="s">
        <v>1273</v>
      </c>
    </row>
    <row r="204" spans="5:7" x14ac:dyDescent="0.25">
      <c r="E204" t="s">
        <v>1124</v>
      </c>
      <c r="F204">
        <v>0.29583333333333339</v>
      </c>
      <c r="G204" t="s">
        <v>1274</v>
      </c>
    </row>
    <row r="205" spans="5:7" x14ac:dyDescent="0.25">
      <c r="E205" t="s">
        <v>1126</v>
      </c>
      <c r="F205">
        <v>0.29583333333333339</v>
      </c>
      <c r="G205" t="s">
        <v>1275</v>
      </c>
    </row>
    <row r="206" spans="5:7" x14ac:dyDescent="0.25">
      <c r="E206" t="s">
        <v>1128</v>
      </c>
      <c r="F206">
        <v>0.29583333333333339</v>
      </c>
      <c r="G206" t="s">
        <v>1276</v>
      </c>
    </row>
    <row r="207" spans="5:7" x14ac:dyDescent="0.25">
      <c r="E207" t="s">
        <v>1130</v>
      </c>
      <c r="F207">
        <v>0.30486111111111103</v>
      </c>
      <c r="G207" t="s">
        <v>1277</v>
      </c>
    </row>
    <row r="208" spans="5:7" x14ac:dyDescent="0.25">
      <c r="E208" t="s">
        <v>1132</v>
      </c>
      <c r="F208">
        <v>0.21458333333333335</v>
      </c>
      <c r="G208" t="s">
        <v>1278</v>
      </c>
    </row>
    <row r="209" spans="1:7" x14ac:dyDescent="0.25">
      <c r="E209" t="s">
        <v>1134</v>
      </c>
      <c r="F209">
        <v>0</v>
      </c>
    </row>
    <row r="210" spans="1:7" x14ac:dyDescent="0.25">
      <c r="E210" t="s">
        <v>1135</v>
      </c>
      <c r="F210">
        <v>0.30347222222222214</v>
      </c>
      <c r="G210" t="s">
        <v>1279</v>
      </c>
    </row>
    <row r="211" spans="1:7" x14ac:dyDescent="0.25">
      <c r="E211" t="s">
        <v>1137</v>
      </c>
      <c r="F211">
        <v>0.33958333333333335</v>
      </c>
      <c r="G211" t="s">
        <v>1280</v>
      </c>
    </row>
    <row r="212" spans="1:7" x14ac:dyDescent="0.25">
      <c r="E212" t="s">
        <v>1139</v>
      </c>
      <c r="F212">
        <v>0.33819444444444446</v>
      </c>
      <c r="G212" t="s">
        <v>1281</v>
      </c>
    </row>
    <row r="213" spans="1:7" x14ac:dyDescent="0.25">
      <c r="E213" t="s">
        <v>1141</v>
      </c>
      <c r="F213">
        <v>0.33611111111111103</v>
      </c>
      <c r="G213" t="s">
        <v>1282</v>
      </c>
    </row>
    <row r="214" spans="1:7" x14ac:dyDescent="0.25">
      <c r="E214" t="s">
        <v>1143</v>
      </c>
      <c r="F214">
        <v>0.17708333333333326</v>
      </c>
      <c r="G214" t="s">
        <v>1283</v>
      </c>
    </row>
    <row r="215" spans="1:7" x14ac:dyDescent="0.25">
      <c r="E215" t="s">
        <v>1145</v>
      </c>
      <c r="F215">
        <v>0</v>
      </c>
    </row>
    <row r="216" spans="1:7" x14ac:dyDescent="0.25">
      <c r="E216" t="s">
        <v>1146</v>
      </c>
      <c r="F216">
        <v>0</v>
      </c>
    </row>
    <row r="217" spans="1:7" x14ac:dyDescent="0.25">
      <c r="E217" t="s">
        <v>1147</v>
      </c>
      <c r="F217">
        <v>0.33749999999999991</v>
      </c>
      <c r="G217" t="s">
        <v>1284</v>
      </c>
    </row>
    <row r="218" spans="1:7" x14ac:dyDescent="0.25">
      <c r="E218" t="s">
        <v>1149</v>
      </c>
      <c r="F218">
        <v>6.7763888888888886</v>
      </c>
      <c r="G218" t="s">
        <v>1150</v>
      </c>
    </row>
    <row r="219" spans="1:7" x14ac:dyDescent="0.25">
      <c r="A219">
        <v>18</v>
      </c>
      <c r="B219" t="s">
        <v>1285</v>
      </c>
      <c r="C219" t="s">
        <v>1286</v>
      </c>
      <c r="D219" t="s">
        <v>277</v>
      </c>
      <c r="E219" t="s">
        <v>1098</v>
      </c>
      <c r="F219">
        <v>0</v>
      </c>
    </row>
    <row r="220" spans="1:7" x14ac:dyDescent="0.25">
      <c r="E220" t="s">
        <v>1099</v>
      </c>
      <c r="F220">
        <v>0.29513888888888884</v>
      </c>
      <c r="G220" t="s">
        <v>1287</v>
      </c>
    </row>
    <row r="221" spans="1:7" x14ac:dyDescent="0.25">
      <c r="E221" t="s">
        <v>1100</v>
      </c>
      <c r="F221">
        <v>0.3208333333333333</v>
      </c>
      <c r="G221" t="s">
        <v>1288</v>
      </c>
    </row>
    <row r="222" spans="1:7" x14ac:dyDescent="0.25">
      <c r="E222" t="s">
        <v>1101</v>
      </c>
      <c r="F222">
        <v>0.29166666666666674</v>
      </c>
      <c r="G222" t="s">
        <v>1289</v>
      </c>
    </row>
    <row r="223" spans="1:7" x14ac:dyDescent="0.25">
      <c r="E223" t="s">
        <v>1102</v>
      </c>
      <c r="F223">
        <v>0</v>
      </c>
    </row>
    <row r="224" spans="1:7" x14ac:dyDescent="0.25">
      <c r="E224" t="s">
        <v>1104</v>
      </c>
      <c r="F224">
        <v>0</v>
      </c>
    </row>
    <row r="225" spans="5:7" x14ac:dyDescent="0.25">
      <c r="E225" t="s">
        <v>1106</v>
      </c>
      <c r="F225">
        <v>0.20347222222222228</v>
      </c>
      <c r="G225" t="s">
        <v>1290</v>
      </c>
    </row>
    <row r="226" spans="5:7" x14ac:dyDescent="0.25">
      <c r="E226" t="s">
        <v>1108</v>
      </c>
      <c r="F226">
        <v>0</v>
      </c>
    </row>
    <row r="227" spans="5:7" x14ac:dyDescent="0.25">
      <c r="E227" t="s">
        <v>1109</v>
      </c>
      <c r="F227">
        <v>0.28680555555555554</v>
      </c>
      <c r="G227" t="s">
        <v>1291</v>
      </c>
    </row>
    <row r="228" spans="5:7" x14ac:dyDescent="0.25">
      <c r="E228" t="s">
        <v>1111</v>
      </c>
      <c r="F228">
        <v>0.29444444444444451</v>
      </c>
      <c r="G228" t="s">
        <v>1292</v>
      </c>
    </row>
    <row r="229" spans="5:7" x14ac:dyDescent="0.25">
      <c r="E229" t="s">
        <v>1113</v>
      </c>
      <c r="F229">
        <v>0.28888888888888897</v>
      </c>
      <c r="G229" t="s">
        <v>1293</v>
      </c>
    </row>
    <row r="230" spans="5:7" x14ac:dyDescent="0.25">
      <c r="E230" t="s">
        <v>1115</v>
      </c>
      <c r="F230">
        <v>0.29236111111111107</v>
      </c>
      <c r="G230" t="s">
        <v>1294</v>
      </c>
    </row>
    <row r="231" spans="5:7" x14ac:dyDescent="0.25">
      <c r="E231" t="s">
        <v>1117</v>
      </c>
      <c r="F231">
        <v>0.32638888888888884</v>
      </c>
      <c r="G231" t="s">
        <v>1295</v>
      </c>
    </row>
    <row r="232" spans="5:7" x14ac:dyDescent="0.25">
      <c r="E232" t="s">
        <v>1119</v>
      </c>
      <c r="F232">
        <v>0</v>
      </c>
    </row>
    <row r="233" spans="5:7" x14ac:dyDescent="0.25">
      <c r="E233" t="s">
        <v>1121</v>
      </c>
      <c r="F233">
        <v>0</v>
      </c>
    </row>
    <row r="234" spans="5:7" x14ac:dyDescent="0.25">
      <c r="E234" t="s">
        <v>1122</v>
      </c>
      <c r="F234">
        <v>0.28888888888888897</v>
      </c>
      <c r="G234" t="s">
        <v>1296</v>
      </c>
    </row>
    <row r="235" spans="5:7" x14ac:dyDescent="0.25">
      <c r="E235" t="s">
        <v>1124</v>
      </c>
      <c r="F235">
        <v>0.28680555555555554</v>
      </c>
      <c r="G235" t="s">
        <v>1297</v>
      </c>
    </row>
    <row r="236" spans="5:7" x14ac:dyDescent="0.25">
      <c r="E236" t="s">
        <v>1126</v>
      </c>
      <c r="F236">
        <v>0.32569444444444451</v>
      </c>
      <c r="G236" t="s">
        <v>1298</v>
      </c>
    </row>
    <row r="237" spans="5:7" x14ac:dyDescent="0.25">
      <c r="E237" t="s">
        <v>1128</v>
      </c>
      <c r="F237">
        <v>0.29374999999999996</v>
      </c>
      <c r="G237" t="s">
        <v>1299</v>
      </c>
    </row>
    <row r="238" spans="5:7" x14ac:dyDescent="0.25">
      <c r="E238" t="s">
        <v>1130</v>
      </c>
      <c r="F238">
        <v>0</v>
      </c>
    </row>
    <row r="239" spans="5:7" x14ac:dyDescent="0.25">
      <c r="E239" t="s">
        <v>1132</v>
      </c>
      <c r="F239">
        <v>0.20416666666666661</v>
      </c>
      <c r="G239" t="s">
        <v>1300</v>
      </c>
    </row>
    <row r="240" spans="5:7" x14ac:dyDescent="0.25">
      <c r="E240" t="s">
        <v>1134</v>
      </c>
      <c r="F240">
        <v>0</v>
      </c>
    </row>
    <row r="241" spans="1:7" x14ac:dyDescent="0.25">
      <c r="E241" t="s">
        <v>1135</v>
      </c>
      <c r="F241">
        <v>0.29305555555555562</v>
      </c>
      <c r="G241" t="s">
        <v>1301</v>
      </c>
    </row>
    <row r="242" spans="1:7" x14ac:dyDescent="0.25">
      <c r="E242" t="s">
        <v>1137</v>
      </c>
      <c r="F242">
        <v>0.33333333333333326</v>
      </c>
      <c r="G242" t="s">
        <v>1302</v>
      </c>
    </row>
    <row r="243" spans="1:7" x14ac:dyDescent="0.25">
      <c r="E243" t="s">
        <v>1139</v>
      </c>
      <c r="F243">
        <v>0.32430555555555562</v>
      </c>
      <c r="G243" t="s">
        <v>1303</v>
      </c>
    </row>
    <row r="244" spans="1:7" x14ac:dyDescent="0.25">
      <c r="E244" t="s">
        <v>1141</v>
      </c>
      <c r="F244">
        <v>0.33263888888888893</v>
      </c>
      <c r="G244" t="s">
        <v>1304</v>
      </c>
    </row>
    <row r="245" spans="1:7" x14ac:dyDescent="0.25">
      <c r="E245" t="s">
        <v>1143</v>
      </c>
      <c r="F245">
        <v>0.17083333333333339</v>
      </c>
      <c r="G245" t="s">
        <v>1305</v>
      </c>
    </row>
    <row r="246" spans="1:7" x14ac:dyDescent="0.25">
      <c r="E246" t="s">
        <v>1145</v>
      </c>
      <c r="F246">
        <v>0</v>
      </c>
    </row>
    <row r="247" spans="1:7" x14ac:dyDescent="0.25">
      <c r="E247" t="s">
        <v>1146</v>
      </c>
      <c r="F247">
        <v>0</v>
      </c>
    </row>
    <row r="248" spans="1:7" x14ac:dyDescent="0.25">
      <c r="E248" t="s">
        <v>1147</v>
      </c>
      <c r="F248">
        <v>0</v>
      </c>
    </row>
    <row r="249" spans="1:7" x14ac:dyDescent="0.25">
      <c r="E249" t="s">
        <v>1149</v>
      </c>
      <c r="F249">
        <v>5.4534722222222225</v>
      </c>
      <c r="G249" t="s">
        <v>1150</v>
      </c>
    </row>
    <row r="250" spans="1:7" x14ac:dyDescent="0.25">
      <c r="A250">
        <v>64</v>
      </c>
      <c r="B250" t="s">
        <v>1306</v>
      </c>
      <c r="C250" t="s">
        <v>1307</v>
      </c>
      <c r="D250" t="s">
        <v>284</v>
      </c>
      <c r="E250" t="s">
        <v>1098</v>
      </c>
      <c r="F250">
        <v>0</v>
      </c>
    </row>
    <row r="251" spans="1:7" x14ac:dyDescent="0.25">
      <c r="E251" t="s">
        <v>1099</v>
      </c>
      <c r="F251">
        <v>0</v>
      </c>
    </row>
    <row r="252" spans="1:7" x14ac:dyDescent="0.25">
      <c r="E252" t="s">
        <v>1100</v>
      </c>
      <c r="F252">
        <v>0.34930555555555554</v>
      </c>
      <c r="G252" t="s">
        <v>1308</v>
      </c>
    </row>
    <row r="253" spans="1:7" x14ac:dyDescent="0.25">
      <c r="E253" t="s">
        <v>1101</v>
      </c>
      <c r="F253">
        <v>0.22430555555555554</v>
      </c>
      <c r="G253" t="s">
        <v>1309</v>
      </c>
    </row>
    <row r="254" spans="1:7" x14ac:dyDescent="0.25">
      <c r="E254" t="s">
        <v>1102</v>
      </c>
      <c r="F254">
        <v>0.29861111111111116</v>
      </c>
      <c r="G254" t="s">
        <v>1310</v>
      </c>
    </row>
    <row r="255" spans="1:7" x14ac:dyDescent="0.25">
      <c r="E255" t="s">
        <v>1104</v>
      </c>
      <c r="F255">
        <v>0.31388888888888888</v>
      </c>
      <c r="G255" t="s">
        <v>1311</v>
      </c>
    </row>
    <row r="256" spans="1:7" x14ac:dyDescent="0.25">
      <c r="E256" t="s">
        <v>1106</v>
      </c>
      <c r="F256">
        <v>0.43958333333333344</v>
      </c>
      <c r="G256" t="s">
        <v>1312</v>
      </c>
    </row>
    <row r="257" spans="5:7" x14ac:dyDescent="0.25">
      <c r="E257" t="s">
        <v>1108</v>
      </c>
      <c r="F257">
        <v>0</v>
      </c>
    </row>
    <row r="258" spans="5:7" x14ac:dyDescent="0.25">
      <c r="E258" t="s">
        <v>1109</v>
      </c>
      <c r="F258">
        <v>0.1298611111111112</v>
      </c>
      <c r="G258" t="s">
        <v>1313</v>
      </c>
    </row>
    <row r="259" spans="5:7" x14ac:dyDescent="0.25">
      <c r="E259" t="s">
        <v>1111</v>
      </c>
      <c r="F259">
        <v>0.29652777777777772</v>
      </c>
      <c r="G259" t="s">
        <v>1314</v>
      </c>
    </row>
    <row r="260" spans="5:7" x14ac:dyDescent="0.25">
      <c r="E260" t="s">
        <v>1113</v>
      </c>
      <c r="F260">
        <v>0.30208333333333326</v>
      </c>
      <c r="G260" t="s">
        <v>1315</v>
      </c>
    </row>
    <row r="261" spans="5:7" x14ac:dyDescent="0.25">
      <c r="E261" t="s">
        <v>1115</v>
      </c>
      <c r="F261">
        <v>0.32708333333333339</v>
      </c>
      <c r="G261" t="s">
        <v>1316</v>
      </c>
    </row>
    <row r="262" spans="5:7" x14ac:dyDescent="0.25">
      <c r="E262" t="s">
        <v>1117</v>
      </c>
      <c r="F262">
        <v>0.37222222222222223</v>
      </c>
      <c r="G262" t="s">
        <v>1317</v>
      </c>
    </row>
    <row r="263" spans="5:7" x14ac:dyDescent="0.25">
      <c r="E263" t="s">
        <v>1119</v>
      </c>
      <c r="F263">
        <v>0.21944444444444455</v>
      </c>
      <c r="G263" t="s">
        <v>1318</v>
      </c>
    </row>
    <row r="264" spans="5:7" x14ac:dyDescent="0.25">
      <c r="E264" t="s">
        <v>1121</v>
      </c>
      <c r="F264">
        <v>0</v>
      </c>
    </row>
    <row r="265" spans="5:7" x14ac:dyDescent="0.25">
      <c r="E265" t="s">
        <v>1122</v>
      </c>
      <c r="F265">
        <v>0.30347222222222214</v>
      </c>
      <c r="G265" t="s">
        <v>1319</v>
      </c>
    </row>
    <row r="266" spans="5:7" x14ac:dyDescent="0.25">
      <c r="E266" t="s">
        <v>1124</v>
      </c>
      <c r="F266">
        <v>0.30347222222222214</v>
      </c>
      <c r="G266" t="s">
        <v>1320</v>
      </c>
    </row>
    <row r="267" spans="5:7" x14ac:dyDescent="0.25">
      <c r="E267" t="s">
        <v>1126</v>
      </c>
      <c r="F267">
        <v>0.30138888888888893</v>
      </c>
      <c r="G267" t="s">
        <v>1321</v>
      </c>
    </row>
    <row r="268" spans="5:7" x14ac:dyDescent="0.25">
      <c r="E268" t="s">
        <v>1128</v>
      </c>
      <c r="F268">
        <v>0.29791666666666661</v>
      </c>
      <c r="G268" t="s">
        <v>1322</v>
      </c>
    </row>
    <row r="269" spans="5:7" x14ac:dyDescent="0.25">
      <c r="E269" t="s">
        <v>1130</v>
      </c>
      <c r="F269">
        <v>0.24583333333333335</v>
      </c>
      <c r="G269" t="s">
        <v>1323</v>
      </c>
    </row>
    <row r="270" spans="5:7" x14ac:dyDescent="0.25">
      <c r="E270" t="s">
        <v>1132</v>
      </c>
      <c r="F270">
        <v>0.21527777777777768</v>
      </c>
      <c r="G270" t="s">
        <v>1324</v>
      </c>
    </row>
    <row r="271" spans="5:7" x14ac:dyDescent="0.25">
      <c r="E271" t="s">
        <v>1134</v>
      </c>
      <c r="F271">
        <v>0</v>
      </c>
    </row>
    <row r="272" spans="5:7" x14ac:dyDescent="0.25">
      <c r="E272" t="s">
        <v>1135</v>
      </c>
      <c r="F272">
        <v>0.29791666666666661</v>
      </c>
      <c r="G272" t="s">
        <v>1325</v>
      </c>
    </row>
    <row r="273" spans="1:7" x14ac:dyDescent="0.25">
      <c r="E273" t="s">
        <v>1137</v>
      </c>
      <c r="F273">
        <v>0.34097222222222223</v>
      </c>
      <c r="G273" t="s">
        <v>1326</v>
      </c>
    </row>
    <row r="274" spans="1:7" x14ac:dyDescent="0.25">
      <c r="E274" t="s">
        <v>1139</v>
      </c>
      <c r="F274">
        <v>0.33125000000000004</v>
      </c>
      <c r="G274" t="s">
        <v>1327</v>
      </c>
    </row>
    <row r="275" spans="1:7" x14ac:dyDescent="0.25">
      <c r="E275" t="s">
        <v>1141</v>
      </c>
      <c r="F275">
        <v>0.34097222222222223</v>
      </c>
      <c r="G275" t="s">
        <v>1328</v>
      </c>
    </row>
    <row r="276" spans="1:7" x14ac:dyDescent="0.25">
      <c r="E276" t="s">
        <v>1143</v>
      </c>
      <c r="F276">
        <v>0.17708333333333326</v>
      </c>
      <c r="G276" t="s">
        <v>1329</v>
      </c>
    </row>
    <row r="277" spans="1:7" x14ac:dyDescent="0.25">
      <c r="E277" t="s">
        <v>1145</v>
      </c>
      <c r="F277">
        <v>0</v>
      </c>
    </row>
    <row r="278" spans="1:7" x14ac:dyDescent="0.25">
      <c r="E278" t="s">
        <v>1146</v>
      </c>
      <c r="F278">
        <v>0</v>
      </c>
    </row>
    <row r="279" spans="1:7" x14ac:dyDescent="0.25">
      <c r="E279" t="s">
        <v>1147</v>
      </c>
      <c r="F279">
        <v>0.33749999999999991</v>
      </c>
      <c r="G279" t="s">
        <v>1330</v>
      </c>
    </row>
    <row r="280" spans="1:7" x14ac:dyDescent="0.25">
      <c r="E280" t="s">
        <v>1149</v>
      </c>
      <c r="F280">
        <v>6.7659722222222225</v>
      </c>
      <c r="G280" t="s">
        <v>1150</v>
      </c>
    </row>
    <row r="281" spans="1:7" x14ac:dyDescent="0.25">
      <c r="A281">
        <v>53</v>
      </c>
      <c r="B281" t="s">
        <v>1331</v>
      </c>
      <c r="C281" t="s">
        <v>1332</v>
      </c>
      <c r="D281" t="s">
        <v>246</v>
      </c>
      <c r="E281" t="s">
        <v>1098</v>
      </c>
      <c r="F281">
        <v>0</v>
      </c>
    </row>
    <row r="282" spans="1:7" x14ac:dyDescent="0.25">
      <c r="E282" t="s">
        <v>1099</v>
      </c>
      <c r="F282">
        <v>0.29861111111111116</v>
      </c>
      <c r="G282" t="s">
        <v>1333</v>
      </c>
    </row>
    <row r="283" spans="1:7" x14ac:dyDescent="0.25">
      <c r="E283" t="s">
        <v>1100</v>
      </c>
      <c r="F283">
        <v>0.31875000000000009</v>
      </c>
      <c r="G283" t="s">
        <v>1334</v>
      </c>
    </row>
    <row r="284" spans="1:7" x14ac:dyDescent="0.25">
      <c r="E284" t="s">
        <v>1101</v>
      </c>
      <c r="F284">
        <v>0.2270833333333333</v>
      </c>
      <c r="G284" t="s">
        <v>1335</v>
      </c>
    </row>
    <row r="285" spans="1:7" x14ac:dyDescent="0.25">
      <c r="E285" t="s">
        <v>1102</v>
      </c>
      <c r="F285">
        <v>0.29652777777777772</v>
      </c>
      <c r="G285" t="s">
        <v>1336</v>
      </c>
    </row>
    <row r="286" spans="1:7" x14ac:dyDescent="0.25">
      <c r="E286" t="s">
        <v>1104</v>
      </c>
      <c r="F286">
        <v>0</v>
      </c>
    </row>
    <row r="287" spans="1:7" x14ac:dyDescent="0.25">
      <c r="E287" t="s">
        <v>1106</v>
      </c>
      <c r="F287">
        <v>0.21249999999999991</v>
      </c>
      <c r="G287" t="s">
        <v>1337</v>
      </c>
    </row>
    <row r="288" spans="1:7" x14ac:dyDescent="0.25">
      <c r="E288" t="s">
        <v>1108</v>
      </c>
      <c r="F288">
        <v>0</v>
      </c>
    </row>
    <row r="289" spans="5:7" x14ac:dyDescent="0.25">
      <c r="E289" t="s">
        <v>1109</v>
      </c>
      <c r="F289">
        <v>0.30138888888888893</v>
      </c>
      <c r="G289" t="s">
        <v>1338</v>
      </c>
    </row>
    <row r="290" spans="5:7" x14ac:dyDescent="0.25">
      <c r="E290" t="s">
        <v>1111</v>
      </c>
      <c r="F290">
        <v>0.29444444444444451</v>
      </c>
      <c r="G290" t="s">
        <v>1339</v>
      </c>
    </row>
    <row r="291" spans="5:7" x14ac:dyDescent="0.25">
      <c r="E291" t="s">
        <v>1113</v>
      </c>
      <c r="F291">
        <v>0.29583333333333339</v>
      </c>
      <c r="G291" t="s">
        <v>1340</v>
      </c>
    </row>
    <row r="292" spans="5:7" x14ac:dyDescent="0.25">
      <c r="E292" t="s">
        <v>1115</v>
      </c>
      <c r="F292">
        <v>0.30138888888888893</v>
      </c>
      <c r="G292" t="s">
        <v>1341</v>
      </c>
    </row>
    <row r="293" spans="5:7" x14ac:dyDescent="0.25">
      <c r="E293" t="s">
        <v>1117</v>
      </c>
      <c r="F293">
        <v>0.34305555555555545</v>
      </c>
      <c r="G293" t="s">
        <v>1342</v>
      </c>
    </row>
    <row r="294" spans="5:7" x14ac:dyDescent="0.25">
      <c r="E294" t="s">
        <v>1119</v>
      </c>
      <c r="F294">
        <v>0.22013888888888888</v>
      </c>
      <c r="G294" t="s">
        <v>1343</v>
      </c>
    </row>
    <row r="295" spans="5:7" x14ac:dyDescent="0.25">
      <c r="E295" t="s">
        <v>1121</v>
      </c>
      <c r="F295">
        <v>0</v>
      </c>
    </row>
    <row r="296" spans="5:7" x14ac:dyDescent="0.25">
      <c r="E296" t="s">
        <v>1122</v>
      </c>
      <c r="F296">
        <v>0.3041666666666667</v>
      </c>
      <c r="G296" t="s">
        <v>1344</v>
      </c>
    </row>
    <row r="297" spans="5:7" x14ac:dyDescent="0.25">
      <c r="E297" t="s">
        <v>1124</v>
      </c>
      <c r="F297">
        <v>0.30208333333333326</v>
      </c>
      <c r="G297" t="s">
        <v>1345</v>
      </c>
    </row>
    <row r="298" spans="5:7" x14ac:dyDescent="0.25">
      <c r="E298" t="s">
        <v>1126</v>
      </c>
      <c r="F298">
        <v>0.30694444444444446</v>
      </c>
      <c r="G298" t="s">
        <v>1346</v>
      </c>
    </row>
    <row r="299" spans="5:7" x14ac:dyDescent="0.25">
      <c r="E299" t="s">
        <v>1128</v>
      </c>
      <c r="F299">
        <v>0.30069444444444438</v>
      </c>
      <c r="G299" t="s">
        <v>1347</v>
      </c>
    </row>
    <row r="300" spans="5:7" x14ac:dyDescent="0.25">
      <c r="E300" t="s">
        <v>1130</v>
      </c>
      <c r="F300">
        <v>0.30000000000000004</v>
      </c>
      <c r="G300" t="s">
        <v>1348</v>
      </c>
    </row>
    <row r="301" spans="5:7" x14ac:dyDescent="0.25">
      <c r="E301" t="s">
        <v>1132</v>
      </c>
      <c r="F301">
        <v>0.21249999999999991</v>
      </c>
      <c r="G301" t="s">
        <v>1349</v>
      </c>
    </row>
    <row r="302" spans="5:7" x14ac:dyDescent="0.25">
      <c r="E302" t="s">
        <v>1134</v>
      </c>
      <c r="F302">
        <v>0</v>
      </c>
    </row>
    <row r="303" spans="5:7" x14ac:dyDescent="0.25">
      <c r="E303" t="s">
        <v>1135</v>
      </c>
      <c r="F303">
        <v>0.29930555555555549</v>
      </c>
      <c r="G303" t="s">
        <v>1350</v>
      </c>
    </row>
    <row r="304" spans="5:7" x14ac:dyDescent="0.25">
      <c r="E304" t="s">
        <v>1137</v>
      </c>
      <c r="F304">
        <v>0.35555555555555562</v>
      </c>
      <c r="G304" t="s">
        <v>1351</v>
      </c>
    </row>
    <row r="305" spans="1:7" x14ac:dyDescent="0.25">
      <c r="E305" t="s">
        <v>1139</v>
      </c>
      <c r="F305">
        <v>0.34166666666666656</v>
      </c>
      <c r="G305" t="s">
        <v>1352</v>
      </c>
    </row>
    <row r="306" spans="1:7" x14ac:dyDescent="0.25">
      <c r="E306" t="s">
        <v>1141</v>
      </c>
      <c r="F306">
        <v>0.34305555555555545</v>
      </c>
      <c r="G306" t="s">
        <v>1353</v>
      </c>
    </row>
    <row r="307" spans="1:7" x14ac:dyDescent="0.25">
      <c r="E307" t="s">
        <v>1143</v>
      </c>
      <c r="F307">
        <v>0.18055555555555558</v>
      </c>
      <c r="G307" t="s">
        <v>1354</v>
      </c>
    </row>
    <row r="308" spans="1:7" x14ac:dyDescent="0.25">
      <c r="E308" t="s">
        <v>1145</v>
      </c>
      <c r="F308">
        <v>0</v>
      </c>
    </row>
    <row r="309" spans="1:7" x14ac:dyDescent="0.25">
      <c r="E309" t="s">
        <v>1146</v>
      </c>
      <c r="F309">
        <v>0</v>
      </c>
    </row>
    <row r="310" spans="1:7" x14ac:dyDescent="0.25">
      <c r="E310" t="s">
        <v>1147</v>
      </c>
      <c r="F310">
        <v>0.34166666666666656</v>
      </c>
      <c r="G310" t="s">
        <v>1355</v>
      </c>
    </row>
    <row r="311" spans="1:7" x14ac:dyDescent="0.25">
      <c r="E311" t="s">
        <v>1149</v>
      </c>
      <c r="F311">
        <v>6.697916666666667</v>
      </c>
      <c r="G311" t="s">
        <v>1150</v>
      </c>
    </row>
    <row r="312" spans="1:7" x14ac:dyDescent="0.25">
      <c r="A312">
        <v>17</v>
      </c>
      <c r="B312" t="s">
        <v>1356</v>
      </c>
      <c r="C312" t="s">
        <v>1357</v>
      </c>
      <c r="D312" t="s">
        <v>275</v>
      </c>
      <c r="E312" t="s">
        <v>1098</v>
      </c>
      <c r="F312">
        <v>0</v>
      </c>
    </row>
    <row r="313" spans="1:7" x14ac:dyDescent="0.25">
      <c r="E313" t="s">
        <v>1099</v>
      </c>
      <c r="F313">
        <v>0.29513888888888884</v>
      </c>
      <c r="G313" t="s">
        <v>1358</v>
      </c>
    </row>
    <row r="314" spans="1:7" x14ac:dyDescent="0.25">
      <c r="E314" t="s">
        <v>1100</v>
      </c>
      <c r="F314">
        <v>0.29027777777777786</v>
      </c>
      <c r="G314" t="s">
        <v>1359</v>
      </c>
    </row>
    <row r="315" spans="1:7" x14ac:dyDescent="0.25">
      <c r="E315" t="s">
        <v>1101</v>
      </c>
      <c r="F315">
        <v>0.29166666666666674</v>
      </c>
      <c r="G315" t="s">
        <v>1360</v>
      </c>
    </row>
    <row r="316" spans="1:7" x14ac:dyDescent="0.25">
      <c r="E316" t="s">
        <v>1102</v>
      </c>
      <c r="F316">
        <v>0.29513888888888884</v>
      </c>
      <c r="G316" t="s">
        <v>1361</v>
      </c>
    </row>
    <row r="317" spans="1:7" x14ac:dyDescent="0.25">
      <c r="E317" t="s">
        <v>1104</v>
      </c>
      <c r="F317">
        <v>0.30208333333333326</v>
      </c>
      <c r="G317" t="s">
        <v>1362</v>
      </c>
    </row>
    <row r="318" spans="1:7" x14ac:dyDescent="0.25">
      <c r="E318" t="s">
        <v>1106</v>
      </c>
      <c r="F318">
        <v>0.20555555555555549</v>
      </c>
      <c r="G318" t="s">
        <v>1363</v>
      </c>
    </row>
    <row r="319" spans="1:7" x14ac:dyDescent="0.25">
      <c r="E319" t="s">
        <v>1108</v>
      </c>
      <c r="F319">
        <v>0</v>
      </c>
    </row>
    <row r="320" spans="1:7" x14ac:dyDescent="0.25">
      <c r="E320" t="s">
        <v>1109</v>
      </c>
      <c r="F320">
        <v>0.29236111111111107</v>
      </c>
      <c r="G320" t="s">
        <v>1364</v>
      </c>
    </row>
    <row r="321" spans="5:7" x14ac:dyDescent="0.25">
      <c r="E321" t="s">
        <v>1111</v>
      </c>
      <c r="F321">
        <v>0</v>
      </c>
    </row>
    <row r="322" spans="5:7" x14ac:dyDescent="0.25">
      <c r="E322" t="s">
        <v>1113</v>
      </c>
      <c r="F322">
        <v>0</v>
      </c>
    </row>
    <row r="323" spans="5:7" x14ac:dyDescent="0.25">
      <c r="E323" t="s">
        <v>1115</v>
      </c>
      <c r="F323">
        <v>0.29166666666666674</v>
      </c>
      <c r="G323" t="s">
        <v>1365</v>
      </c>
    </row>
    <row r="324" spans="5:7" x14ac:dyDescent="0.25">
      <c r="E324" t="s">
        <v>1117</v>
      </c>
      <c r="F324">
        <v>0.35833333333333339</v>
      </c>
      <c r="G324" t="s">
        <v>1366</v>
      </c>
    </row>
    <row r="325" spans="5:7" x14ac:dyDescent="0.25">
      <c r="E325" t="s">
        <v>1119</v>
      </c>
      <c r="F325">
        <v>0.20972222222222214</v>
      </c>
      <c r="G325" t="s">
        <v>1367</v>
      </c>
    </row>
    <row r="326" spans="5:7" x14ac:dyDescent="0.25">
      <c r="E326" t="s">
        <v>1121</v>
      </c>
      <c r="F326">
        <v>0</v>
      </c>
    </row>
    <row r="327" spans="5:7" x14ac:dyDescent="0.25">
      <c r="E327" t="s">
        <v>1122</v>
      </c>
      <c r="F327">
        <v>0.29513888888888884</v>
      </c>
      <c r="G327" t="s">
        <v>1368</v>
      </c>
    </row>
    <row r="328" spans="5:7" x14ac:dyDescent="0.25">
      <c r="E328" t="s">
        <v>1124</v>
      </c>
      <c r="F328">
        <v>0.29374999999999996</v>
      </c>
      <c r="G328" t="s">
        <v>1369</v>
      </c>
    </row>
    <row r="329" spans="5:7" x14ac:dyDescent="0.25">
      <c r="E329" t="s">
        <v>1126</v>
      </c>
      <c r="F329">
        <v>0.29583333333333339</v>
      </c>
      <c r="G329" t="s">
        <v>1370</v>
      </c>
    </row>
    <row r="330" spans="5:7" x14ac:dyDescent="0.25">
      <c r="E330" t="s">
        <v>1128</v>
      </c>
      <c r="F330">
        <v>0.3041666666666667</v>
      </c>
      <c r="G330" t="s">
        <v>1371</v>
      </c>
    </row>
    <row r="331" spans="5:7" x14ac:dyDescent="0.25">
      <c r="E331" t="s">
        <v>1130</v>
      </c>
      <c r="F331">
        <v>0.29374999999999996</v>
      </c>
      <c r="G331" t="s">
        <v>1372</v>
      </c>
    </row>
    <row r="332" spans="5:7" x14ac:dyDescent="0.25">
      <c r="E332" t="s">
        <v>1132</v>
      </c>
      <c r="F332">
        <v>0.20833333333333326</v>
      </c>
      <c r="G332" t="s">
        <v>1373</v>
      </c>
    </row>
    <row r="333" spans="5:7" x14ac:dyDescent="0.25">
      <c r="E333" t="s">
        <v>1134</v>
      </c>
      <c r="F333">
        <v>0</v>
      </c>
    </row>
    <row r="334" spans="5:7" x14ac:dyDescent="0.25">
      <c r="E334" t="s">
        <v>1135</v>
      </c>
      <c r="F334">
        <v>0.29652777777777772</v>
      </c>
      <c r="G334" t="s">
        <v>1374</v>
      </c>
    </row>
    <row r="335" spans="5:7" x14ac:dyDescent="0.25">
      <c r="E335" t="s">
        <v>1137</v>
      </c>
      <c r="F335">
        <v>0.33333333333333326</v>
      </c>
      <c r="G335" t="s">
        <v>1375</v>
      </c>
    </row>
    <row r="336" spans="5:7" x14ac:dyDescent="0.25">
      <c r="E336" t="s">
        <v>1139</v>
      </c>
      <c r="F336">
        <v>0.3388888888888888</v>
      </c>
      <c r="G336" t="s">
        <v>1376</v>
      </c>
    </row>
    <row r="337" spans="1:7" x14ac:dyDescent="0.25">
      <c r="E337" t="s">
        <v>1141</v>
      </c>
      <c r="F337">
        <v>0.3388888888888888</v>
      </c>
      <c r="G337" t="s">
        <v>1377</v>
      </c>
    </row>
    <row r="338" spans="1:7" x14ac:dyDescent="0.25">
      <c r="E338" t="s">
        <v>1143</v>
      </c>
      <c r="F338">
        <v>0.17361111111111116</v>
      </c>
      <c r="G338" t="s">
        <v>1378</v>
      </c>
    </row>
    <row r="339" spans="1:7" x14ac:dyDescent="0.25">
      <c r="E339" t="s">
        <v>1145</v>
      </c>
      <c r="F339">
        <v>0</v>
      </c>
    </row>
    <row r="340" spans="1:7" x14ac:dyDescent="0.25">
      <c r="E340" t="s">
        <v>1146</v>
      </c>
      <c r="F340">
        <v>0</v>
      </c>
    </row>
    <row r="341" spans="1:7" x14ac:dyDescent="0.25">
      <c r="E341" t="s">
        <v>1147</v>
      </c>
      <c r="F341">
        <v>0.33472222222222214</v>
      </c>
      <c r="G341" t="s">
        <v>1379</v>
      </c>
    </row>
    <row r="342" spans="1:7" x14ac:dyDescent="0.25">
      <c r="E342" t="s">
        <v>1149</v>
      </c>
      <c r="F342">
        <v>6.3388888888888886</v>
      </c>
      <c r="G342" t="s">
        <v>1150</v>
      </c>
    </row>
    <row r="343" spans="1:7" x14ac:dyDescent="0.25">
      <c r="A343">
        <v>7</v>
      </c>
      <c r="B343" t="s">
        <v>383</v>
      </c>
      <c r="C343" t="s">
        <v>384</v>
      </c>
      <c r="D343" t="s">
        <v>273</v>
      </c>
      <c r="E343" t="s">
        <v>1098</v>
      </c>
      <c r="F343">
        <v>0</v>
      </c>
    </row>
    <row r="344" spans="1:7" x14ac:dyDescent="0.25">
      <c r="E344" t="s">
        <v>1099</v>
      </c>
      <c r="F344">
        <v>0</v>
      </c>
    </row>
    <row r="345" spans="1:7" x14ac:dyDescent="0.25">
      <c r="E345" t="s">
        <v>1100</v>
      </c>
      <c r="F345">
        <v>0</v>
      </c>
    </row>
    <row r="346" spans="1:7" x14ac:dyDescent="0.25">
      <c r="E346" t="s">
        <v>1101</v>
      </c>
      <c r="F346">
        <v>0</v>
      </c>
    </row>
    <row r="347" spans="1:7" x14ac:dyDescent="0.25">
      <c r="E347" t="s">
        <v>1102</v>
      </c>
      <c r="F347">
        <v>0</v>
      </c>
    </row>
    <row r="348" spans="1:7" x14ac:dyDescent="0.25">
      <c r="E348" t="s">
        <v>1104</v>
      </c>
      <c r="F348">
        <v>0</v>
      </c>
    </row>
    <row r="349" spans="1:7" x14ac:dyDescent="0.25">
      <c r="E349" t="s">
        <v>1106</v>
      </c>
      <c r="F349">
        <v>0</v>
      </c>
    </row>
    <row r="350" spans="1:7" x14ac:dyDescent="0.25">
      <c r="E350" t="s">
        <v>1108</v>
      </c>
      <c r="F350">
        <v>0</v>
      </c>
    </row>
    <row r="351" spans="1:7" x14ac:dyDescent="0.25">
      <c r="E351" t="s">
        <v>1109</v>
      </c>
      <c r="F351">
        <v>0.30347222222222214</v>
      </c>
      <c r="G351" t="s">
        <v>1380</v>
      </c>
    </row>
    <row r="352" spans="1:7" x14ac:dyDescent="0.25">
      <c r="E352" t="s">
        <v>1111</v>
      </c>
      <c r="F352">
        <v>0.30347222222222214</v>
      </c>
      <c r="G352" t="s">
        <v>1381</v>
      </c>
    </row>
    <row r="353" spans="5:7" x14ac:dyDescent="0.25">
      <c r="E353" t="s">
        <v>1113</v>
      </c>
      <c r="F353">
        <v>0.32013888888888897</v>
      </c>
      <c r="G353" t="s">
        <v>1382</v>
      </c>
    </row>
    <row r="354" spans="5:7" x14ac:dyDescent="0.25">
      <c r="E354" t="s">
        <v>1115</v>
      </c>
      <c r="F354">
        <v>0.44305555555555554</v>
      </c>
      <c r="G354" t="s">
        <v>1383</v>
      </c>
    </row>
    <row r="355" spans="5:7" x14ac:dyDescent="0.25">
      <c r="E355" t="s">
        <v>1117</v>
      </c>
      <c r="F355">
        <v>0</v>
      </c>
    </row>
    <row r="356" spans="5:7" x14ac:dyDescent="0.25">
      <c r="E356" t="s">
        <v>1119</v>
      </c>
      <c r="F356">
        <v>0.13472222222222219</v>
      </c>
      <c r="G356" t="s">
        <v>1384</v>
      </c>
    </row>
    <row r="357" spans="5:7" x14ac:dyDescent="0.25">
      <c r="E357" t="s">
        <v>1121</v>
      </c>
      <c r="F357">
        <v>0</v>
      </c>
    </row>
    <row r="358" spans="5:7" x14ac:dyDescent="0.25">
      <c r="E358" t="s">
        <v>1122</v>
      </c>
      <c r="F358">
        <v>0.32291666666666674</v>
      </c>
      <c r="G358" t="s">
        <v>1385</v>
      </c>
    </row>
    <row r="359" spans="5:7" x14ac:dyDescent="0.25">
      <c r="E359" t="s">
        <v>1124</v>
      </c>
      <c r="F359">
        <v>0.42430555555555549</v>
      </c>
      <c r="G359" t="s">
        <v>1386</v>
      </c>
    </row>
    <row r="360" spans="5:7" x14ac:dyDescent="0.25">
      <c r="E360" t="s">
        <v>1126</v>
      </c>
      <c r="F360">
        <v>0.38888888888888884</v>
      </c>
      <c r="G360" t="s">
        <v>1387</v>
      </c>
    </row>
    <row r="361" spans="5:7" x14ac:dyDescent="0.25">
      <c r="E361" t="s">
        <v>1128</v>
      </c>
      <c r="F361">
        <v>0.41527777777777786</v>
      </c>
      <c r="G361" t="s">
        <v>1388</v>
      </c>
    </row>
    <row r="362" spans="5:7" x14ac:dyDescent="0.25">
      <c r="E362" t="s">
        <v>1130</v>
      </c>
      <c r="F362">
        <v>0.43055555555555558</v>
      </c>
      <c r="G362" t="s">
        <v>1389</v>
      </c>
    </row>
    <row r="363" spans="5:7" x14ac:dyDescent="0.25">
      <c r="E363" t="s">
        <v>1132</v>
      </c>
      <c r="F363">
        <v>0</v>
      </c>
    </row>
    <row r="364" spans="5:7" x14ac:dyDescent="0.25">
      <c r="E364" t="s">
        <v>1134</v>
      </c>
      <c r="F364">
        <v>0</v>
      </c>
    </row>
    <row r="365" spans="5:7" x14ac:dyDescent="0.25">
      <c r="E365" t="s">
        <v>1135</v>
      </c>
      <c r="F365">
        <v>0.4145833333333333</v>
      </c>
      <c r="G365" t="s">
        <v>1390</v>
      </c>
    </row>
    <row r="366" spans="5:7" x14ac:dyDescent="0.25">
      <c r="E366" t="s">
        <v>1137</v>
      </c>
      <c r="F366">
        <v>0.45347222222222228</v>
      </c>
      <c r="G366" t="s">
        <v>1391</v>
      </c>
    </row>
    <row r="367" spans="5:7" x14ac:dyDescent="0.25">
      <c r="E367" t="s">
        <v>1139</v>
      </c>
      <c r="F367">
        <v>0.43055555555555558</v>
      </c>
      <c r="G367" t="s">
        <v>1392</v>
      </c>
    </row>
    <row r="368" spans="5:7" x14ac:dyDescent="0.25">
      <c r="E368" t="s">
        <v>1141</v>
      </c>
      <c r="F368">
        <v>0.38680555555555562</v>
      </c>
      <c r="G368" t="s">
        <v>1393</v>
      </c>
    </row>
    <row r="369" spans="1:7" x14ac:dyDescent="0.25">
      <c r="E369" t="s">
        <v>1143</v>
      </c>
      <c r="F369">
        <v>0.35069444444444442</v>
      </c>
      <c r="G369" t="s">
        <v>1394</v>
      </c>
    </row>
    <row r="370" spans="1:7" x14ac:dyDescent="0.25">
      <c r="E370" t="s">
        <v>1145</v>
      </c>
      <c r="F370">
        <v>0</v>
      </c>
    </row>
    <row r="371" spans="1:7" x14ac:dyDescent="0.25">
      <c r="E371" t="s">
        <v>1146</v>
      </c>
      <c r="F371">
        <v>0</v>
      </c>
    </row>
    <row r="372" spans="1:7" x14ac:dyDescent="0.25">
      <c r="E372" t="s">
        <v>1147</v>
      </c>
      <c r="F372">
        <v>0.45138888888888884</v>
      </c>
      <c r="G372" t="s">
        <v>1395</v>
      </c>
    </row>
    <row r="373" spans="1:7" x14ac:dyDescent="0.25">
      <c r="E373" t="s">
        <v>1149</v>
      </c>
      <c r="F373">
        <v>5.9743055555555555</v>
      </c>
      <c r="G373" t="s">
        <v>1150</v>
      </c>
    </row>
    <row r="374" spans="1:7" x14ac:dyDescent="0.25">
      <c r="A374">
        <v>29</v>
      </c>
      <c r="B374" t="s">
        <v>1396</v>
      </c>
      <c r="C374" t="s">
        <v>1397</v>
      </c>
      <c r="D374" t="s">
        <v>1398</v>
      </c>
      <c r="E374" t="s">
        <v>1098</v>
      </c>
      <c r="F374">
        <v>0</v>
      </c>
    </row>
    <row r="375" spans="1:7" x14ac:dyDescent="0.25">
      <c r="E375" t="s">
        <v>1099</v>
      </c>
      <c r="F375">
        <v>0.3076388888888888</v>
      </c>
      <c r="G375" t="s">
        <v>1399</v>
      </c>
    </row>
    <row r="376" spans="1:7" x14ac:dyDescent="0.25">
      <c r="E376" t="s">
        <v>1100</v>
      </c>
      <c r="F376">
        <v>0.32916666666666661</v>
      </c>
      <c r="G376" t="s">
        <v>1400</v>
      </c>
    </row>
    <row r="377" spans="1:7" x14ac:dyDescent="0.25">
      <c r="E377" t="s">
        <v>1101</v>
      </c>
      <c r="F377">
        <v>0.2895833333333333</v>
      </c>
      <c r="G377" t="s">
        <v>1401</v>
      </c>
    </row>
    <row r="378" spans="1:7" x14ac:dyDescent="0.25">
      <c r="E378" t="s">
        <v>1102</v>
      </c>
      <c r="F378">
        <v>0.30138888888888893</v>
      </c>
      <c r="G378" t="s">
        <v>1402</v>
      </c>
    </row>
    <row r="379" spans="1:7" x14ac:dyDescent="0.25">
      <c r="E379" t="s">
        <v>1104</v>
      </c>
      <c r="F379">
        <v>0.31597222222222232</v>
      </c>
      <c r="G379" t="s">
        <v>1403</v>
      </c>
    </row>
    <row r="380" spans="1:7" x14ac:dyDescent="0.25">
      <c r="E380" t="s">
        <v>1106</v>
      </c>
      <c r="F380">
        <v>0</v>
      </c>
    </row>
    <row r="381" spans="1:7" x14ac:dyDescent="0.25">
      <c r="E381" t="s">
        <v>1108</v>
      </c>
      <c r="F381">
        <v>0</v>
      </c>
    </row>
    <row r="382" spans="1:7" x14ac:dyDescent="0.25">
      <c r="E382" t="s">
        <v>1109</v>
      </c>
      <c r="F382">
        <v>0.30277777777777781</v>
      </c>
      <c r="G382" t="s">
        <v>1404</v>
      </c>
    </row>
    <row r="383" spans="1:7" x14ac:dyDescent="0.25">
      <c r="E383" t="s">
        <v>1111</v>
      </c>
      <c r="F383">
        <v>0.29236111111111107</v>
      </c>
      <c r="G383" t="s">
        <v>1405</v>
      </c>
    </row>
    <row r="384" spans="1:7" x14ac:dyDescent="0.25">
      <c r="E384" t="s">
        <v>1113</v>
      </c>
      <c r="F384">
        <v>0.30486111111111103</v>
      </c>
      <c r="G384" t="s">
        <v>1406</v>
      </c>
    </row>
    <row r="385" spans="5:7" x14ac:dyDescent="0.25">
      <c r="E385" t="s">
        <v>1115</v>
      </c>
      <c r="F385">
        <v>0.3076388888888888</v>
      </c>
      <c r="G385" t="s">
        <v>1407</v>
      </c>
    </row>
    <row r="386" spans="5:7" x14ac:dyDescent="0.25">
      <c r="E386" t="s">
        <v>1117</v>
      </c>
      <c r="F386">
        <v>0.35069444444444442</v>
      </c>
      <c r="G386" t="s">
        <v>1408</v>
      </c>
    </row>
    <row r="387" spans="5:7" x14ac:dyDescent="0.25">
      <c r="E387" t="s">
        <v>1119</v>
      </c>
      <c r="F387">
        <v>0.22847222222222219</v>
      </c>
      <c r="G387" t="s">
        <v>1409</v>
      </c>
    </row>
    <row r="388" spans="5:7" x14ac:dyDescent="0.25">
      <c r="E388" t="s">
        <v>1121</v>
      </c>
      <c r="F388">
        <v>0</v>
      </c>
    </row>
    <row r="389" spans="5:7" x14ac:dyDescent="0.25">
      <c r="E389" t="s">
        <v>1122</v>
      </c>
      <c r="F389">
        <v>0.20208333333333339</v>
      </c>
      <c r="G389" t="s">
        <v>1410</v>
      </c>
    </row>
    <row r="390" spans="5:7" x14ac:dyDescent="0.25">
      <c r="E390" t="s">
        <v>1124</v>
      </c>
      <c r="F390">
        <v>0.30902777777777768</v>
      </c>
      <c r="G390" t="s">
        <v>1411</v>
      </c>
    </row>
    <row r="391" spans="5:7" x14ac:dyDescent="0.25">
      <c r="E391" t="s">
        <v>1126</v>
      </c>
      <c r="F391">
        <v>0.30624999999999991</v>
      </c>
      <c r="G391" t="s">
        <v>1412</v>
      </c>
    </row>
    <row r="392" spans="5:7" x14ac:dyDescent="0.25">
      <c r="E392" t="s">
        <v>1128</v>
      </c>
      <c r="F392">
        <v>0.32499999999999996</v>
      </c>
      <c r="G392" t="s">
        <v>1413</v>
      </c>
    </row>
    <row r="393" spans="5:7" x14ac:dyDescent="0.25">
      <c r="E393" t="s">
        <v>1130</v>
      </c>
      <c r="F393">
        <v>0.3041666666666667</v>
      </c>
      <c r="G393" t="s">
        <v>1414</v>
      </c>
    </row>
    <row r="394" spans="5:7" x14ac:dyDescent="0.25">
      <c r="E394" t="s">
        <v>1132</v>
      </c>
      <c r="F394">
        <v>0.22291666666666665</v>
      </c>
      <c r="G394" t="s">
        <v>1415</v>
      </c>
    </row>
    <row r="395" spans="5:7" x14ac:dyDescent="0.25">
      <c r="E395" t="s">
        <v>1134</v>
      </c>
      <c r="F395">
        <v>0</v>
      </c>
    </row>
    <row r="396" spans="5:7" x14ac:dyDescent="0.25">
      <c r="E396" t="s">
        <v>1135</v>
      </c>
      <c r="F396">
        <v>0.30833333333333335</v>
      </c>
      <c r="G396" t="s">
        <v>1416</v>
      </c>
    </row>
    <row r="397" spans="5:7" x14ac:dyDescent="0.25">
      <c r="E397" t="s">
        <v>1137</v>
      </c>
      <c r="F397">
        <v>0.35138888888888897</v>
      </c>
      <c r="G397" t="s">
        <v>1417</v>
      </c>
    </row>
    <row r="398" spans="5:7" x14ac:dyDescent="0.25">
      <c r="E398" t="s">
        <v>1139</v>
      </c>
      <c r="F398">
        <v>0.34236111111111112</v>
      </c>
      <c r="G398" t="s">
        <v>1418</v>
      </c>
    </row>
    <row r="399" spans="5:7" x14ac:dyDescent="0.25">
      <c r="E399" t="s">
        <v>1141</v>
      </c>
      <c r="F399">
        <v>0.35555555555555562</v>
      </c>
      <c r="G399" t="s">
        <v>1419</v>
      </c>
    </row>
    <row r="400" spans="5:7" x14ac:dyDescent="0.25">
      <c r="E400" t="s">
        <v>1143</v>
      </c>
      <c r="F400">
        <v>0.3798611111111112</v>
      </c>
      <c r="G400" t="s">
        <v>1420</v>
      </c>
    </row>
    <row r="401" spans="1:7" x14ac:dyDescent="0.25">
      <c r="E401" t="s">
        <v>1145</v>
      </c>
      <c r="F401">
        <v>0</v>
      </c>
    </row>
    <row r="402" spans="1:7" x14ac:dyDescent="0.25">
      <c r="E402" t="s">
        <v>1146</v>
      </c>
      <c r="F402">
        <v>0</v>
      </c>
    </row>
    <row r="403" spans="1:7" x14ac:dyDescent="0.25">
      <c r="E403" t="s">
        <v>1147</v>
      </c>
      <c r="F403">
        <v>0.33749999999999991</v>
      </c>
      <c r="G403" t="s">
        <v>1421</v>
      </c>
    </row>
    <row r="404" spans="1:7" x14ac:dyDescent="0.25">
      <c r="E404" t="s">
        <v>1149</v>
      </c>
      <c r="F404">
        <v>7.0749999999999993</v>
      </c>
      <c r="G404" t="s">
        <v>1150</v>
      </c>
    </row>
    <row r="405" spans="1:7" x14ac:dyDescent="0.25">
      <c r="A405">
        <v>52</v>
      </c>
      <c r="B405" t="s">
        <v>1422</v>
      </c>
      <c r="C405" t="s">
        <v>571</v>
      </c>
      <c r="D405" t="s">
        <v>247</v>
      </c>
      <c r="E405" t="s">
        <v>1098</v>
      </c>
      <c r="F405">
        <v>0</v>
      </c>
    </row>
    <row r="406" spans="1:7" x14ac:dyDescent="0.25">
      <c r="E406" t="s">
        <v>1099</v>
      </c>
      <c r="F406">
        <v>0.29791666666666661</v>
      </c>
      <c r="G406" t="s">
        <v>1423</v>
      </c>
    </row>
    <row r="407" spans="1:7" x14ac:dyDescent="0.25">
      <c r="E407" t="s">
        <v>1100</v>
      </c>
      <c r="F407">
        <v>0.32777777777777772</v>
      </c>
      <c r="G407" t="s">
        <v>1424</v>
      </c>
    </row>
    <row r="408" spans="1:7" x14ac:dyDescent="0.25">
      <c r="E408" t="s">
        <v>1101</v>
      </c>
      <c r="F408">
        <v>0.29305555555555562</v>
      </c>
      <c r="G408" t="s">
        <v>1425</v>
      </c>
    </row>
    <row r="409" spans="1:7" x14ac:dyDescent="0.25">
      <c r="E409" t="s">
        <v>1102</v>
      </c>
      <c r="F409">
        <v>0.29374999999999996</v>
      </c>
      <c r="G409" t="s">
        <v>1426</v>
      </c>
    </row>
    <row r="410" spans="1:7" x14ac:dyDescent="0.25">
      <c r="E410" t="s">
        <v>1104</v>
      </c>
      <c r="F410">
        <v>0.3076388888888888</v>
      </c>
      <c r="G410" t="s">
        <v>1427</v>
      </c>
    </row>
    <row r="411" spans="1:7" x14ac:dyDescent="0.25">
      <c r="E411" t="s">
        <v>1106</v>
      </c>
      <c r="F411">
        <v>0.20625000000000004</v>
      </c>
      <c r="G411" t="s">
        <v>1428</v>
      </c>
    </row>
    <row r="412" spans="1:7" x14ac:dyDescent="0.25">
      <c r="E412" t="s">
        <v>1108</v>
      </c>
      <c r="F412">
        <v>0</v>
      </c>
    </row>
    <row r="413" spans="1:7" x14ac:dyDescent="0.25">
      <c r="E413" t="s">
        <v>1109</v>
      </c>
      <c r="F413">
        <v>0.27499999999999991</v>
      </c>
      <c r="G413" t="s">
        <v>1429</v>
      </c>
    </row>
    <row r="414" spans="1:7" x14ac:dyDescent="0.25">
      <c r="E414" t="s">
        <v>1111</v>
      </c>
      <c r="F414">
        <v>0.29513888888888884</v>
      </c>
      <c r="G414" t="s">
        <v>1430</v>
      </c>
    </row>
    <row r="415" spans="1:7" x14ac:dyDescent="0.25">
      <c r="E415" t="s">
        <v>1113</v>
      </c>
      <c r="F415">
        <v>0.32430555555555562</v>
      </c>
      <c r="G415" t="s">
        <v>1431</v>
      </c>
    </row>
    <row r="416" spans="1:7" x14ac:dyDescent="0.25">
      <c r="E416" t="s">
        <v>1115</v>
      </c>
      <c r="F416">
        <v>0.28888888888888897</v>
      </c>
      <c r="G416" t="s">
        <v>1432</v>
      </c>
    </row>
    <row r="417" spans="5:7" x14ac:dyDescent="0.25">
      <c r="E417" t="s">
        <v>1117</v>
      </c>
      <c r="F417">
        <v>0.33402777777777781</v>
      </c>
      <c r="G417" t="s">
        <v>1433</v>
      </c>
    </row>
    <row r="418" spans="5:7" x14ac:dyDescent="0.25">
      <c r="E418" t="s">
        <v>1119</v>
      </c>
      <c r="F418">
        <v>0.44305555555555554</v>
      </c>
      <c r="G418" t="s">
        <v>1434</v>
      </c>
    </row>
    <row r="419" spans="5:7" x14ac:dyDescent="0.25">
      <c r="E419" t="s">
        <v>1121</v>
      </c>
      <c r="F419">
        <v>0</v>
      </c>
    </row>
    <row r="420" spans="5:7" x14ac:dyDescent="0.25">
      <c r="E420" t="s">
        <v>1122</v>
      </c>
      <c r="F420">
        <v>0.30138888888888893</v>
      </c>
      <c r="G420" t="s">
        <v>1435</v>
      </c>
    </row>
    <row r="421" spans="5:7" x14ac:dyDescent="0.25">
      <c r="E421" t="s">
        <v>1124</v>
      </c>
      <c r="F421">
        <v>0.4013888888888888</v>
      </c>
      <c r="G421" t="s">
        <v>1436</v>
      </c>
    </row>
    <row r="422" spans="5:7" x14ac:dyDescent="0.25">
      <c r="E422" t="s">
        <v>1126</v>
      </c>
      <c r="F422">
        <v>7.2222222222222188E-2</v>
      </c>
      <c r="G422" t="s">
        <v>1437</v>
      </c>
    </row>
    <row r="423" spans="5:7" x14ac:dyDescent="0.25">
      <c r="E423" t="s">
        <v>1128</v>
      </c>
      <c r="F423">
        <v>0.33055555555555549</v>
      </c>
      <c r="G423" t="s">
        <v>1438</v>
      </c>
    </row>
    <row r="424" spans="5:7" x14ac:dyDescent="0.25">
      <c r="E424" t="s">
        <v>1130</v>
      </c>
      <c r="F424">
        <v>0.29097222222222219</v>
      </c>
      <c r="G424" t="s">
        <v>1439</v>
      </c>
    </row>
    <row r="425" spans="5:7" x14ac:dyDescent="0.25">
      <c r="E425" t="s">
        <v>1132</v>
      </c>
      <c r="F425">
        <v>0.21111111111111103</v>
      </c>
      <c r="G425" t="s">
        <v>1440</v>
      </c>
    </row>
    <row r="426" spans="5:7" x14ac:dyDescent="0.25">
      <c r="E426" t="s">
        <v>1134</v>
      </c>
      <c r="F426">
        <v>0</v>
      </c>
    </row>
    <row r="427" spans="5:7" x14ac:dyDescent="0.25">
      <c r="E427" t="s">
        <v>1135</v>
      </c>
      <c r="F427">
        <v>0.29166666666666674</v>
      </c>
      <c r="G427" t="s">
        <v>1441</v>
      </c>
    </row>
    <row r="428" spans="5:7" x14ac:dyDescent="0.25">
      <c r="E428" t="s">
        <v>1137</v>
      </c>
      <c r="F428">
        <v>0.33472222222222214</v>
      </c>
      <c r="G428" t="s">
        <v>1442</v>
      </c>
    </row>
    <row r="429" spans="5:7" x14ac:dyDescent="0.25">
      <c r="E429" t="s">
        <v>1139</v>
      </c>
      <c r="F429">
        <v>0.34027777777777768</v>
      </c>
      <c r="G429" t="s">
        <v>1443</v>
      </c>
    </row>
    <row r="430" spans="5:7" x14ac:dyDescent="0.25">
      <c r="E430" t="s">
        <v>1141</v>
      </c>
      <c r="F430">
        <v>0.36736111111111103</v>
      </c>
      <c r="G430" t="s">
        <v>1444</v>
      </c>
    </row>
    <row r="431" spans="5:7" x14ac:dyDescent="0.25">
      <c r="E431" t="s">
        <v>1143</v>
      </c>
      <c r="F431">
        <v>0.17986111111111103</v>
      </c>
      <c r="G431" t="s">
        <v>1445</v>
      </c>
    </row>
    <row r="432" spans="5:7" x14ac:dyDescent="0.25">
      <c r="E432" t="s">
        <v>1145</v>
      </c>
      <c r="F432">
        <v>0</v>
      </c>
    </row>
    <row r="433" spans="1:7" x14ac:dyDescent="0.25">
      <c r="E433" t="s">
        <v>1146</v>
      </c>
      <c r="F433">
        <v>0</v>
      </c>
    </row>
    <row r="434" spans="1:7" x14ac:dyDescent="0.25">
      <c r="E434" t="s">
        <v>1147</v>
      </c>
      <c r="F434">
        <v>0.32291666666666674</v>
      </c>
      <c r="G434" t="s">
        <v>1446</v>
      </c>
    </row>
    <row r="435" spans="1:7" x14ac:dyDescent="0.25">
      <c r="E435" t="s">
        <v>1149</v>
      </c>
      <c r="F435">
        <v>7.1312499999999996</v>
      </c>
      <c r="G435" t="s">
        <v>1150</v>
      </c>
    </row>
    <row r="436" spans="1:7" x14ac:dyDescent="0.25">
      <c r="A436">
        <v>46</v>
      </c>
      <c r="B436" t="s">
        <v>1447</v>
      </c>
      <c r="C436" t="s">
        <v>1448</v>
      </c>
      <c r="D436" t="s">
        <v>1449</v>
      </c>
      <c r="E436" t="s">
        <v>1098</v>
      </c>
      <c r="F436">
        <v>0</v>
      </c>
    </row>
    <row r="437" spans="1:7" x14ac:dyDescent="0.25">
      <c r="E437" t="s">
        <v>1099</v>
      </c>
      <c r="F437">
        <v>0</v>
      </c>
    </row>
    <row r="438" spans="1:7" x14ac:dyDescent="0.25">
      <c r="E438" t="s">
        <v>1100</v>
      </c>
      <c r="F438">
        <v>0.34930555555555554</v>
      </c>
      <c r="G438" t="s">
        <v>1450</v>
      </c>
    </row>
    <row r="439" spans="1:7" x14ac:dyDescent="0.25">
      <c r="E439" t="s">
        <v>1101</v>
      </c>
      <c r="F439">
        <v>0.22986111111111107</v>
      </c>
      <c r="G439" t="s">
        <v>1451</v>
      </c>
    </row>
    <row r="440" spans="1:7" x14ac:dyDescent="0.25">
      <c r="E440" t="s">
        <v>1102</v>
      </c>
      <c r="F440">
        <v>0.32152777777777786</v>
      </c>
      <c r="G440" t="s">
        <v>1452</v>
      </c>
    </row>
    <row r="441" spans="1:7" x14ac:dyDescent="0.25">
      <c r="E441" t="s">
        <v>1104</v>
      </c>
      <c r="F441">
        <v>0.31458333333333344</v>
      </c>
      <c r="G441" t="s">
        <v>1453</v>
      </c>
    </row>
    <row r="442" spans="1:7" x14ac:dyDescent="0.25">
      <c r="E442" t="s">
        <v>1106</v>
      </c>
      <c r="F442">
        <v>0</v>
      </c>
    </row>
    <row r="443" spans="1:7" x14ac:dyDescent="0.25">
      <c r="E443" t="s">
        <v>1108</v>
      </c>
      <c r="F443">
        <v>0</v>
      </c>
    </row>
    <row r="444" spans="1:7" x14ac:dyDescent="0.25">
      <c r="E444" t="s">
        <v>1109</v>
      </c>
      <c r="F444">
        <v>0.29374999999999996</v>
      </c>
      <c r="G444" t="s">
        <v>1454</v>
      </c>
    </row>
    <row r="445" spans="1:7" x14ac:dyDescent="0.25">
      <c r="E445" t="s">
        <v>1111</v>
      </c>
      <c r="F445">
        <v>0.32777777777777772</v>
      </c>
      <c r="G445" t="s">
        <v>1455</v>
      </c>
    </row>
    <row r="446" spans="1:7" x14ac:dyDescent="0.25">
      <c r="E446" t="s">
        <v>1113</v>
      </c>
      <c r="F446">
        <v>0</v>
      </c>
    </row>
    <row r="447" spans="1:7" x14ac:dyDescent="0.25">
      <c r="E447" t="s">
        <v>1115</v>
      </c>
      <c r="F447">
        <v>0</v>
      </c>
    </row>
    <row r="448" spans="1:7" x14ac:dyDescent="0.25">
      <c r="E448" t="s">
        <v>1117</v>
      </c>
      <c r="F448">
        <v>0</v>
      </c>
    </row>
    <row r="449" spans="5:6" x14ac:dyDescent="0.25">
      <c r="E449" t="s">
        <v>1119</v>
      </c>
      <c r="F449">
        <v>0</v>
      </c>
    </row>
    <row r="450" spans="5:6" x14ac:dyDescent="0.25">
      <c r="E450" t="s">
        <v>1121</v>
      </c>
      <c r="F450">
        <v>0</v>
      </c>
    </row>
    <row r="451" spans="5:6" x14ac:dyDescent="0.25">
      <c r="E451" t="s">
        <v>1122</v>
      </c>
      <c r="F451">
        <v>0</v>
      </c>
    </row>
    <row r="452" spans="5:6" x14ac:dyDescent="0.25">
      <c r="E452" t="s">
        <v>1124</v>
      </c>
      <c r="F452">
        <v>0</v>
      </c>
    </row>
    <row r="453" spans="5:6" x14ac:dyDescent="0.25">
      <c r="E453" t="s">
        <v>1126</v>
      </c>
      <c r="F453">
        <v>0</v>
      </c>
    </row>
    <row r="454" spans="5:6" x14ac:dyDescent="0.25">
      <c r="E454" t="s">
        <v>1128</v>
      </c>
      <c r="F454">
        <v>0</v>
      </c>
    </row>
    <row r="455" spans="5:6" x14ac:dyDescent="0.25">
      <c r="E455" t="s">
        <v>1130</v>
      </c>
      <c r="F455">
        <v>0</v>
      </c>
    </row>
    <row r="456" spans="5:6" x14ac:dyDescent="0.25">
      <c r="E456" t="s">
        <v>1132</v>
      </c>
      <c r="F456">
        <v>0</v>
      </c>
    </row>
    <row r="457" spans="5:6" x14ac:dyDescent="0.25">
      <c r="E457" t="s">
        <v>1134</v>
      </c>
      <c r="F457">
        <v>0</v>
      </c>
    </row>
    <row r="458" spans="5:6" x14ac:dyDescent="0.25">
      <c r="E458" t="s">
        <v>1135</v>
      </c>
      <c r="F458">
        <v>0</v>
      </c>
    </row>
    <row r="459" spans="5:6" x14ac:dyDescent="0.25">
      <c r="E459" t="s">
        <v>1137</v>
      </c>
      <c r="F459">
        <v>0</v>
      </c>
    </row>
    <row r="460" spans="5:6" x14ac:dyDescent="0.25">
      <c r="E460" t="s">
        <v>1139</v>
      </c>
      <c r="F460">
        <v>0</v>
      </c>
    </row>
    <row r="461" spans="5:6" x14ac:dyDescent="0.25">
      <c r="E461" t="s">
        <v>1141</v>
      </c>
      <c r="F461">
        <v>0</v>
      </c>
    </row>
    <row r="462" spans="5:6" x14ac:dyDescent="0.25">
      <c r="E462" t="s">
        <v>1143</v>
      </c>
      <c r="F462">
        <v>0</v>
      </c>
    </row>
    <row r="463" spans="5:6" x14ac:dyDescent="0.25">
      <c r="E463" t="s">
        <v>1145</v>
      </c>
      <c r="F463">
        <v>0</v>
      </c>
    </row>
    <row r="464" spans="5:6" x14ac:dyDescent="0.25">
      <c r="E464" t="s">
        <v>1146</v>
      </c>
      <c r="F464">
        <v>0</v>
      </c>
    </row>
    <row r="465" spans="1:7" x14ac:dyDescent="0.25">
      <c r="E465" t="s">
        <v>1147</v>
      </c>
      <c r="F465">
        <v>0</v>
      </c>
    </row>
    <row r="466" spans="1:7" x14ac:dyDescent="0.25">
      <c r="E466" t="s">
        <v>1149</v>
      </c>
      <c r="F466">
        <v>1.8368055555555554</v>
      </c>
      <c r="G466" t="s">
        <v>1150</v>
      </c>
    </row>
    <row r="467" spans="1:7" x14ac:dyDescent="0.25">
      <c r="A467">
        <v>80</v>
      </c>
      <c r="B467" t="s">
        <v>659</v>
      </c>
      <c r="C467" t="s">
        <v>660</v>
      </c>
      <c r="D467" t="s">
        <v>1456</v>
      </c>
      <c r="E467" t="s">
        <v>1098</v>
      </c>
      <c r="F467">
        <v>0</v>
      </c>
    </row>
    <row r="468" spans="1:7" x14ac:dyDescent="0.25">
      <c r="E468" t="s">
        <v>1099</v>
      </c>
      <c r="F468">
        <v>0.4013888888888888</v>
      </c>
      <c r="G468" t="s">
        <v>1457</v>
      </c>
    </row>
    <row r="469" spans="1:7" x14ac:dyDescent="0.25">
      <c r="E469" t="s">
        <v>1100</v>
      </c>
      <c r="F469">
        <v>9.7916666666666652E-2</v>
      </c>
      <c r="G469" t="s">
        <v>1458</v>
      </c>
    </row>
    <row r="470" spans="1:7" x14ac:dyDescent="0.25">
      <c r="E470" t="s">
        <v>1101</v>
      </c>
      <c r="F470">
        <v>0.29791666666666661</v>
      </c>
      <c r="G470" t="s">
        <v>1459</v>
      </c>
    </row>
    <row r="471" spans="1:7" x14ac:dyDescent="0.25">
      <c r="E471" t="s">
        <v>1102</v>
      </c>
      <c r="F471">
        <v>0.30138888888888893</v>
      </c>
      <c r="G471" t="s">
        <v>1460</v>
      </c>
    </row>
    <row r="472" spans="1:7" x14ac:dyDescent="0.25">
      <c r="E472" t="s">
        <v>1104</v>
      </c>
      <c r="F472">
        <v>0.30833333333333335</v>
      </c>
      <c r="G472" t="s">
        <v>1461</v>
      </c>
    </row>
    <row r="473" spans="1:7" x14ac:dyDescent="0.25">
      <c r="E473" t="s">
        <v>1106</v>
      </c>
      <c r="F473">
        <v>0.43819444444444455</v>
      </c>
      <c r="G473" t="s">
        <v>1462</v>
      </c>
    </row>
    <row r="474" spans="1:7" x14ac:dyDescent="0.25">
      <c r="E474" t="s">
        <v>1108</v>
      </c>
      <c r="F474">
        <v>0</v>
      </c>
    </row>
    <row r="475" spans="1:7" x14ac:dyDescent="0.25">
      <c r="E475" t="s">
        <v>1109</v>
      </c>
      <c r="F475">
        <v>0.29583333333333339</v>
      </c>
      <c r="G475" t="s">
        <v>1463</v>
      </c>
    </row>
    <row r="476" spans="1:7" x14ac:dyDescent="0.25">
      <c r="E476" t="s">
        <v>1111</v>
      </c>
      <c r="F476">
        <v>0</v>
      </c>
    </row>
    <row r="477" spans="1:7" x14ac:dyDescent="0.25">
      <c r="E477" t="s">
        <v>1113</v>
      </c>
      <c r="F477">
        <v>0.30347222222222214</v>
      </c>
      <c r="G477" t="s">
        <v>1464</v>
      </c>
    </row>
    <row r="478" spans="1:7" x14ac:dyDescent="0.25">
      <c r="E478" t="s">
        <v>1115</v>
      </c>
      <c r="F478">
        <v>0.31388888888888888</v>
      </c>
      <c r="G478" t="s">
        <v>1465</v>
      </c>
    </row>
    <row r="479" spans="1:7" x14ac:dyDescent="0.25">
      <c r="E479" t="s">
        <v>1117</v>
      </c>
      <c r="F479">
        <v>0.33055555555555549</v>
      </c>
      <c r="G479" t="s">
        <v>1466</v>
      </c>
    </row>
    <row r="480" spans="1:7" x14ac:dyDescent="0.25">
      <c r="E480" t="s">
        <v>1119</v>
      </c>
      <c r="F480">
        <v>0</v>
      </c>
    </row>
    <row r="481" spans="5:7" x14ac:dyDescent="0.25">
      <c r="E481" t="s">
        <v>1121</v>
      </c>
      <c r="F481">
        <v>0</v>
      </c>
    </row>
    <row r="482" spans="5:7" x14ac:dyDescent="0.25">
      <c r="E482" t="s">
        <v>1122</v>
      </c>
      <c r="F482">
        <v>0.2861111111111112</v>
      </c>
      <c r="G482" t="s">
        <v>1467</v>
      </c>
    </row>
    <row r="483" spans="5:7" x14ac:dyDescent="0.25">
      <c r="E483" t="s">
        <v>1124</v>
      </c>
      <c r="F483">
        <v>0.3076388888888888</v>
      </c>
      <c r="G483" t="s">
        <v>1468</v>
      </c>
    </row>
    <row r="484" spans="5:7" x14ac:dyDescent="0.25">
      <c r="E484" t="s">
        <v>1126</v>
      </c>
      <c r="F484">
        <v>0.28333333333333344</v>
      </c>
      <c r="G484" t="s">
        <v>1469</v>
      </c>
    </row>
    <row r="485" spans="5:7" x14ac:dyDescent="0.25">
      <c r="E485" t="s">
        <v>1128</v>
      </c>
      <c r="F485">
        <v>0</v>
      </c>
    </row>
    <row r="486" spans="5:7" x14ac:dyDescent="0.25">
      <c r="E486" t="s">
        <v>1130</v>
      </c>
      <c r="F486">
        <v>0.30277777777777781</v>
      </c>
      <c r="G486" t="s">
        <v>1470</v>
      </c>
    </row>
    <row r="487" spans="5:7" x14ac:dyDescent="0.25">
      <c r="E487" t="s">
        <v>1132</v>
      </c>
      <c r="F487">
        <v>0.21597222222222223</v>
      </c>
      <c r="G487" t="s">
        <v>1471</v>
      </c>
    </row>
    <row r="488" spans="5:7" x14ac:dyDescent="0.25">
      <c r="E488" t="s">
        <v>1134</v>
      </c>
      <c r="F488">
        <v>0</v>
      </c>
    </row>
    <row r="489" spans="5:7" x14ac:dyDescent="0.25">
      <c r="E489" t="s">
        <v>1135</v>
      </c>
      <c r="F489">
        <v>0</v>
      </c>
    </row>
    <row r="490" spans="5:7" x14ac:dyDescent="0.25">
      <c r="E490" t="s">
        <v>1137</v>
      </c>
      <c r="F490">
        <v>0</v>
      </c>
    </row>
    <row r="491" spans="5:7" x14ac:dyDescent="0.25">
      <c r="E491" t="s">
        <v>1139</v>
      </c>
      <c r="F491">
        <v>0.34027777777777768</v>
      </c>
      <c r="G491" t="s">
        <v>1472</v>
      </c>
    </row>
    <row r="492" spans="5:7" x14ac:dyDescent="0.25">
      <c r="E492" t="s">
        <v>1141</v>
      </c>
      <c r="F492">
        <v>0.34097222222222223</v>
      </c>
      <c r="G492" t="s">
        <v>1473</v>
      </c>
    </row>
    <row r="493" spans="5:7" x14ac:dyDescent="0.25">
      <c r="E493" t="s">
        <v>1143</v>
      </c>
      <c r="F493">
        <v>0.17361111111111116</v>
      </c>
      <c r="G493" t="s">
        <v>1474</v>
      </c>
    </row>
    <row r="494" spans="5:7" x14ac:dyDescent="0.25">
      <c r="E494" t="s">
        <v>1145</v>
      </c>
      <c r="F494">
        <v>0</v>
      </c>
    </row>
    <row r="495" spans="5:7" x14ac:dyDescent="0.25">
      <c r="E495" t="s">
        <v>1146</v>
      </c>
      <c r="F495">
        <v>0</v>
      </c>
    </row>
    <row r="496" spans="5:7" x14ac:dyDescent="0.25">
      <c r="E496" t="s">
        <v>1147</v>
      </c>
      <c r="F496">
        <v>0.33749999999999991</v>
      </c>
      <c r="G496" t="s">
        <v>1475</v>
      </c>
    </row>
    <row r="497" spans="1:7" x14ac:dyDescent="0.25">
      <c r="E497" t="s">
        <v>1149</v>
      </c>
      <c r="F497">
        <v>5.677083333333333</v>
      </c>
      <c r="G497" t="s">
        <v>1150</v>
      </c>
    </row>
    <row r="498" spans="1:7" x14ac:dyDescent="0.25">
      <c r="A498">
        <v>20</v>
      </c>
      <c r="B498" t="s">
        <v>1476</v>
      </c>
      <c r="C498" t="s">
        <v>1477</v>
      </c>
      <c r="D498" t="s">
        <v>283</v>
      </c>
      <c r="E498" t="s">
        <v>1098</v>
      </c>
      <c r="F498">
        <v>0</v>
      </c>
    </row>
    <row r="499" spans="1:7" x14ac:dyDescent="0.25">
      <c r="E499" t="s">
        <v>1099</v>
      </c>
      <c r="F499">
        <v>0.30833333333333335</v>
      </c>
      <c r="G499" t="s">
        <v>1478</v>
      </c>
    </row>
    <row r="500" spans="1:7" x14ac:dyDescent="0.25">
      <c r="E500" t="s">
        <v>1100</v>
      </c>
      <c r="F500">
        <v>0.33125000000000004</v>
      </c>
      <c r="G500" t="s">
        <v>1479</v>
      </c>
    </row>
    <row r="501" spans="1:7" x14ac:dyDescent="0.25">
      <c r="E501" t="s">
        <v>1101</v>
      </c>
      <c r="F501">
        <v>0</v>
      </c>
    </row>
    <row r="502" spans="1:7" x14ac:dyDescent="0.25">
      <c r="E502" t="s">
        <v>1102</v>
      </c>
      <c r="F502">
        <v>0.32708333333333339</v>
      </c>
      <c r="G502" t="s">
        <v>1480</v>
      </c>
    </row>
    <row r="503" spans="1:7" x14ac:dyDescent="0.25">
      <c r="E503" t="s">
        <v>1104</v>
      </c>
      <c r="F503">
        <v>0.30555555555555558</v>
      </c>
      <c r="G503" t="s">
        <v>1481</v>
      </c>
    </row>
    <row r="504" spans="1:7" x14ac:dyDescent="0.25">
      <c r="E504" t="s">
        <v>1106</v>
      </c>
      <c r="F504">
        <v>0</v>
      </c>
    </row>
    <row r="505" spans="1:7" x14ac:dyDescent="0.25">
      <c r="E505" t="s">
        <v>1108</v>
      </c>
      <c r="F505">
        <v>0</v>
      </c>
    </row>
    <row r="506" spans="1:7" x14ac:dyDescent="0.25">
      <c r="E506" t="s">
        <v>1109</v>
      </c>
      <c r="F506">
        <v>0.3076388888888888</v>
      </c>
      <c r="G506" t="s">
        <v>1482</v>
      </c>
    </row>
    <row r="507" spans="1:7" x14ac:dyDescent="0.25">
      <c r="E507" t="s">
        <v>1111</v>
      </c>
      <c r="F507">
        <v>0.3076388888888888</v>
      </c>
      <c r="G507" t="s">
        <v>1483</v>
      </c>
    </row>
    <row r="508" spans="1:7" x14ac:dyDescent="0.25">
      <c r="E508" t="s">
        <v>1113</v>
      </c>
      <c r="F508">
        <v>0.3041666666666667</v>
      </c>
      <c r="G508" t="s">
        <v>1484</v>
      </c>
    </row>
    <row r="509" spans="1:7" x14ac:dyDescent="0.25">
      <c r="E509" t="s">
        <v>1115</v>
      </c>
      <c r="F509">
        <v>0.30694444444444446</v>
      </c>
      <c r="G509" t="s">
        <v>1485</v>
      </c>
    </row>
    <row r="510" spans="1:7" x14ac:dyDescent="0.25">
      <c r="E510" t="s">
        <v>1117</v>
      </c>
      <c r="F510">
        <v>0.30972222222222223</v>
      </c>
      <c r="G510" t="s">
        <v>1486</v>
      </c>
    </row>
    <row r="511" spans="1:7" x14ac:dyDescent="0.25">
      <c r="E511" t="s">
        <v>1119</v>
      </c>
      <c r="F511">
        <v>0.22500000000000009</v>
      </c>
      <c r="G511" t="s">
        <v>1487</v>
      </c>
    </row>
    <row r="512" spans="1:7" x14ac:dyDescent="0.25">
      <c r="E512" t="s">
        <v>1121</v>
      </c>
      <c r="F512">
        <v>0</v>
      </c>
    </row>
    <row r="513" spans="5:7" x14ac:dyDescent="0.25">
      <c r="E513" t="s">
        <v>1122</v>
      </c>
      <c r="F513">
        <v>0.29166666666666674</v>
      </c>
      <c r="G513" t="s">
        <v>1488</v>
      </c>
    </row>
    <row r="514" spans="5:7" x14ac:dyDescent="0.25">
      <c r="E514" t="s">
        <v>1124</v>
      </c>
      <c r="F514">
        <v>0.3076388888888888</v>
      </c>
      <c r="G514" t="s">
        <v>1489</v>
      </c>
    </row>
    <row r="515" spans="5:7" x14ac:dyDescent="0.25">
      <c r="E515" t="s">
        <v>1126</v>
      </c>
      <c r="F515">
        <v>0.2763888888888888</v>
      </c>
      <c r="G515" t="s">
        <v>1490</v>
      </c>
    </row>
    <row r="516" spans="5:7" x14ac:dyDescent="0.25">
      <c r="E516" t="s">
        <v>1128</v>
      </c>
      <c r="F516">
        <v>0.30694444444444446</v>
      </c>
      <c r="G516" t="s">
        <v>1491</v>
      </c>
    </row>
    <row r="517" spans="5:7" x14ac:dyDescent="0.25">
      <c r="E517" t="s">
        <v>1130</v>
      </c>
      <c r="F517">
        <v>0.30624999999999991</v>
      </c>
      <c r="G517" t="s">
        <v>1492</v>
      </c>
    </row>
    <row r="518" spans="5:7" x14ac:dyDescent="0.25">
      <c r="E518" t="s">
        <v>1132</v>
      </c>
      <c r="F518">
        <v>0.21666666666666656</v>
      </c>
      <c r="G518" t="s">
        <v>1493</v>
      </c>
    </row>
    <row r="519" spans="5:7" x14ac:dyDescent="0.25">
      <c r="E519" t="s">
        <v>1134</v>
      </c>
      <c r="F519">
        <v>0</v>
      </c>
    </row>
    <row r="520" spans="5:7" x14ac:dyDescent="0.25">
      <c r="E520" t="s">
        <v>1135</v>
      </c>
      <c r="F520">
        <v>0.30277777777777781</v>
      </c>
      <c r="G520" t="s">
        <v>1494</v>
      </c>
    </row>
    <row r="521" spans="5:7" x14ac:dyDescent="0.25">
      <c r="E521" t="s">
        <v>1137</v>
      </c>
      <c r="F521">
        <v>0.33125000000000004</v>
      </c>
      <c r="G521" t="s">
        <v>1495</v>
      </c>
    </row>
    <row r="522" spans="5:7" x14ac:dyDescent="0.25">
      <c r="E522" t="s">
        <v>1139</v>
      </c>
      <c r="F522">
        <v>0.3388888888888888</v>
      </c>
      <c r="G522" t="s">
        <v>1496</v>
      </c>
    </row>
    <row r="523" spans="5:7" x14ac:dyDescent="0.25">
      <c r="E523" t="s">
        <v>1141</v>
      </c>
      <c r="F523">
        <v>0.34097222222222223</v>
      </c>
      <c r="G523" t="s">
        <v>1497</v>
      </c>
    </row>
    <row r="524" spans="5:7" x14ac:dyDescent="0.25">
      <c r="E524" t="s">
        <v>1143</v>
      </c>
      <c r="F524">
        <v>0.17291666666666661</v>
      </c>
      <c r="G524" t="s">
        <v>1498</v>
      </c>
    </row>
    <row r="525" spans="5:7" x14ac:dyDescent="0.25">
      <c r="E525" t="s">
        <v>1145</v>
      </c>
      <c r="F525">
        <v>0</v>
      </c>
    </row>
    <row r="526" spans="5:7" x14ac:dyDescent="0.25">
      <c r="E526" t="s">
        <v>1146</v>
      </c>
      <c r="F526">
        <v>0</v>
      </c>
    </row>
    <row r="527" spans="5:7" x14ac:dyDescent="0.25">
      <c r="E527" t="s">
        <v>1147</v>
      </c>
      <c r="F527">
        <v>0.33749999999999991</v>
      </c>
      <c r="G527" t="s">
        <v>1499</v>
      </c>
    </row>
    <row r="528" spans="5:7" x14ac:dyDescent="0.25">
      <c r="E528" t="s">
        <v>1149</v>
      </c>
      <c r="F528">
        <v>6.5631944444444441</v>
      </c>
      <c r="G528" t="s">
        <v>1150</v>
      </c>
    </row>
    <row r="529" spans="1:7" x14ac:dyDescent="0.25">
      <c r="A529">
        <v>26</v>
      </c>
      <c r="B529" t="s">
        <v>1500</v>
      </c>
      <c r="C529" t="s">
        <v>1501</v>
      </c>
      <c r="D529" t="s">
        <v>1502</v>
      </c>
      <c r="E529" t="s">
        <v>1098</v>
      </c>
      <c r="F529">
        <v>0</v>
      </c>
    </row>
    <row r="530" spans="1:7" x14ac:dyDescent="0.25">
      <c r="E530" t="s">
        <v>1099</v>
      </c>
      <c r="F530">
        <v>0.3076388888888888</v>
      </c>
      <c r="G530" t="s">
        <v>1503</v>
      </c>
    </row>
    <row r="531" spans="1:7" x14ac:dyDescent="0.25">
      <c r="E531" t="s">
        <v>1100</v>
      </c>
      <c r="F531">
        <v>0.33263888888888893</v>
      </c>
      <c r="G531" t="s">
        <v>1504</v>
      </c>
    </row>
    <row r="532" spans="1:7" x14ac:dyDescent="0.25">
      <c r="E532" t="s">
        <v>1101</v>
      </c>
      <c r="F532">
        <v>0.3076388888888888</v>
      </c>
      <c r="G532" t="s">
        <v>1505</v>
      </c>
    </row>
    <row r="533" spans="1:7" x14ac:dyDescent="0.25">
      <c r="E533" t="s">
        <v>1102</v>
      </c>
      <c r="F533">
        <v>0.30833333333333335</v>
      </c>
      <c r="G533" t="s">
        <v>1506</v>
      </c>
    </row>
    <row r="534" spans="1:7" x14ac:dyDescent="0.25">
      <c r="E534" t="s">
        <v>1104</v>
      </c>
      <c r="F534">
        <v>0</v>
      </c>
    </row>
    <row r="535" spans="1:7" x14ac:dyDescent="0.25">
      <c r="E535" t="s">
        <v>1106</v>
      </c>
      <c r="F535">
        <v>0.2236111111111112</v>
      </c>
      <c r="G535" t="s">
        <v>1507</v>
      </c>
    </row>
    <row r="536" spans="1:7" x14ac:dyDescent="0.25">
      <c r="E536" t="s">
        <v>1108</v>
      </c>
      <c r="F536">
        <v>0</v>
      </c>
    </row>
    <row r="537" spans="1:7" x14ac:dyDescent="0.25">
      <c r="E537" t="s">
        <v>1109</v>
      </c>
      <c r="F537">
        <v>0.33472222222222214</v>
      </c>
      <c r="G537" t="s">
        <v>1508</v>
      </c>
    </row>
    <row r="538" spans="1:7" x14ac:dyDescent="0.25">
      <c r="E538" t="s">
        <v>1111</v>
      </c>
      <c r="F538">
        <v>0.31180555555555545</v>
      </c>
      <c r="G538" t="s">
        <v>1509</v>
      </c>
    </row>
    <row r="539" spans="1:7" x14ac:dyDescent="0.25">
      <c r="E539" t="s">
        <v>1113</v>
      </c>
      <c r="F539">
        <v>0.30833333333333335</v>
      </c>
      <c r="G539" t="s">
        <v>1510</v>
      </c>
    </row>
    <row r="540" spans="1:7" x14ac:dyDescent="0.25">
      <c r="E540" t="s">
        <v>1115</v>
      </c>
      <c r="F540">
        <v>0.30902777777777768</v>
      </c>
      <c r="G540" t="s">
        <v>1511</v>
      </c>
    </row>
    <row r="541" spans="1:7" x14ac:dyDescent="0.25">
      <c r="E541" t="s">
        <v>1117</v>
      </c>
      <c r="F541">
        <v>0.35069444444444442</v>
      </c>
      <c r="G541" t="s">
        <v>1512</v>
      </c>
    </row>
    <row r="542" spans="1:7" x14ac:dyDescent="0.25">
      <c r="E542" t="s">
        <v>1119</v>
      </c>
      <c r="F542">
        <v>0.22430555555555554</v>
      </c>
      <c r="G542" t="s">
        <v>1513</v>
      </c>
    </row>
    <row r="543" spans="1:7" x14ac:dyDescent="0.25">
      <c r="E543" t="s">
        <v>1121</v>
      </c>
      <c r="F543">
        <v>0</v>
      </c>
    </row>
    <row r="544" spans="1:7" x14ac:dyDescent="0.25">
      <c r="E544" t="s">
        <v>1122</v>
      </c>
      <c r="F544">
        <v>0.3125</v>
      </c>
      <c r="G544" t="s">
        <v>1514</v>
      </c>
    </row>
    <row r="545" spans="1:7" x14ac:dyDescent="0.25">
      <c r="E545" t="s">
        <v>1124</v>
      </c>
      <c r="F545">
        <v>0.31041666666666656</v>
      </c>
      <c r="G545" t="s">
        <v>1515</v>
      </c>
    </row>
    <row r="546" spans="1:7" x14ac:dyDescent="0.25">
      <c r="E546" t="s">
        <v>1126</v>
      </c>
      <c r="F546">
        <v>0.30972222222222223</v>
      </c>
      <c r="G546" t="s">
        <v>1516</v>
      </c>
    </row>
    <row r="547" spans="1:7" x14ac:dyDescent="0.25">
      <c r="E547" t="s">
        <v>1128</v>
      </c>
      <c r="F547">
        <v>0.3125</v>
      </c>
      <c r="G547" t="s">
        <v>1517</v>
      </c>
    </row>
    <row r="548" spans="1:7" x14ac:dyDescent="0.25">
      <c r="E548" t="s">
        <v>1130</v>
      </c>
      <c r="F548">
        <v>0.30972222222222223</v>
      </c>
      <c r="G548" t="s">
        <v>1518</v>
      </c>
    </row>
    <row r="549" spans="1:7" x14ac:dyDescent="0.25">
      <c r="E549" t="s">
        <v>1132</v>
      </c>
      <c r="F549">
        <v>0.22430555555555554</v>
      </c>
      <c r="G549" t="s">
        <v>1519</v>
      </c>
    </row>
    <row r="550" spans="1:7" x14ac:dyDescent="0.25">
      <c r="E550" t="s">
        <v>1134</v>
      </c>
      <c r="F550">
        <v>0</v>
      </c>
    </row>
    <row r="551" spans="1:7" x14ac:dyDescent="0.25">
      <c r="E551" t="s">
        <v>1135</v>
      </c>
      <c r="F551">
        <v>0.30000000000000004</v>
      </c>
      <c r="G551" t="s">
        <v>1520</v>
      </c>
    </row>
    <row r="552" spans="1:7" x14ac:dyDescent="0.25">
      <c r="E552" t="s">
        <v>1137</v>
      </c>
      <c r="F552">
        <v>0.34513888888888888</v>
      </c>
      <c r="G552" t="s">
        <v>1521</v>
      </c>
    </row>
    <row r="553" spans="1:7" x14ac:dyDescent="0.25">
      <c r="E553" t="s">
        <v>1139</v>
      </c>
      <c r="F553">
        <v>0.34305555555555545</v>
      </c>
      <c r="G553" t="s">
        <v>1522</v>
      </c>
    </row>
    <row r="554" spans="1:7" x14ac:dyDescent="0.25">
      <c r="E554" t="s">
        <v>1141</v>
      </c>
      <c r="F554">
        <v>0.34513888888888888</v>
      </c>
      <c r="G554" t="s">
        <v>1523</v>
      </c>
    </row>
    <row r="555" spans="1:7" x14ac:dyDescent="0.25">
      <c r="E555" t="s">
        <v>1143</v>
      </c>
      <c r="F555">
        <v>0.18333333333333335</v>
      </c>
      <c r="G555" t="s">
        <v>1524</v>
      </c>
    </row>
    <row r="556" spans="1:7" x14ac:dyDescent="0.25">
      <c r="E556" t="s">
        <v>1145</v>
      </c>
      <c r="F556">
        <v>0</v>
      </c>
    </row>
    <row r="557" spans="1:7" x14ac:dyDescent="0.25">
      <c r="E557" t="s">
        <v>1146</v>
      </c>
      <c r="F557">
        <v>0</v>
      </c>
    </row>
    <row r="558" spans="1:7" x14ac:dyDescent="0.25">
      <c r="E558" t="s">
        <v>1147</v>
      </c>
      <c r="F558">
        <v>0.33958333333333335</v>
      </c>
      <c r="G558" t="s">
        <v>1525</v>
      </c>
    </row>
    <row r="559" spans="1:7" x14ac:dyDescent="0.25">
      <c r="E559" t="s">
        <v>1149</v>
      </c>
      <c r="F559">
        <v>6.9541666666666666</v>
      </c>
      <c r="G559" t="s">
        <v>1150</v>
      </c>
    </row>
    <row r="560" spans="1:7" x14ac:dyDescent="0.25">
      <c r="A560">
        <v>39</v>
      </c>
      <c r="B560" t="s">
        <v>1526</v>
      </c>
      <c r="C560" t="s">
        <v>1527</v>
      </c>
      <c r="D560" t="s">
        <v>1528</v>
      </c>
      <c r="E560" t="s">
        <v>1098</v>
      </c>
      <c r="F560">
        <v>0</v>
      </c>
    </row>
    <row r="561" spans="5:7" x14ac:dyDescent="0.25">
      <c r="E561" t="s">
        <v>1099</v>
      </c>
      <c r="F561">
        <v>0.29791666666666661</v>
      </c>
      <c r="G561" t="s">
        <v>1529</v>
      </c>
    </row>
    <row r="562" spans="5:7" x14ac:dyDescent="0.25">
      <c r="E562" t="s">
        <v>1100</v>
      </c>
      <c r="F562">
        <v>0.3208333333333333</v>
      </c>
      <c r="G562" t="s">
        <v>1530</v>
      </c>
    </row>
    <row r="563" spans="5:7" x14ac:dyDescent="0.25">
      <c r="E563" t="s">
        <v>1101</v>
      </c>
      <c r="F563">
        <v>0.29791666666666661</v>
      </c>
      <c r="G563" t="s">
        <v>1531</v>
      </c>
    </row>
    <row r="564" spans="5:7" x14ac:dyDescent="0.25">
      <c r="E564" t="s">
        <v>1102</v>
      </c>
      <c r="F564">
        <v>0.29583333333333339</v>
      </c>
      <c r="G564" t="s">
        <v>1532</v>
      </c>
    </row>
    <row r="565" spans="5:7" x14ac:dyDescent="0.25">
      <c r="E565" t="s">
        <v>1104</v>
      </c>
      <c r="F565">
        <v>0.30555555555555558</v>
      </c>
      <c r="G565" t="s">
        <v>1533</v>
      </c>
    </row>
    <row r="566" spans="5:7" x14ac:dyDescent="0.25">
      <c r="E566" t="s">
        <v>1106</v>
      </c>
      <c r="F566">
        <v>0.20694444444444438</v>
      </c>
      <c r="G566" t="s">
        <v>1534</v>
      </c>
    </row>
    <row r="567" spans="5:7" x14ac:dyDescent="0.25">
      <c r="E567" t="s">
        <v>1108</v>
      </c>
      <c r="F567">
        <v>0</v>
      </c>
    </row>
    <row r="568" spans="5:7" x14ac:dyDescent="0.25">
      <c r="E568" t="s">
        <v>1109</v>
      </c>
      <c r="F568">
        <v>0</v>
      </c>
    </row>
    <row r="569" spans="5:7" x14ac:dyDescent="0.25">
      <c r="E569" t="s">
        <v>1111</v>
      </c>
      <c r="F569">
        <v>0.29583333333333339</v>
      </c>
      <c r="G569" t="s">
        <v>1535</v>
      </c>
    </row>
    <row r="570" spans="5:7" x14ac:dyDescent="0.25">
      <c r="E570" t="s">
        <v>1113</v>
      </c>
      <c r="F570">
        <v>0.29236111111111107</v>
      </c>
      <c r="G570" t="s">
        <v>1536</v>
      </c>
    </row>
    <row r="571" spans="5:7" x14ac:dyDescent="0.25">
      <c r="E571" t="s">
        <v>1115</v>
      </c>
      <c r="F571">
        <v>0.30069444444444438</v>
      </c>
      <c r="G571" t="s">
        <v>1537</v>
      </c>
    </row>
    <row r="572" spans="5:7" x14ac:dyDescent="0.25">
      <c r="E572" t="s">
        <v>1117</v>
      </c>
      <c r="F572">
        <v>0.34097222222222223</v>
      </c>
      <c r="G572" t="s">
        <v>1538</v>
      </c>
    </row>
    <row r="573" spans="5:7" x14ac:dyDescent="0.25">
      <c r="E573" t="s">
        <v>1119</v>
      </c>
      <c r="F573">
        <v>0.21249999999999991</v>
      </c>
      <c r="G573" t="s">
        <v>1539</v>
      </c>
    </row>
    <row r="574" spans="5:7" x14ac:dyDescent="0.25">
      <c r="E574" t="s">
        <v>1121</v>
      </c>
      <c r="F574">
        <v>0</v>
      </c>
    </row>
    <row r="575" spans="5:7" x14ac:dyDescent="0.25">
      <c r="E575" t="s">
        <v>1122</v>
      </c>
      <c r="F575">
        <v>0.29027777777777786</v>
      </c>
      <c r="G575" t="s">
        <v>1540</v>
      </c>
    </row>
    <row r="576" spans="5:7" x14ac:dyDescent="0.25">
      <c r="E576" t="s">
        <v>1124</v>
      </c>
      <c r="F576">
        <v>0.29305555555555562</v>
      </c>
      <c r="G576" t="s">
        <v>1541</v>
      </c>
    </row>
    <row r="577" spans="1:7" x14ac:dyDescent="0.25">
      <c r="E577" t="s">
        <v>1126</v>
      </c>
      <c r="F577">
        <v>0.29791666666666661</v>
      </c>
      <c r="G577" t="s">
        <v>1542</v>
      </c>
    </row>
    <row r="578" spans="1:7" x14ac:dyDescent="0.25">
      <c r="E578" t="s">
        <v>1128</v>
      </c>
      <c r="F578">
        <v>0.30138888888888893</v>
      </c>
      <c r="G578" t="s">
        <v>1543</v>
      </c>
    </row>
    <row r="579" spans="1:7" x14ac:dyDescent="0.25">
      <c r="E579" t="s">
        <v>1130</v>
      </c>
      <c r="F579">
        <v>0.29444444444444451</v>
      </c>
      <c r="G579" t="s">
        <v>1544</v>
      </c>
    </row>
    <row r="580" spans="1:7" x14ac:dyDescent="0.25">
      <c r="E580" t="s">
        <v>1132</v>
      </c>
      <c r="F580">
        <v>0.21458333333333335</v>
      </c>
      <c r="G580" t="s">
        <v>1545</v>
      </c>
    </row>
    <row r="581" spans="1:7" x14ac:dyDescent="0.25">
      <c r="E581" t="s">
        <v>1134</v>
      </c>
      <c r="F581">
        <v>0</v>
      </c>
    </row>
    <row r="582" spans="1:7" x14ac:dyDescent="0.25">
      <c r="E582" t="s">
        <v>1135</v>
      </c>
      <c r="F582">
        <v>0.29930555555555549</v>
      </c>
      <c r="G582" t="s">
        <v>1546</v>
      </c>
    </row>
    <row r="583" spans="1:7" x14ac:dyDescent="0.25">
      <c r="E583" t="s">
        <v>1137</v>
      </c>
      <c r="F583">
        <v>0</v>
      </c>
    </row>
    <row r="584" spans="1:7" x14ac:dyDescent="0.25">
      <c r="E584" t="s">
        <v>1139</v>
      </c>
      <c r="F584">
        <v>0.33958333333333335</v>
      </c>
      <c r="G584" t="s">
        <v>1547</v>
      </c>
    </row>
    <row r="585" spans="1:7" x14ac:dyDescent="0.25">
      <c r="E585" t="s">
        <v>1141</v>
      </c>
      <c r="F585">
        <v>0.34097222222222223</v>
      </c>
      <c r="G585" t="s">
        <v>1548</v>
      </c>
    </row>
    <row r="586" spans="1:7" x14ac:dyDescent="0.25">
      <c r="E586" t="s">
        <v>1143</v>
      </c>
      <c r="F586">
        <v>0.17430555555555549</v>
      </c>
      <c r="G586" t="s">
        <v>1549</v>
      </c>
    </row>
    <row r="587" spans="1:7" x14ac:dyDescent="0.25">
      <c r="E587" t="s">
        <v>1145</v>
      </c>
      <c r="F587">
        <v>0</v>
      </c>
    </row>
    <row r="588" spans="1:7" x14ac:dyDescent="0.25">
      <c r="E588" t="s">
        <v>1146</v>
      </c>
      <c r="F588">
        <v>0</v>
      </c>
    </row>
    <row r="589" spans="1:7" x14ac:dyDescent="0.25">
      <c r="E589" t="s">
        <v>1147</v>
      </c>
      <c r="F589">
        <v>0.34166666666666656</v>
      </c>
      <c r="G589" t="s">
        <v>1550</v>
      </c>
    </row>
    <row r="590" spans="1:7" x14ac:dyDescent="0.25">
      <c r="E590" t="s">
        <v>1149</v>
      </c>
      <c r="F590">
        <v>6.3548611111111111</v>
      </c>
      <c r="G590" t="s">
        <v>1150</v>
      </c>
    </row>
    <row r="591" spans="1:7" x14ac:dyDescent="0.25">
      <c r="A591">
        <v>16</v>
      </c>
      <c r="B591" t="s">
        <v>1551</v>
      </c>
      <c r="C591" t="s">
        <v>1552</v>
      </c>
      <c r="D591" t="s">
        <v>276</v>
      </c>
      <c r="E591" t="s">
        <v>1098</v>
      </c>
      <c r="F591">
        <v>0</v>
      </c>
    </row>
    <row r="592" spans="1:7" x14ac:dyDescent="0.25">
      <c r="E592" t="s">
        <v>1099</v>
      </c>
      <c r="F592">
        <v>0.23194444444444451</v>
      </c>
      <c r="G592" t="s">
        <v>1553</v>
      </c>
    </row>
    <row r="593" spans="5:7" x14ac:dyDescent="0.25">
      <c r="E593" t="s">
        <v>1100</v>
      </c>
      <c r="F593">
        <v>0.34166666666666656</v>
      </c>
      <c r="G593" t="s">
        <v>1554</v>
      </c>
    </row>
    <row r="594" spans="5:7" x14ac:dyDescent="0.25">
      <c r="E594" t="s">
        <v>1101</v>
      </c>
      <c r="F594">
        <v>0.40416666666666656</v>
      </c>
      <c r="G594" t="s">
        <v>1555</v>
      </c>
    </row>
    <row r="595" spans="5:7" x14ac:dyDescent="0.25">
      <c r="E595" t="s">
        <v>1102</v>
      </c>
      <c r="F595">
        <v>0.28819444444444442</v>
      </c>
      <c r="G595" t="s">
        <v>1556</v>
      </c>
    </row>
    <row r="596" spans="5:7" x14ac:dyDescent="0.25">
      <c r="E596" t="s">
        <v>1104</v>
      </c>
      <c r="F596">
        <v>0.30000000000000004</v>
      </c>
      <c r="G596" t="s">
        <v>1557</v>
      </c>
    </row>
    <row r="597" spans="5:7" x14ac:dyDescent="0.25">
      <c r="E597" t="s">
        <v>1106</v>
      </c>
      <c r="F597">
        <v>0.20486111111111116</v>
      </c>
      <c r="G597" t="s">
        <v>1558</v>
      </c>
    </row>
    <row r="598" spans="5:7" x14ac:dyDescent="0.25">
      <c r="E598" t="s">
        <v>1108</v>
      </c>
      <c r="F598">
        <v>0</v>
      </c>
    </row>
    <row r="599" spans="5:7" x14ac:dyDescent="0.25">
      <c r="E599" t="s">
        <v>1109</v>
      </c>
      <c r="F599">
        <v>0.40555555555555545</v>
      </c>
      <c r="G599" t="s">
        <v>1559</v>
      </c>
    </row>
    <row r="600" spans="5:7" x14ac:dyDescent="0.25">
      <c r="E600" t="s">
        <v>1111</v>
      </c>
      <c r="F600">
        <v>0.40347222222222223</v>
      </c>
      <c r="G600" t="s">
        <v>1560</v>
      </c>
    </row>
    <row r="601" spans="5:7" x14ac:dyDescent="0.25">
      <c r="E601" t="s">
        <v>1113</v>
      </c>
      <c r="F601">
        <v>0.29097222222222219</v>
      </c>
      <c r="G601" t="s">
        <v>1561</v>
      </c>
    </row>
    <row r="602" spans="5:7" x14ac:dyDescent="0.25">
      <c r="E602" t="s">
        <v>1115</v>
      </c>
      <c r="F602">
        <v>0.28888888888888897</v>
      </c>
      <c r="G602" t="s">
        <v>1562</v>
      </c>
    </row>
    <row r="603" spans="5:7" x14ac:dyDescent="0.25">
      <c r="E603" t="s">
        <v>1117</v>
      </c>
      <c r="F603">
        <v>0.33819444444444446</v>
      </c>
      <c r="G603" t="s">
        <v>1563</v>
      </c>
    </row>
    <row r="604" spans="5:7" x14ac:dyDescent="0.25">
      <c r="E604" t="s">
        <v>1119</v>
      </c>
      <c r="F604">
        <v>0.20694444444444438</v>
      </c>
      <c r="G604" t="s">
        <v>1564</v>
      </c>
    </row>
    <row r="605" spans="5:7" x14ac:dyDescent="0.25">
      <c r="E605" t="s">
        <v>1121</v>
      </c>
      <c r="F605">
        <v>0</v>
      </c>
    </row>
    <row r="606" spans="5:7" x14ac:dyDescent="0.25">
      <c r="E606" t="s">
        <v>1122</v>
      </c>
      <c r="F606">
        <v>0.29513888888888884</v>
      </c>
      <c r="G606" t="s">
        <v>1565</v>
      </c>
    </row>
    <row r="607" spans="5:7" x14ac:dyDescent="0.25">
      <c r="E607" t="s">
        <v>1124</v>
      </c>
      <c r="F607">
        <v>0.32361111111111107</v>
      </c>
      <c r="G607" t="s">
        <v>1566</v>
      </c>
    </row>
    <row r="608" spans="5:7" x14ac:dyDescent="0.25">
      <c r="E608" t="s">
        <v>1126</v>
      </c>
      <c r="F608">
        <v>0.29166666666666674</v>
      </c>
      <c r="G608" t="s">
        <v>1567</v>
      </c>
    </row>
    <row r="609" spans="1:7" x14ac:dyDescent="0.25">
      <c r="E609" t="s">
        <v>1128</v>
      </c>
      <c r="F609">
        <v>0.27847222222222223</v>
      </c>
      <c r="G609" t="s">
        <v>1568</v>
      </c>
    </row>
    <row r="610" spans="1:7" x14ac:dyDescent="0.25">
      <c r="E610" t="s">
        <v>1130</v>
      </c>
      <c r="F610">
        <v>0.29097222222222219</v>
      </c>
      <c r="G610" t="s">
        <v>1569</v>
      </c>
    </row>
    <row r="611" spans="1:7" x14ac:dyDescent="0.25">
      <c r="E611" t="s">
        <v>1132</v>
      </c>
      <c r="F611">
        <v>0.20833333333333326</v>
      </c>
      <c r="G611" t="s">
        <v>1570</v>
      </c>
    </row>
    <row r="612" spans="1:7" x14ac:dyDescent="0.25">
      <c r="E612" t="s">
        <v>1134</v>
      </c>
      <c r="F612">
        <v>0</v>
      </c>
    </row>
    <row r="613" spans="1:7" x14ac:dyDescent="0.25">
      <c r="E613" t="s">
        <v>1135</v>
      </c>
      <c r="F613">
        <v>0.29166666666666674</v>
      </c>
      <c r="G613" t="s">
        <v>1571</v>
      </c>
    </row>
    <row r="614" spans="1:7" x14ac:dyDescent="0.25">
      <c r="E614" t="s">
        <v>1137</v>
      </c>
      <c r="F614">
        <v>0.29652777777777772</v>
      </c>
      <c r="G614" t="s">
        <v>1572</v>
      </c>
    </row>
    <row r="615" spans="1:7" x14ac:dyDescent="0.25">
      <c r="E615" t="s">
        <v>1139</v>
      </c>
      <c r="F615">
        <v>0.33194444444444438</v>
      </c>
      <c r="G615" t="s">
        <v>1573</v>
      </c>
    </row>
    <row r="616" spans="1:7" x14ac:dyDescent="0.25">
      <c r="E616" t="s">
        <v>1141</v>
      </c>
      <c r="F616">
        <v>0.33749999999999991</v>
      </c>
      <c r="G616" t="s">
        <v>1574</v>
      </c>
    </row>
    <row r="617" spans="1:7" x14ac:dyDescent="0.25">
      <c r="E617" t="s">
        <v>1143</v>
      </c>
      <c r="F617">
        <v>0.36041666666666661</v>
      </c>
      <c r="G617" t="s">
        <v>1575</v>
      </c>
    </row>
    <row r="618" spans="1:7" x14ac:dyDescent="0.25">
      <c r="E618" t="s">
        <v>1145</v>
      </c>
      <c r="F618">
        <v>0</v>
      </c>
    </row>
    <row r="619" spans="1:7" x14ac:dyDescent="0.25">
      <c r="E619" t="s">
        <v>1146</v>
      </c>
      <c r="F619">
        <v>0</v>
      </c>
    </row>
    <row r="620" spans="1:7" x14ac:dyDescent="0.25">
      <c r="E620" t="s">
        <v>1147</v>
      </c>
      <c r="F620">
        <v>0.14513888888888893</v>
      </c>
      <c r="G620" t="s">
        <v>1576</v>
      </c>
    </row>
    <row r="621" spans="1:7" x14ac:dyDescent="0.25">
      <c r="E621" t="s">
        <v>1149</v>
      </c>
      <c r="F621">
        <v>7.15625</v>
      </c>
      <c r="G621" t="s">
        <v>1150</v>
      </c>
    </row>
    <row r="622" spans="1:7" x14ac:dyDescent="0.25">
      <c r="A622">
        <v>102</v>
      </c>
      <c r="B622" t="s">
        <v>1577</v>
      </c>
      <c r="C622" t="s">
        <v>1578</v>
      </c>
      <c r="D622" t="s">
        <v>318</v>
      </c>
      <c r="E622" t="s">
        <v>1098</v>
      </c>
      <c r="F622">
        <v>0</v>
      </c>
    </row>
    <row r="623" spans="1:7" x14ac:dyDescent="0.25">
      <c r="E623" t="s">
        <v>1099</v>
      </c>
      <c r="F623">
        <v>0</v>
      </c>
    </row>
    <row r="624" spans="1:7" x14ac:dyDescent="0.25">
      <c r="E624" t="s">
        <v>1100</v>
      </c>
      <c r="F624">
        <v>0</v>
      </c>
    </row>
    <row r="625" spans="5:7" x14ac:dyDescent="0.25">
      <c r="E625" t="s">
        <v>1101</v>
      </c>
      <c r="F625">
        <v>0</v>
      </c>
    </row>
    <row r="626" spans="5:7" x14ac:dyDescent="0.25">
      <c r="E626" t="s">
        <v>1102</v>
      </c>
      <c r="F626">
        <v>0</v>
      </c>
    </row>
    <row r="627" spans="5:7" x14ac:dyDescent="0.25">
      <c r="E627" t="s">
        <v>1104</v>
      </c>
      <c r="F627">
        <v>0</v>
      </c>
    </row>
    <row r="628" spans="5:7" x14ac:dyDescent="0.25">
      <c r="E628" t="s">
        <v>1106</v>
      </c>
      <c r="F628">
        <v>0</v>
      </c>
    </row>
    <row r="629" spans="5:7" x14ac:dyDescent="0.25">
      <c r="E629" t="s">
        <v>1108</v>
      </c>
      <c r="F629">
        <v>0</v>
      </c>
    </row>
    <row r="630" spans="5:7" x14ac:dyDescent="0.25">
      <c r="E630" t="s">
        <v>1109</v>
      </c>
      <c r="F630">
        <v>0</v>
      </c>
    </row>
    <row r="631" spans="5:7" x14ac:dyDescent="0.25">
      <c r="E631" t="s">
        <v>1111</v>
      </c>
      <c r="F631">
        <v>0</v>
      </c>
    </row>
    <row r="632" spans="5:7" x14ac:dyDescent="0.25">
      <c r="E632" t="s">
        <v>1113</v>
      </c>
      <c r="F632">
        <v>0</v>
      </c>
    </row>
    <row r="633" spans="5:7" x14ac:dyDescent="0.25">
      <c r="E633" t="s">
        <v>1115</v>
      </c>
      <c r="F633">
        <v>0</v>
      </c>
    </row>
    <row r="634" spans="5:7" x14ac:dyDescent="0.25">
      <c r="E634" t="s">
        <v>1117</v>
      </c>
      <c r="F634">
        <v>0</v>
      </c>
    </row>
    <row r="635" spans="5:7" x14ac:dyDescent="0.25">
      <c r="E635" t="s">
        <v>1119</v>
      </c>
      <c r="F635">
        <v>0</v>
      </c>
    </row>
    <row r="636" spans="5:7" x14ac:dyDescent="0.25">
      <c r="E636" t="s">
        <v>1121</v>
      </c>
      <c r="F636">
        <v>0</v>
      </c>
    </row>
    <row r="637" spans="5:7" x14ac:dyDescent="0.25">
      <c r="E637" t="s">
        <v>1122</v>
      </c>
      <c r="F637">
        <v>0</v>
      </c>
    </row>
    <row r="638" spans="5:7" x14ac:dyDescent="0.25">
      <c r="E638" t="s">
        <v>1124</v>
      </c>
      <c r="F638">
        <v>0</v>
      </c>
    </row>
    <row r="639" spans="5:7" x14ac:dyDescent="0.25">
      <c r="E639" t="s">
        <v>1126</v>
      </c>
      <c r="F639">
        <v>2.0138888888888928E-2</v>
      </c>
      <c r="G639" t="s">
        <v>1579</v>
      </c>
    </row>
    <row r="640" spans="5:7" x14ac:dyDescent="0.25">
      <c r="E640" t="s">
        <v>1128</v>
      </c>
      <c r="F640">
        <v>0</v>
      </c>
    </row>
    <row r="641" spans="1:7" x14ac:dyDescent="0.25">
      <c r="E641" t="s">
        <v>1130</v>
      </c>
      <c r="F641">
        <v>0</v>
      </c>
    </row>
    <row r="642" spans="1:7" x14ac:dyDescent="0.25">
      <c r="E642" t="s">
        <v>1132</v>
      </c>
      <c r="F642">
        <v>0</v>
      </c>
    </row>
    <row r="643" spans="1:7" x14ac:dyDescent="0.25">
      <c r="E643" t="s">
        <v>1134</v>
      </c>
      <c r="F643">
        <v>0</v>
      </c>
    </row>
    <row r="644" spans="1:7" x14ac:dyDescent="0.25">
      <c r="E644" t="s">
        <v>1135</v>
      </c>
      <c r="F644">
        <v>0</v>
      </c>
    </row>
    <row r="645" spans="1:7" x14ac:dyDescent="0.25">
      <c r="E645" t="s">
        <v>1137</v>
      </c>
      <c r="F645">
        <v>0</v>
      </c>
    </row>
    <row r="646" spans="1:7" x14ac:dyDescent="0.25">
      <c r="E646" t="s">
        <v>1139</v>
      </c>
      <c r="F646">
        <v>0</v>
      </c>
    </row>
    <row r="647" spans="1:7" x14ac:dyDescent="0.25">
      <c r="E647" t="s">
        <v>1141</v>
      </c>
      <c r="F647">
        <v>0</v>
      </c>
    </row>
    <row r="648" spans="1:7" x14ac:dyDescent="0.25">
      <c r="E648" t="s">
        <v>1143</v>
      </c>
      <c r="F648">
        <v>0</v>
      </c>
    </row>
    <row r="649" spans="1:7" x14ac:dyDescent="0.25">
      <c r="E649" t="s">
        <v>1145</v>
      </c>
      <c r="F649">
        <v>0</v>
      </c>
    </row>
    <row r="650" spans="1:7" x14ac:dyDescent="0.25">
      <c r="E650" t="s">
        <v>1146</v>
      </c>
      <c r="F650">
        <v>0</v>
      </c>
    </row>
    <row r="651" spans="1:7" x14ac:dyDescent="0.25">
      <c r="E651" t="s">
        <v>1147</v>
      </c>
      <c r="F651">
        <v>0</v>
      </c>
    </row>
    <row r="652" spans="1:7" x14ac:dyDescent="0.25">
      <c r="E652" t="s">
        <v>1149</v>
      </c>
      <c r="F652">
        <v>2.0138888888888928E-2</v>
      </c>
      <c r="G652" t="s">
        <v>1150</v>
      </c>
    </row>
    <row r="653" spans="1:7" x14ac:dyDescent="0.25">
      <c r="A653">
        <v>14</v>
      </c>
      <c r="B653" t="s">
        <v>1580</v>
      </c>
      <c r="C653" t="s">
        <v>1581</v>
      </c>
      <c r="D653" t="s">
        <v>278</v>
      </c>
      <c r="E653" t="s">
        <v>1098</v>
      </c>
      <c r="F653">
        <v>0</v>
      </c>
    </row>
    <row r="654" spans="1:7" x14ac:dyDescent="0.25">
      <c r="E654" t="s">
        <v>1099</v>
      </c>
      <c r="F654">
        <v>0.41388888888888897</v>
      </c>
      <c r="G654" t="s">
        <v>1582</v>
      </c>
    </row>
    <row r="655" spans="1:7" x14ac:dyDescent="0.25">
      <c r="E655" t="s">
        <v>1100</v>
      </c>
      <c r="F655">
        <v>0.32430555555555562</v>
      </c>
      <c r="G655" t="s">
        <v>1583</v>
      </c>
    </row>
    <row r="656" spans="1:7" x14ac:dyDescent="0.25">
      <c r="E656" t="s">
        <v>1101</v>
      </c>
      <c r="F656">
        <v>0.26597222222222228</v>
      </c>
      <c r="G656" t="s">
        <v>1584</v>
      </c>
    </row>
    <row r="657" spans="5:7" x14ac:dyDescent="0.25">
      <c r="E657" t="s">
        <v>1102</v>
      </c>
      <c r="F657">
        <v>0.30347222222222214</v>
      </c>
      <c r="G657" t="s">
        <v>1585</v>
      </c>
    </row>
    <row r="658" spans="5:7" x14ac:dyDescent="0.25">
      <c r="E658" t="s">
        <v>1104</v>
      </c>
      <c r="F658">
        <v>0.31180555555555545</v>
      </c>
      <c r="G658" t="s">
        <v>1586</v>
      </c>
    </row>
    <row r="659" spans="5:7" x14ac:dyDescent="0.25">
      <c r="E659" t="s">
        <v>1106</v>
      </c>
      <c r="F659">
        <v>0.4375</v>
      </c>
      <c r="G659" t="s">
        <v>1587</v>
      </c>
    </row>
    <row r="660" spans="5:7" x14ac:dyDescent="0.25">
      <c r="E660" t="s">
        <v>1108</v>
      </c>
      <c r="F660">
        <v>0</v>
      </c>
    </row>
    <row r="661" spans="5:7" x14ac:dyDescent="0.25">
      <c r="E661" t="s">
        <v>1109</v>
      </c>
      <c r="F661">
        <v>0.29791666666666661</v>
      </c>
      <c r="G661" t="s">
        <v>1588</v>
      </c>
    </row>
    <row r="662" spans="5:7" x14ac:dyDescent="0.25">
      <c r="E662" t="s">
        <v>1111</v>
      </c>
      <c r="F662">
        <v>0.3041666666666667</v>
      </c>
      <c r="G662" t="s">
        <v>1589</v>
      </c>
    </row>
    <row r="663" spans="5:7" x14ac:dyDescent="0.25">
      <c r="E663" t="s">
        <v>1113</v>
      </c>
      <c r="F663">
        <v>0.31875000000000009</v>
      </c>
      <c r="G663" t="s">
        <v>1590</v>
      </c>
    </row>
    <row r="664" spans="5:7" x14ac:dyDescent="0.25">
      <c r="E664" t="s">
        <v>1115</v>
      </c>
      <c r="F664">
        <v>0.29166666666666674</v>
      </c>
      <c r="G664" t="s">
        <v>1591</v>
      </c>
    </row>
    <row r="665" spans="5:7" x14ac:dyDescent="0.25">
      <c r="E665" t="s">
        <v>1117</v>
      </c>
      <c r="F665">
        <v>0.34305555555555545</v>
      </c>
      <c r="G665" t="s">
        <v>1592</v>
      </c>
    </row>
    <row r="666" spans="5:7" x14ac:dyDescent="0.25">
      <c r="E666" t="s">
        <v>1119</v>
      </c>
      <c r="F666">
        <v>0.21458333333333335</v>
      </c>
      <c r="G666" t="s">
        <v>1593</v>
      </c>
    </row>
    <row r="667" spans="5:7" x14ac:dyDescent="0.25">
      <c r="E667" t="s">
        <v>1121</v>
      </c>
      <c r="F667">
        <v>0</v>
      </c>
    </row>
    <row r="668" spans="5:7" x14ac:dyDescent="0.25">
      <c r="E668" t="s">
        <v>1122</v>
      </c>
      <c r="F668">
        <v>0.125</v>
      </c>
      <c r="G668" t="s">
        <v>1594</v>
      </c>
    </row>
    <row r="669" spans="5:7" x14ac:dyDescent="0.25">
      <c r="E669" t="s">
        <v>1124</v>
      </c>
      <c r="F669">
        <v>0.29930555555555549</v>
      </c>
      <c r="G669" t="s">
        <v>1595</v>
      </c>
    </row>
    <row r="670" spans="5:7" x14ac:dyDescent="0.25">
      <c r="E670" t="s">
        <v>1126</v>
      </c>
      <c r="F670">
        <v>0.29652777777777772</v>
      </c>
      <c r="G670" t="s">
        <v>1596</v>
      </c>
    </row>
    <row r="671" spans="5:7" x14ac:dyDescent="0.25">
      <c r="E671" t="s">
        <v>1128</v>
      </c>
      <c r="F671">
        <v>0.30138888888888893</v>
      </c>
      <c r="G671" t="s">
        <v>1597</v>
      </c>
    </row>
    <row r="672" spans="5:7" x14ac:dyDescent="0.25">
      <c r="E672" t="s">
        <v>1130</v>
      </c>
      <c r="F672">
        <v>0.31180555555555545</v>
      </c>
      <c r="G672" t="s">
        <v>1598</v>
      </c>
    </row>
    <row r="673" spans="1:7" x14ac:dyDescent="0.25">
      <c r="E673" t="s">
        <v>1132</v>
      </c>
      <c r="F673">
        <v>0.22430555555555554</v>
      </c>
      <c r="G673" t="s">
        <v>1599</v>
      </c>
    </row>
    <row r="674" spans="1:7" x14ac:dyDescent="0.25">
      <c r="E674" t="s">
        <v>1134</v>
      </c>
      <c r="F674">
        <v>0</v>
      </c>
    </row>
    <row r="675" spans="1:7" x14ac:dyDescent="0.25">
      <c r="E675" t="s">
        <v>1135</v>
      </c>
      <c r="F675">
        <v>0.30486111111111103</v>
      </c>
      <c r="G675" t="s">
        <v>1600</v>
      </c>
    </row>
    <row r="676" spans="1:7" x14ac:dyDescent="0.25">
      <c r="E676" t="s">
        <v>1137</v>
      </c>
      <c r="F676">
        <v>0.34930555555555554</v>
      </c>
      <c r="G676" t="s">
        <v>1601</v>
      </c>
    </row>
    <row r="677" spans="1:7" x14ac:dyDescent="0.25">
      <c r="E677" t="s">
        <v>1139</v>
      </c>
      <c r="F677">
        <v>0.26111111111111107</v>
      </c>
      <c r="G677" t="s">
        <v>1602</v>
      </c>
    </row>
    <row r="678" spans="1:7" x14ac:dyDescent="0.25">
      <c r="E678" t="s">
        <v>1141</v>
      </c>
      <c r="F678">
        <v>0.34166666666666656</v>
      </c>
      <c r="G678" t="s">
        <v>1603</v>
      </c>
    </row>
    <row r="679" spans="1:7" x14ac:dyDescent="0.25">
      <c r="E679" t="s">
        <v>1143</v>
      </c>
      <c r="F679">
        <v>0.1826388888888888</v>
      </c>
      <c r="G679" t="s">
        <v>1604</v>
      </c>
    </row>
    <row r="680" spans="1:7" x14ac:dyDescent="0.25">
      <c r="E680" t="s">
        <v>1145</v>
      </c>
      <c r="F680">
        <v>0</v>
      </c>
    </row>
    <row r="681" spans="1:7" x14ac:dyDescent="0.25">
      <c r="E681" t="s">
        <v>1146</v>
      </c>
      <c r="F681">
        <v>0</v>
      </c>
    </row>
    <row r="682" spans="1:7" x14ac:dyDescent="0.25">
      <c r="E682" t="s">
        <v>1147</v>
      </c>
      <c r="F682">
        <v>0.33472222222222214</v>
      </c>
      <c r="G682" t="s">
        <v>1605</v>
      </c>
    </row>
    <row r="683" spans="1:7" x14ac:dyDescent="0.25">
      <c r="E683" t="s">
        <v>1149</v>
      </c>
      <c r="F683">
        <v>7.1597222222222214</v>
      </c>
      <c r="G683" t="s">
        <v>1150</v>
      </c>
    </row>
    <row r="684" spans="1:7" x14ac:dyDescent="0.25">
      <c r="A684">
        <v>71</v>
      </c>
      <c r="B684" t="s">
        <v>1606</v>
      </c>
      <c r="C684" t="s">
        <v>1607</v>
      </c>
      <c r="D684" t="s">
        <v>1608</v>
      </c>
      <c r="E684" t="s">
        <v>1098</v>
      </c>
      <c r="F684">
        <v>0</v>
      </c>
    </row>
    <row r="685" spans="1:7" x14ac:dyDescent="0.25">
      <c r="E685" t="s">
        <v>1099</v>
      </c>
      <c r="F685">
        <v>0.28333333333333344</v>
      </c>
      <c r="G685" t="s">
        <v>1609</v>
      </c>
    </row>
    <row r="686" spans="1:7" x14ac:dyDescent="0.25">
      <c r="E686" t="s">
        <v>1100</v>
      </c>
      <c r="F686">
        <v>0.31527777777777777</v>
      </c>
      <c r="G686" t="s">
        <v>1610</v>
      </c>
    </row>
    <row r="687" spans="1:7" x14ac:dyDescent="0.25">
      <c r="E687" t="s">
        <v>1101</v>
      </c>
      <c r="F687">
        <v>0.29166666666666674</v>
      </c>
      <c r="G687" t="s">
        <v>1611</v>
      </c>
    </row>
    <row r="688" spans="1:7" x14ac:dyDescent="0.25">
      <c r="E688" t="s">
        <v>1102</v>
      </c>
      <c r="F688">
        <v>0.29374999999999996</v>
      </c>
      <c r="G688" t="s">
        <v>1612</v>
      </c>
    </row>
    <row r="689" spans="5:7" x14ac:dyDescent="0.25">
      <c r="E689" t="s">
        <v>1104</v>
      </c>
      <c r="F689">
        <v>0.30277777777777781</v>
      </c>
      <c r="G689" t="s">
        <v>1613</v>
      </c>
    </row>
    <row r="690" spans="5:7" x14ac:dyDescent="0.25">
      <c r="E690" t="s">
        <v>1106</v>
      </c>
      <c r="F690">
        <v>0.1611111111111112</v>
      </c>
      <c r="G690" t="s">
        <v>1614</v>
      </c>
    </row>
    <row r="691" spans="5:7" x14ac:dyDescent="0.25">
      <c r="E691" t="s">
        <v>1108</v>
      </c>
      <c r="F691">
        <v>0</v>
      </c>
    </row>
    <row r="692" spans="5:7" x14ac:dyDescent="0.25">
      <c r="E692" t="s">
        <v>1109</v>
      </c>
      <c r="F692">
        <v>0</v>
      </c>
    </row>
    <row r="693" spans="5:7" x14ac:dyDescent="0.25">
      <c r="E693" t="s">
        <v>1111</v>
      </c>
      <c r="F693">
        <v>0.29236111111111107</v>
      </c>
      <c r="G693" t="s">
        <v>1615</v>
      </c>
    </row>
    <row r="694" spans="5:7" x14ac:dyDescent="0.25">
      <c r="E694" t="s">
        <v>1113</v>
      </c>
      <c r="F694">
        <v>0.29166666666666674</v>
      </c>
      <c r="G694" t="s">
        <v>1616</v>
      </c>
    </row>
    <row r="695" spans="5:7" x14ac:dyDescent="0.25">
      <c r="E695" t="s">
        <v>1115</v>
      </c>
      <c r="F695">
        <v>0.29513888888888884</v>
      </c>
      <c r="G695" t="s">
        <v>1617</v>
      </c>
    </row>
    <row r="696" spans="5:7" x14ac:dyDescent="0.25">
      <c r="E696" t="s">
        <v>1117</v>
      </c>
      <c r="F696">
        <v>0.33125000000000004</v>
      </c>
      <c r="G696" t="s">
        <v>1618</v>
      </c>
    </row>
    <row r="697" spans="5:7" x14ac:dyDescent="0.25">
      <c r="E697" t="s">
        <v>1119</v>
      </c>
      <c r="F697">
        <v>0.20763888888888893</v>
      </c>
      <c r="G697" t="s">
        <v>1619</v>
      </c>
    </row>
    <row r="698" spans="5:7" x14ac:dyDescent="0.25">
      <c r="E698" t="s">
        <v>1121</v>
      </c>
      <c r="F698">
        <v>0</v>
      </c>
    </row>
    <row r="699" spans="5:7" x14ac:dyDescent="0.25">
      <c r="E699" t="s">
        <v>1122</v>
      </c>
      <c r="F699">
        <v>0.29097222222222219</v>
      </c>
      <c r="G699" t="s">
        <v>1620</v>
      </c>
    </row>
    <row r="700" spans="5:7" x14ac:dyDescent="0.25">
      <c r="E700" t="s">
        <v>1124</v>
      </c>
      <c r="F700">
        <v>0.29374999999999996</v>
      </c>
      <c r="G700" t="s">
        <v>1621</v>
      </c>
    </row>
    <row r="701" spans="5:7" x14ac:dyDescent="0.25">
      <c r="E701" t="s">
        <v>1126</v>
      </c>
      <c r="F701">
        <v>0.29374999999999996</v>
      </c>
      <c r="G701" t="s">
        <v>1622</v>
      </c>
    </row>
    <row r="702" spans="5:7" x14ac:dyDescent="0.25">
      <c r="E702" t="s">
        <v>1128</v>
      </c>
      <c r="F702">
        <v>0.24097222222222214</v>
      </c>
      <c r="G702" t="s">
        <v>1623</v>
      </c>
    </row>
    <row r="703" spans="5:7" x14ac:dyDescent="0.25">
      <c r="E703" t="s">
        <v>1130</v>
      </c>
      <c r="F703">
        <v>0.29166666666666674</v>
      </c>
      <c r="G703" t="s">
        <v>1624</v>
      </c>
    </row>
    <row r="704" spans="5:7" x14ac:dyDescent="0.25">
      <c r="E704" t="s">
        <v>1132</v>
      </c>
      <c r="F704">
        <v>0.20972222222222214</v>
      </c>
      <c r="G704" t="s">
        <v>1625</v>
      </c>
    </row>
    <row r="705" spans="1:7" x14ac:dyDescent="0.25">
      <c r="E705" t="s">
        <v>1134</v>
      </c>
      <c r="F705">
        <v>0</v>
      </c>
    </row>
    <row r="706" spans="1:7" x14ac:dyDescent="0.25">
      <c r="E706" t="s">
        <v>1135</v>
      </c>
      <c r="F706">
        <v>0.2895833333333333</v>
      </c>
      <c r="G706" t="s">
        <v>1626</v>
      </c>
    </row>
    <row r="707" spans="1:7" x14ac:dyDescent="0.25">
      <c r="E707" t="s">
        <v>1137</v>
      </c>
      <c r="F707">
        <v>0.32916666666666661</v>
      </c>
      <c r="G707" t="s">
        <v>1627</v>
      </c>
    </row>
    <row r="708" spans="1:7" x14ac:dyDescent="0.25">
      <c r="E708" t="s">
        <v>1139</v>
      </c>
      <c r="F708">
        <v>0.3354166666666667</v>
      </c>
      <c r="G708" t="s">
        <v>1628</v>
      </c>
    </row>
    <row r="709" spans="1:7" x14ac:dyDescent="0.25">
      <c r="E709" t="s">
        <v>1141</v>
      </c>
      <c r="F709">
        <v>0.33402777777777781</v>
      </c>
      <c r="G709" t="s">
        <v>1629</v>
      </c>
    </row>
    <row r="710" spans="1:7" x14ac:dyDescent="0.25">
      <c r="E710" t="s">
        <v>1143</v>
      </c>
      <c r="F710">
        <v>0.17430555555555549</v>
      </c>
      <c r="G710" t="s">
        <v>1630</v>
      </c>
    </row>
    <row r="711" spans="1:7" x14ac:dyDescent="0.25">
      <c r="E711" t="s">
        <v>1145</v>
      </c>
      <c r="F711">
        <v>0</v>
      </c>
    </row>
    <row r="712" spans="1:7" x14ac:dyDescent="0.25">
      <c r="E712" t="s">
        <v>1146</v>
      </c>
      <c r="F712">
        <v>0</v>
      </c>
    </row>
    <row r="713" spans="1:7" x14ac:dyDescent="0.25">
      <c r="E713" t="s">
        <v>1147</v>
      </c>
      <c r="F713">
        <v>0.34097222222222223</v>
      </c>
      <c r="G713" t="s">
        <v>1631</v>
      </c>
    </row>
    <row r="714" spans="1:7" x14ac:dyDescent="0.25">
      <c r="E714" t="s">
        <v>1149</v>
      </c>
      <c r="F714">
        <v>6.490277777777778</v>
      </c>
      <c r="G714" t="s">
        <v>1150</v>
      </c>
    </row>
    <row r="715" spans="1:7" x14ac:dyDescent="0.25">
      <c r="A715">
        <v>66</v>
      </c>
      <c r="B715" t="s">
        <v>1632</v>
      </c>
      <c r="C715" t="s">
        <v>1633</v>
      </c>
      <c r="D715" t="s">
        <v>286</v>
      </c>
      <c r="E715" t="s">
        <v>1098</v>
      </c>
      <c r="F715">
        <v>0</v>
      </c>
    </row>
    <row r="716" spans="1:7" x14ac:dyDescent="0.25">
      <c r="E716" t="s">
        <v>1099</v>
      </c>
      <c r="F716">
        <v>0.29791666666666661</v>
      </c>
      <c r="G716" t="s">
        <v>1634</v>
      </c>
    </row>
    <row r="717" spans="1:7" x14ac:dyDescent="0.25">
      <c r="E717" t="s">
        <v>1100</v>
      </c>
      <c r="F717">
        <v>0.31944444444444442</v>
      </c>
      <c r="G717" t="s">
        <v>1635</v>
      </c>
    </row>
    <row r="718" spans="1:7" x14ac:dyDescent="0.25">
      <c r="E718" t="s">
        <v>1101</v>
      </c>
      <c r="F718">
        <v>0.30208333333333326</v>
      </c>
      <c r="G718" t="s">
        <v>1636</v>
      </c>
    </row>
    <row r="719" spans="1:7" x14ac:dyDescent="0.25">
      <c r="E719" t="s">
        <v>1102</v>
      </c>
      <c r="F719">
        <v>0.29722222222222228</v>
      </c>
      <c r="G719" t="s">
        <v>1637</v>
      </c>
    </row>
    <row r="720" spans="1:7" x14ac:dyDescent="0.25">
      <c r="E720" t="s">
        <v>1104</v>
      </c>
      <c r="F720">
        <v>0.30972222222222223</v>
      </c>
      <c r="G720" t="s">
        <v>1638</v>
      </c>
    </row>
    <row r="721" spans="5:7" x14ac:dyDescent="0.25">
      <c r="E721" t="s">
        <v>1106</v>
      </c>
      <c r="F721">
        <v>0.20833333333333326</v>
      </c>
      <c r="G721" t="s">
        <v>1639</v>
      </c>
    </row>
    <row r="722" spans="5:7" x14ac:dyDescent="0.25">
      <c r="E722" t="s">
        <v>1108</v>
      </c>
      <c r="F722">
        <v>0</v>
      </c>
    </row>
    <row r="723" spans="5:7" x14ac:dyDescent="0.25">
      <c r="E723" t="s">
        <v>1109</v>
      </c>
      <c r="F723">
        <v>0.30138888888888893</v>
      </c>
      <c r="G723" t="s">
        <v>1640</v>
      </c>
    </row>
    <row r="724" spans="5:7" x14ac:dyDescent="0.25">
      <c r="E724" t="s">
        <v>1111</v>
      </c>
      <c r="F724">
        <v>0.29652777777777772</v>
      </c>
      <c r="G724" t="s">
        <v>1641</v>
      </c>
    </row>
    <row r="725" spans="5:7" x14ac:dyDescent="0.25">
      <c r="E725" t="s">
        <v>1113</v>
      </c>
      <c r="F725">
        <v>0.29722222222222228</v>
      </c>
      <c r="G725" t="s">
        <v>1642</v>
      </c>
    </row>
    <row r="726" spans="5:7" x14ac:dyDescent="0.25">
      <c r="E726" t="s">
        <v>1115</v>
      </c>
      <c r="F726">
        <v>0.30000000000000004</v>
      </c>
      <c r="G726" t="s">
        <v>1643</v>
      </c>
    </row>
    <row r="727" spans="5:7" x14ac:dyDescent="0.25">
      <c r="E727" t="s">
        <v>1117</v>
      </c>
      <c r="F727">
        <v>0.36041666666666661</v>
      </c>
      <c r="G727" t="s">
        <v>1644</v>
      </c>
    </row>
    <row r="728" spans="5:7" x14ac:dyDescent="0.25">
      <c r="E728" t="s">
        <v>1119</v>
      </c>
      <c r="F728">
        <v>0.2138888888888888</v>
      </c>
      <c r="G728" t="s">
        <v>1645</v>
      </c>
    </row>
    <row r="729" spans="5:7" x14ac:dyDescent="0.25">
      <c r="E729" t="s">
        <v>1121</v>
      </c>
      <c r="F729">
        <v>0</v>
      </c>
    </row>
    <row r="730" spans="5:7" x14ac:dyDescent="0.25">
      <c r="E730" t="s">
        <v>1122</v>
      </c>
      <c r="F730">
        <v>0.22986111111111107</v>
      </c>
      <c r="G730" t="s">
        <v>1646</v>
      </c>
    </row>
    <row r="731" spans="5:7" x14ac:dyDescent="0.25">
      <c r="E731" t="s">
        <v>1124</v>
      </c>
      <c r="F731">
        <v>0.30347222222222214</v>
      </c>
      <c r="G731" t="s">
        <v>1647</v>
      </c>
    </row>
    <row r="732" spans="5:7" x14ac:dyDescent="0.25">
      <c r="E732" t="s">
        <v>1126</v>
      </c>
      <c r="F732">
        <v>0.30624999999999991</v>
      </c>
      <c r="G732" t="s">
        <v>1648</v>
      </c>
    </row>
    <row r="733" spans="5:7" x14ac:dyDescent="0.25">
      <c r="E733" t="s">
        <v>1128</v>
      </c>
      <c r="F733">
        <v>0.30277777777777781</v>
      </c>
      <c r="G733" t="s">
        <v>1649</v>
      </c>
    </row>
    <row r="734" spans="5:7" x14ac:dyDescent="0.25">
      <c r="E734" t="s">
        <v>1130</v>
      </c>
      <c r="F734">
        <v>0.30138888888888893</v>
      </c>
      <c r="G734" t="s">
        <v>1650</v>
      </c>
    </row>
    <row r="735" spans="5:7" x14ac:dyDescent="0.25">
      <c r="E735" t="s">
        <v>1132</v>
      </c>
      <c r="F735">
        <v>0.21249999999999991</v>
      </c>
      <c r="G735" t="s">
        <v>1651</v>
      </c>
    </row>
    <row r="736" spans="5:7" x14ac:dyDescent="0.25">
      <c r="E736" t="s">
        <v>1134</v>
      </c>
      <c r="F736">
        <v>0</v>
      </c>
    </row>
    <row r="737" spans="1:7" x14ac:dyDescent="0.25">
      <c r="E737" t="s">
        <v>1135</v>
      </c>
      <c r="F737">
        <v>0.30624999999999991</v>
      </c>
      <c r="G737" t="s">
        <v>1652</v>
      </c>
    </row>
    <row r="738" spans="1:7" x14ac:dyDescent="0.25">
      <c r="E738" t="s">
        <v>1137</v>
      </c>
      <c r="F738">
        <v>0.34513888888888888</v>
      </c>
      <c r="G738" t="s">
        <v>1653</v>
      </c>
    </row>
    <row r="739" spans="1:7" x14ac:dyDescent="0.25">
      <c r="E739" t="s">
        <v>1139</v>
      </c>
      <c r="F739">
        <v>0.34375</v>
      </c>
      <c r="G739" t="s">
        <v>1654</v>
      </c>
    </row>
    <row r="740" spans="1:7" x14ac:dyDescent="0.25">
      <c r="E740" t="s">
        <v>1141</v>
      </c>
      <c r="F740">
        <v>0.3388888888888888</v>
      </c>
      <c r="G740" t="s">
        <v>1655</v>
      </c>
    </row>
    <row r="741" spans="1:7" x14ac:dyDescent="0.25">
      <c r="E741" t="s">
        <v>1143</v>
      </c>
      <c r="F741">
        <v>0.17500000000000004</v>
      </c>
      <c r="G741" t="s">
        <v>1656</v>
      </c>
    </row>
    <row r="742" spans="1:7" x14ac:dyDescent="0.25">
      <c r="E742" t="s">
        <v>1145</v>
      </c>
      <c r="F742">
        <v>0</v>
      </c>
    </row>
    <row r="743" spans="1:7" x14ac:dyDescent="0.25">
      <c r="E743" t="s">
        <v>1146</v>
      </c>
      <c r="F743">
        <v>0</v>
      </c>
    </row>
    <row r="744" spans="1:7" x14ac:dyDescent="0.25">
      <c r="E744" t="s">
        <v>1147</v>
      </c>
      <c r="F744">
        <v>0.3388888888888888</v>
      </c>
      <c r="G744" t="s">
        <v>1657</v>
      </c>
    </row>
    <row r="745" spans="1:7" x14ac:dyDescent="0.25">
      <c r="E745" t="s">
        <v>1149</v>
      </c>
      <c r="F745">
        <v>7.0083333333333329</v>
      </c>
      <c r="G745" t="s">
        <v>1150</v>
      </c>
    </row>
    <row r="746" spans="1:7" x14ac:dyDescent="0.25">
      <c r="A746">
        <v>28</v>
      </c>
      <c r="B746" t="s">
        <v>1658</v>
      </c>
      <c r="C746" t="s">
        <v>1659</v>
      </c>
      <c r="D746" t="s">
        <v>1660</v>
      </c>
      <c r="E746" t="s">
        <v>1098</v>
      </c>
      <c r="F746">
        <v>0</v>
      </c>
    </row>
    <row r="747" spans="1:7" x14ac:dyDescent="0.25">
      <c r="E747" t="s">
        <v>1099</v>
      </c>
      <c r="F747">
        <v>0</v>
      </c>
    </row>
    <row r="748" spans="1:7" x14ac:dyDescent="0.25">
      <c r="E748" t="s">
        <v>1100</v>
      </c>
      <c r="F748">
        <v>0.25625000000000009</v>
      </c>
      <c r="G748" t="s">
        <v>1661</v>
      </c>
    </row>
    <row r="749" spans="1:7" x14ac:dyDescent="0.25">
      <c r="E749" t="s">
        <v>1101</v>
      </c>
      <c r="F749">
        <v>0.29305555555555562</v>
      </c>
      <c r="G749" t="s">
        <v>1662</v>
      </c>
    </row>
    <row r="750" spans="1:7" x14ac:dyDescent="0.25">
      <c r="E750" t="s">
        <v>1102</v>
      </c>
      <c r="F750">
        <v>0.29374999999999996</v>
      </c>
      <c r="G750" t="s">
        <v>1663</v>
      </c>
    </row>
    <row r="751" spans="1:7" x14ac:dyDescent="0.25">
      <c r="E751" t="s">
        <v>1104</v>
      </c>
      <c r="F751">
        <v>0.30347222222222214</v>
      </c>
      <c r="G751" t="s">
        <v>1664</v>
      </c>
    </row>
    <row r="752" spans="1:7" x14ac:dyDescent="0.25">
      <c r="E752" t="s">
        <v>1106</v>
      </c>
      <c r="F752">
        <v>0.20555555555555549</v>
      </c>
      <c r="G752" t="s">
        <v>1665</v>
      </c>
    </row>
    <row r="753" spans="5:7" x14ac:dyDescent="0.25">
      <c r="E753" t="s">
        <v>1108</v>
      </c>
      <c r="F753">
        <v>0</v>
      </c>
    </row>
    <row r="754" spans="5:7" x14ac:dyDescent="0.25">
      <c r="E754" t="s">
        <v>1109</v>
      </c>
      <c r="F754">
        <v>0.29861111111111116</v>
      </c>
      <c r="G754" t="s">
        <v>1666</v>
      </c>
    </row>
    <row r="755" spans="5:7" x14ac:dyDescent="0.25">
      <c r="E755" t="s">
        <v>1111</v>
      </c>
      <c r="F755">
        <v>0.29166666666666674</v>
      </c>
      <c r="G755" t="s">
        <v>1667</v>
      </c>
    </row>
    <row r="756" spans="5:7" x14ac:dyDescent="0.25">
      <c r="E756" t="s">
        <v>1113</v>
      </c>
      <c r="F756">
        <v>0.30277777777777781</v>
      </c>
      <c r="G756" t="s">
        <v>1668</v>
      </c>
    </row>
    <row r="757" spans="5:7" x14ac:dyDescent="0.25">
      <c r="E757" t="s">
        <v>1115</v>
      </c>
      <c r="F757">
        <v>0</v>
      </c>
    </row>
    <row r="758" spans="5:7" x14ac:dyDescent="0.25">
      <c r="E758" t="s">
        <v>1117</v>
      </c>
      <c r="F758">
        <v>0</v>
      </c>
    </row>
    <row r="759" spans="5:7" x14ac:dyDescent="0.25">
      <c r="E759" t="s">
        <v>1119</v>
      </c>
      <c r="F759">
        <v>0</v>
      </c>
    </row>
    <row r="760" spans="5:7" x14ac:dyDescent="0.25">
      <c r="E760" t="s">
        <v>1121</v>
      </c>
      <c r="F760">
        <v>0</v>
      </c>
    </row>
    <row r="761" spans="5:7" x14ac:dyDescent="0.25">
      <c r="E761" t="s">
        <v>1122</v>
      </c>
      <c r="F761">
        <v>0.29305555555555562</v>
      </c>
      <c r="G761" t="s">
        <v>1669</v>
      </c>
    </row>
    <row r="762" spans="5:7" x14ac:dyDescent="0.25">
      <c r="E762" t="s">
        <v>1124</v>
      </c>
      <c r="F762">
        <v>0.30555555555555558</v>
      </c>
      <c r="G762" t="s">
        <v>1670</v>
      </c>
    </row>
    <row r="763" spans="5:7" x14ac:dyDescent="0.25">
      <c r="E763" t="s">
        <v>1126</v>
      </c>
      <c r="F763">
        <v>0.28888888888888897</v>
      </c>
      <c r="G763" t="s">
        <v>1671</v>
      </c>
    </row>
    <row r="764" spans="5:7" x14ac:dyDescent="0.25">
      <c r="E764" t="s">
        <v>1128</v>
      </c>
      <c r="F764">
        <v>0.29583333333333339</v>
      </c>
      <c r="G764" t="s">
        <v>1672</v>
      </c>
    </row>
    <row r="765" spans="5:7" x14ac:dyDescent="0.25">
      <c r="E765" t="s">
        <v>1130</v>
      </c>
      <c r="F765">
        <v>0.27222222222222214</v>
      </c>
      <c r="G765" t="s">
        <v>1673</v>
      </c>
    </row>
    <row r="766" spans="5:7" x14ac:dyDescent="0.25">
      <c r="E766" t="s">
        <v>1132</v>
      </c>
      <c r="F766">
        <v>0.21180555555555558</v>
      </c>
      <c r="G766" t="s">
        <v>1674</v>
      </c>
    </row>
    <row r="767" spans="5:7" x14ac:dyDescent="0.25">
      <c r="E767" t="s">
        <v>1134</v>
      </c>
      <c r="F767">
        <v>0</v>
      </c>
    </row>
    <row r="768" spans="5:7" x14ac:dyDescent="0.25">
      <c r="E768" t="s">
        <v>1135</v>
      </c>
      <c r="F768">
        <v>0.29305555555555562</v>
      </c>
      <c r="G768" t="s">
        <v>1675</v>
      </c>
    </row>
    <row r="769" spans="1:7" x14ac:dyDescent="0.25">
      <c r="E769" t="s">
        <v>1137</v>
      </c>
      <c r="F769">
        <v>0.32569444444444451</v>
      </c>
      <c r="G769" t="s">
        <v>1676</v>
      </c>
    </row>
    <row r="770" spans="1:7" x14ac:dyDescent="0.25">
      <c r="E770" t="s">
        <v>1139</v>
      </c>
      <c r="F770">
        <v>0.34722222222222232</v>
      </c>
      <c r="G770" t="s">
        <v>1677</v>
      </c>
    </row>
    <row r="771" spans="1:7" x14ac:dyDescent="0.25">
      <c r="E771" t="s">
        <v>1141</v>
      </c>
      <c r="F771">
        <v>0.33472222222222214</v>
      </c>
      <c r="G771" t="s">
        <v>1678</v>
      </c>
    </row>
    <row r="772" spans="1:7" x14ac:dyDescent="0.25">
      <c r="E772" t="s">
        <v>1143</v>
      </c>
      <c r="F772">
        <v>0.16805555555555562</v>
      </c>
      <c r="G772" t="s">
        <v>1679</v>
      </c>
    </row>
    <row r="773" spans="1:7" x14ac:dyDescent="0.25">
      <c r="E773" t="s">
        <v>1145</v>
      </c>
      <c r="F773">
        <v>0</v>
      </c>
    </row>
    <row r="774" spans="1:7" x14ac:dyDescent="0.25">
      <c r="E774" t="s">
        <v>1146</v>
      </c>
      <c r="F774">
        <v>0</v>
      </c>
    </row>
    <row r="775" spans="1:7" x14ac:dyDescent="0.25">
      <c r="E775" t="s">
        <v>1147</v>
      </c>
      <c r="F775">
        <v>0.33333333333333326</v>
      </c>
      <c r="G775" t="s">
        <v>1680</v>
      </c>
    </row>
    <row r="776" spans="1:7" x14ac:dyDescent="0.25">
      <c r="E776" t="s">
        <v>1149</v>
      </c>
      <c r="F776">
        <v>5.7145833333333336</v>
      </c>
      <c r="G776" t="s">
        <v>1150</v>
      </c>
    </row>
    <row r="777" spans="1:7" x14ac:dyDescent="0.25">
      <c r="A777">
        <v>111</v>
      </c>
      <c r="B777" t="s">
        <v>1658</v>
      </c>
      <c r="C777" t="s">
        <v>1681</v>
      </c>
      <c r="D777" t="s">
        <v>791</v>
      </c>
      <c r="E777" t="s">
        <v>1098</v>
      </c>
      <c r="F777">
        <v>0</v>
      </c>
    </row>
    <row r="778" spans="1:7" x14ac:dyDescent="0.25">
      <c r="E778" t="s">
        <v>1099</v>
      </c>
      <c r="F778">
        <v>0</v>
      </c>
    </row>
    <row r="779" spans="1:7" x14ac:dyDescent="0.25">
      <c r="E779" t="s">
        <v>1100</v>
      </c>
      <c r="F779">
        <v>0</v>
      </c>
    </row>
    <row r="780" spans="1:7" x14ac:dyDescent="0.25">
      <c r="E780" t="s">
        <v>1101</v>
      </c>
      <c r="F780">
        <v>0</v>
      </c>
    </row>
    <row r="781" spans="1:7" x14ac:dyDescent="0.25">
      <c r="E781" t="s">
        <v>1102</v>
      </c>
      <c r="F781">
        <v>0</v>
      </c>
    </row>
    <row r="782" spans="1:7" x14ac:dyDescent="0.25">
      <c r="E782" t="s">
        <v>1104</v>
      </c>
      <c r="F782">
        <v>0</v>
      </c>
    </row>
    <row r="783" spans="1:7" x14ac:dyDescent="0.25">
      <c r="E783" t="s">
        <v>1106</v>
      </c>
      <c r="F783">
        <v>0</v>
      </c>
    </row>
    <row r="784" spans="1:7" x14ac:dyDescent="0.25">
      <c r="E784" t="s">
        <v>1108</v>
      </c>
      <c r="F784">
        <v>0</v>
      </c>
    </row>
    <row r="785" spans="5:7" x14ac:dyDescent="0.25">
      <c r="E785" t="s">
        <v>1109</v>
      </c>
      <c r="F785">
        <v>0</v>
      </c>
    </row>
    <row r="786" spans="5:7" x14ac:dyDescent="0.25">
      <c r="E786" t="s">
        <v>1111</v>
      </c>
      <c r="F786">
        <v>0</v>
      </c>
    </row>
    <row r="787" spans="5:7" x14ac:dyDescent="0.25">
      <c r="E787" t="s">
        <v>1113</v>
      </c>
      <c r="F787">
        <v>0</v>
      </c>
    </row>
    <row r="788" spans="5:7" x14ac:dyDescent="0.25">
      <c r="E788" t="s">
        <v>1115</v>
      </c>
      <c r="F788">
        <v>0.32708333333333339</v>
      </c>
      <c r="G788" t="s">
        <v>1682</v>
      </c>
    </row>
    <row r="789" spans="5:7" x14ac:dyDescent="0.25">
      <c r="E789" t="s">
        <v>1117</v>
      </c>
      <c r="F789">
        <v>0.33263888888888893</v>
      </c>
      <c r="G789" t="s">
        <v>1683</v>
      </c>
    </row>
    <row r="790" spans="5:7" x14ac:dyDescent="0.25">
      <c r="E790" t="s">
        <v>1119</v>
      </c>
      <c r="F790">
        <v>0.2138888888888888</v>
      </c>
      <c r="G790" t="s">
        <v>1684</v>
      </c>
    </row>
    <row r="791" spans="5:7" x14ac:dyDescent="0.25">
      <c r="E791" t="s">
        <v>1121</v>
      </c>
      <c r="F791">
        <v>0</v>
      </c>
    </row>
    <row r="792" spans="5:7" x14ac:dyDescent="0.25">
      <c r="E792" t="s">
        <v>1122</v>
      </c>
      <c r="F792">
        <v>0.29791666666666661</v>
      </c>
      <c r="G792" t="s">
        <v>1685</v>
      </c>
    </row>
    <row r="793" spans="5:7" x14ac:dyDescent="0.25">
      <c r="E793" t="s">
        <v>1124</v>
      </c>
      <c r="F793">
        <v>0.26736111111111116</v>
      </c>
      <c r="G793" t="s">
        <v>1686</v>
      </c>
    </row>
    <row r="794" spans="5:7" x14ac:dyDescent="0.25">
      <c r="E794" t="s">
        <v>1126</v>
      </c>
      <c r="F794">
        <v>0.29791666666666661</v>
      </c>
      <c r="G794" t="s">
        <v>1687</v>
      </c>
    </row>
    <row r="795" spans="5:7" x14ac:dyDescent="0.25">
      <c r="E795" t="s">
        <v>1128</v>
      </c>
      <c r="F795">
        <v>0.30069444444444438</v>
      </c>
      <c r="G795" t="s">
        <v>1688</v>
      </c>
    </row>
    <row r="796" spans="5:7" x14ac:dyDescent="0.25">
      <c r="E796" t="s">
        <v>1130</v>
      </c>
      <c r="F796">
        <v>0.29930555555555549</v>
      </c>
      <c r="G796" t="s">
        <v>1689</v>
      </c>
    </row>
    <row r="797" spans="5:7" x14ac:dyDescent="0.25">
      <c r="E797" t="s">
        <v>1132</v>
      </c>
      <c r="F797">
        <v>0.2104166666666667</v>
      </c>
      <c r="G797" t="s">
        <v>1690</v>
      </c>
    </row>
    <row r="798" spans="5:7" x14ac:dyDescent="0.25">
      <c r="E798" t="s">
        <v>1134</v>
      </c>
      <c r="F798">
        <v>0</v>
      </c>
    </row>
    <row r="799" spans="5:7" x14ac:dyDescent="0.25">
      <c r="E799" t="s">
        <v>1135</v>
      </c>
      <c r="F799">
        <v>0.37291666666666656</v>
      </c>
      <c r="G799" t="s">
        <v>1691</v>
      </c>
    </row>
    <row r="800" spans="5:7" x14ac:dyDescent="0.25">
      <c r="E800" t="s">
        <v>1137</v>
      </c>
      <c r="F800">
        <v>0.33680555555555558</v>
      </c>
      <c r="G800" t="s">
        <v>1692</v>
      </c>
    </row>
    <row r="801" spans="1:7" x14ac:dyDescent="0.25">
      <c r="E801" t="s">
        <v>1139</v>
      </c>
      <c r="F801">
        <v>0.34652777777777777</v>
      </c>
      <c r="G801" t="s">
        <v>1693</v>
      </c>
    </row>
    <row r="802" spans="1:7" x14ac:dyDescent="0.25">
      <c r="E802" t="s">
        <v>1141</v>
      </c>
      <c r="F802">
        <v>0.3388888888888888</v>
      </c>
      <c r="G802" t="s">
        <v>1694</v>
      </c>
    </row>
    <row r="803" spans="1:7" x14ac:dyDescent="0.25">
      <c r="E803" t="s">
        <v>1143</v>
      </c>
      <c r="F803">
        <v>0.17569444444444438</v>
      </c>
      <c r="G803" t="s">
        <v>1695</v>
      </c>
    </row>
    <row r="804" spans="1:7" x14ac:dyDescent="0.25">
      <c r="E804" t="s">
        <v>1145</v>
      </c>
      <c r="F804">
        <v>0</v>
      </c>
    </row>
    <row r="805" spans="1:7" x14ac:dyDescent="0.25">
      <c r="E805" t="s">
        <v>1146</v>
      </c>
      <c r="F805">
        <v>0</v>
      </c>
    </row>
    <row r="806" spans="1:7" x14ac:dyDescent="0.25">
      <c r="E806" t="s">
        <v>1147</v>
      </c>
      <c r="F806">
        <v>0</v>
      </c>
    </row>
    <row r="807" spans="1:7" x14ac:dyDescent="0.25">
      <c r="E807" t="s">
        <v>1149</v>
      </c>
      <c r="F807">
        <v>4.1180555555555554</v>
      </c>
      <c r="G807" t="s">
        <v>1150</v>
      </c>
    </row>
    <row r="808" spans="1:7" x14ac:dyDescent="0.25">
      <c r="A808">
        <v>65</v>
      </c>
      <c r="B808" t="s">
        <v>1696</v>
      </c>
      <c r="C808" t="s">
        <v>1697</v>
      </c>
      <c r="D808" t="s">
        <v>287</v>
      </c>
      <c r="E808" t="s">
        <v>1098</v>
      </c>
      <c r="F808">
        <v>0</v>
      </c>
    </row>
    <row r="809" spans="1:7" x14ac:dyDescent="0.25">
      <c r="E809" t="s">
        <v>1099</v>
      </c>
      <c r="F809">
        <v>0.3041666666666667</v>
      </c>
      <c r="G809" t="s">
        <v>1698</v>
      </c>
    </row>
    <row r="810" spans="1:7" x14ac:dyDescent="0.25">
      <c r="E810" t="s">
        <v>1100</v>
      </c>
      <c r="F810">
        <v>0.32569444444444451</v>
      </c>
      <c r="G810" t="s">
        <v>1699</v>
      </c>
    </row>
    <row r="811" spans="1:7" x14ac:dyDescent="0.25">
      <c r="E811" t="s">
        <v>1101</v>
      </c>
      <c r="F811">
        <v>0.30138888888888893</v>
      </c>
      <c r="G811" t="s">
        <v>1700</v>
      </c>
    </row>
    <row r="812" spans="1:7" x14ac:dyDescent="0.25">
      <c r="E812" t="s">
        <v>1102</v>
      </c>
      <c r="F812">
        <v>0.29722222222222228</v>
      </c>
      <c r="G812" t="s">
        <v>1701</v>
      </c>
    </row>
    <row r="813" spans="1:7" x14ac:dyDescent="0.25">
      <c r="E813" t="s">
        <v>1104</v>
      </c>
      <c r="F813">
        <v>0.30972222222222223</v>
      </c>
      <c r="G813" t="s">
        <v>1702</v>
      </c>
    </row>
    <row r="814" spans="1:7" x14ac:dyDescent="0.25">
      <c r="E814" t="s">
        <v>1106</v>
      </c>
      <c r="F814">
        <v>0.21527777777777768</v>
      </c>
      <c r="G814" t="s">
        <v>1703</v>
      </c>
    </row>
    <row r="815" spans="1:7" x14ac:dyDescent="0.25">
      <c r="E815" t="s">
        <v>1108</v>
      </c>
      <c r="F815">
        <v>0</v>
      </c>
    </row>
    <row r="816" spans="1:7" x14ac:dyDescent="0.25">
      <c r="E816" t="s">
        <v>1109</v>
      </c>
      <c r="F816">
        <v>0.29930555555555549</v>
      </c>
      <c r="G816" t="s">
        <v>1704</v>
      </c>
    </row>
    <row r="817" spans="5:7" x14ac:dyDescent="0.25">
      <c r="E817" t="s">
        <v>1111</v>
      </c>
      <c r="F817">
        <v>0.29930555555555549</v>
      </c>
      <c r="G817" t="s">
        <v>1705</v>
      </c>
    </row>
    <row r="818" spans="5:7" x14ac:dyDescent="0.25">
      <c r="E818" t="s">
        <v>1113</v>
      </c>
      <c r="F818">
        <v>0.30277777777777781</v>
      </c>
      <c r="G818" t="s">
        <v>1706</v>
      </c>
    </row>
    <row r="819" spans="5:7" x14ac:dyDescent="0.25">
      <c r="E819" t="s">
        <v>1115</v>
      </c>
      <c r="F819">
        <v>0.31875000000000009</v>
      </c>
      <c r="G819" t="s">
        <v>1707</v>
      </c>
    </row>
    <row r="820" spans="5:7" x14ac:dyDescent="0.25">
      <c r="E820" t="s">
        <v>1117</v>
      </c>
      <c r="F820">
        <v>0.32777777777777772</v>
      </c>
      <c r="G820" t="s">
        <v>1708</v>
      </c>
    </row>
    <row r="821" spans="5:7" x14ac:dyDescent="0.25">
      <c r="E821" t="s">
        <v>1119</v>
      </c>
      <c r="F821">
        <v>0.21180555555555558</v>
      </c>
      <c r="G821" t="s">
        <v>1709</v>
      </c>
    </row>
    <row r="822" spans="5:7" x14ac:dyDescent="0.25">
      <c r="E822" t="s">
        <v>1121</v>
      </c>
      <c r="F822">
        <v>0</v>
      </c>
    </row>
    <row r="823" spans="5:7" x14ac:dyDescent="0.25">
      <c r="E823" t="s">
        <v>1122</v>
      </c>
      <c r="F823">
        <v>0.29791666666666661</v>
      </c>
      <c r="G823" t="s">
        <v>1710</v>
      </c>
    </row>
    <row r="824" spans="5:7" x14ac:dyDescent="0.25">
      <c r="E824" t="s">
        <v>1124</v>
      </c>
      <c r="F824">
        <v>0.30833333333333335</v>
      </c>
      <c r="G824" t="s">
        <v>1711</v>
      </c>
    </row>
    <row r="825" spans="5:7" x14ac:dyDescent="0.25">
      <c r="E825" t="s">
        <v>1126</v>
      </c>
      <c r="F825">
        <v>0.29930555555555549</v>
      </c>
      <c r="G825" t="s">
        <v>1712</v>
      </c>
    </row>
    <row r="826" spans="5:7" x14ac:dyDescent="0.25">
      <c r="E826" t="s">
        <v>1128</v>
      </c>
      <c r="F826">
        <v>0.30555555555555558</v>
      </c>
      <c r="G826" t="s">
        <v>1713</v>
      </c>
    </row>
    <row r="827" spans="5:7" x14ac:dyDescent="0.25">
      <c r="E827" t="s">
        <v>1130</v>
      </c>
      <c r="F827">
        <v>0.29861111111111116</v>
      </c>
      <c r="G827" t="s">
        <v>1714</v>
      </c>
    </row>
    <row r="828" spans="5:7" x14ac:dyDescent="0.25">
      <c r="E828" t="s">
        <v>1132</v>
      </c>
      <c r="F828">
        <v>0.21527777777777768</v>
      </c>
      <c r="G828" t="s">
        <v>1715</v>
      </c>
    </row>
    <row r="829" spans="5:7" x14ac:dyDescent="0.25">
      <c r="E829" t="s">
        <v>1134</v>
      </c>
      <c r="F829">
        <v>0</v>
      </c>
    </row>
    <row r="830" spans="5:7" x14ac:dyDescent="0.25">
      <c r="E830" t="s">
        <v>1135</v>
      </c>
      <c r="F830">
        <v>0.30208333333333326</v>
      </c>
      <c r="G830" t="s">
        <v>1716</v>
      </c>
    </row>
    <row r="831" spans="5:7" x14ac:dyDescent="0.25">
      <c r="E831" t="s">
        <v>1137</v>
      </c>
      <c r="F831">
        <v>0.34097222222222223</v>
      </c>
      <c r="G831" t="s">
        <v>1717</v>
      </c>
    </row>
    <row r="832" spans="5:7" x14ac:dyDescent="0.25">
      <c r="E832" t="s">
        <v>1139</v>
      </c>
      <c r="F832">
        <v>0.34513888888888888</v>
      </c>
      <c r="G832" t="s">
        <v>1718</v>
      </c>
    </row>
    <row r="833" spans="1:7" x14ac:dyDescent="0.25">
      <c r="E833" t="s">
        <v>1141</v>
      </c>
      <c r="F833">
        <v>0.34722222222222232</v>
      </c>
      <c r="G833" t="s">
        <v>1719</v>
      </c>
    </row>
    <row r="834" spans="1:7" x14ac:dyDescent="0.25">
      <c r="E834" t="s">
        <v>1143</v>
      </c>
      <c r="F834">
        <v>0</v>
      </c>
    </row>
    <row r="835" spans="1:7" x14ac:dyDescent="0.25">
      <c r="E835" t="s">
        <v>1145</v>
      </c>
      <c r="F835">
        <v>0</v>
      </c>
    </row>
    <row r="836" spans="1:7" x14ac:dyDescent="0.25">
      <c r="E836" t="s">
        <v>1146</v>
      </c>
      <c r="F836">
        <v>0</v>
      </c>
    </row>
    <row r="837" spans="1:7" x14ac:dyDescent="0.25">
      <c r="E837" t="s">
        <v>1147</v>
      </c>
      <c r="F837">
        <v>0.34513888888888888</v>
      </c>
      <c r="G837" t="s">
        <v>1720</v>
      </c>
    </row>
    <row r="838" spans="1:7" x14ac:dyDescent="0.25">
      <c r="E838" t="s">
        <v>1149</v>
      </c>
      <c r="F838">
        <v>6.9187500000000002</v>
      </c>
      <c r="G838" t="s">
        <v>1150</v>
      </c>
    </row>
    <row r="839" spans="1:7" x14ac:dyDescent="0.25">
      <c r="A839">
        <v>67</v>
      </c>
      <c r="B839" t="s">
        <v>1721</v>
      </c>
      <c r="C839" t="s">
        <v>1722</v>
      </c>
      <c r="D839" t="s">
        <v>288</v>
      </c>
      <c r="E839" t="s">
        <v>1098</v>
      </c>
      <c r="F839">
        <v>0</v>
      </c>
    </row>
    <row r="840" spans="1:7" x14ac:dyDescent="0.25">
      <c r="E840" t="s">
        <v>1099</v>
      </c>
      <c r="F840">
        <v>0.28680555555555554</v>
      </c>
      <c r="G840" t="s">
        <v>1723</v>
      </c>
    </row>
    <row r="841" spans="1:7" x14ac:dyDescent="0.25">
      <c r="E841" t="s">
        <v>1100</v>
      </c>
      <c r="F841">
        <v>0.31805555555555554</v>
      </c>
      <c r="G841" t="s">
        <v>1724</v>
      </c>
    </row>
    <row r="842" spans="1:7" x14ac:dyDescent="0.25">
      <c r="E842" t="s">
        <v>1101</v>
      </c>
      <c r="F842">
        <v>0.29374999999999996</v>
      </c>
      <c r="G842" t="s">
        <v>1725</v>
      </c>
    </row>
    <row r="843" spans="1:7" x14ac:dyDescent="0.25">
      <c r="E843" t="s">
        <v>1102</v>
      </c>
      <c r="F843">
        <v>0.29722222222222228</v>
      </c>
      <c r="G843" t="s">
        <v>1726</v>
      </c>
    </row>
    <row r="844" spans="1:7" x14ac:dyDescent="0.25">
      <c r="E844" t="s">
        <v>1104</v>
      </c>
      <c r="F844">
        <v>0.31180555555555545</v>
      </c>
      <c r="G844" t="s">
        <v>1727</v>
      </c>
    </row>
    <row r="845" spans="1:7" x14ac:dyDescent="0.25">
      <c r="E845" t="s">
        <v>1106</v>
      </c>
      <c r="F845">
        <v>0.20972222222222214</v>
      </c>
      <c r="G845" t="s">
        <v>1728</v>
      </c>
    </row>
    <row r="846" spans="1:7" x14ac:dyDescent="0.25">
      <c r="E846" t="s">
        <v>1108</v>
      </c>
      <c r="F846">
        <v>0</v>
      </c>
    </row>
    <row r="847" spans="1:7" x14ac:dyDescent="0.25">
      <c r="E847" t="s">
        <v>1109</v>
      </c>
      <c r="F847">
        <v>0.29236111111111107</v>
      </c>
      <c r="G847" t="s">
        <v>1729</v>
      </c>
    </row>
    <row r="848" spans="1:7" x14ac:dyDescent="0.25">
      <c r="E848" t="s">
        <v>1111</v>
      </c>
      <c r="F848">
        <v>0.29166666666666674</v>
      </c>
      <c r="G848" t="s">
        <v>1730</v>
      </c>
    </row>
    <row r="849" spans="5:7" x14ac:dyDescent="0.25">
      <c r="E849" t="s">
        <v>1113</v>
      </c>
      <c r="F849">
        <v>0.29930555555555549</v>
      </c>
      <c r="G849" t="s">
        <v>1731</v>
      </c>
    </row>
    <row r="850" spans="5:7" x14ac:dyDescent="0.25">
      <c r="E850" t="s">
        <v>1115</v>
      </c>
      <c r="F850">
        <v>0.29166666666666674</v>
      </c>
      <c r="G850" t="s">
        <v>1732</v>
      </c>
    </row>
    <row r="851" spans="5:7" x14ac:dyDescent="0.25">
      <c r="E851" t="s">
        <v>1117</v>
      </c>
      <c r="F851">
        <v>0.27361111111111103</v>
      </c>
      <c r="G851" t="s">
        <v>1733</v>
      </c>
    </row>
    <row r="852" spans="5:7" x14ac:dyDescent="0.25">
      <c r="E852" t="s">
        <v>1119</v>
      </c>
      <c r="F852">
        <v>0.20694444444444438</v>
      </c>
      <c r="G852" t="s">
        <v>1734</v>
      </c>
    </row>
    <row r="853" spans="5:7" x14ac:dyDescent="0.25">
      <c r="E853" t="s">
        <v>1121</v>
      </c>
      <c r="F853">
        <v>0</v>
      </c>
    </row>
    <row r="854" spans="5:7" x14ac:dyDescent="0.25">
      <c r="E854" t="s">
        <v>1122</v>
      </c>
      <c r="F854">
        <v>0.29166666666666674</v>
      </c>
      <c r="G854" t="s">
        <v>1735</v>
      </c>
    </row>
    <row r="855" spans="5:7" x14ac:dyDescent="0.25">
      <c r="E855" t="s">
        <v>1124</v>
      </c>
      <c r="F855">
        <v>0.29583333333333339</v>
      </c>
      <c r="G855" t="s">
        <v>1736</v>
      </c>
    </row>
    <row r="856" spans="5:7" x14ac:dyDescent="0.25">
      <c r="E856" t="s">
        <v>1126</v>
      </c>
      <c r="F856">
        <v>0.29861111111111116</v>
      </c>
      <c r="G856" t="s">
        <v>1737</v>
      </c>
    </row>
    <row r="857" spans="5:7" x14ac:dyDescent="0.25">
      <c r="E857" t="s">
        <v>1128</v>
      </c>
      <c r="F857">
        <v>0.3076388888888888</v>
      </c>
      <c r="G857" t="s">
        <v>1738</v>
      </c>
    </row>
    <row r="858" spans="5:7" x14ac:dyDescent="0.25">
      <c r="E858" t="s">
        <v>1130</v>
      </c>
      <c r="F858">
        <v>0.32222222222222219</v>
      </c>
      <c r="G858" t="s">
        <v>1739</v>
      </c>
    </row>
    <row r="859" spans="5:7" x14ac:dyDescent="0.25">
      <c r="E859" t="s">
        <v>1132</v>
      </c>
      <c r="F859">
        <v>0.21805555555555545</v>
      </c>
      <c r="G859" t="s">
        <v>1740</v>
      </c>
    </row>
    <row r="860" spans="5:7" x14ac:dyDescent="0.25">
      <c r="E860" t="s">
        <v>1134</v>
      </c>
      <c r="F860">
        <v>0</v>
      </c>
    </row>
    <row r="861" spans="5:7" x14ac:dyDescent="0.25">
      <c r="E861" t="s">
        <v>1135</v>
      </c>
      <c r="F861">
        <v>0.29097222222222219</v>
      </c>
      <c r="G861" t="s">
        <v>1741</v>
      </c>
    </row>
    <row r="862" spans="5:7" x14ac:dyDescent="0.25">
      <c r="E862" t="s">
        <v>1137</v>
      </c>
      <c r="F862">
        <v>0.32916666666666661</v>
      </c>
      <c r="G862" t="s">
        <v>1742</v>
      </c>
    </row>
    <row r="863" spans="5:7" x14ac:dyDescent="0.25">
      <c r="E863" t="s">
        <v>1139</v>
      </c>
      <c r="F863">
        <v>0.3388888888888888</v>
      </c>
      <c r="G863" t="s">
        <v>1743</v>
      </c>
    </row>
    <row r="864" spans="5:7" x14ac:dyDescent="0.25">
      <c r="E864" t="s">
        <v>1141</v>
      </c>
      <c r="F864">
        <v>0.3354166666666667</v>
      </c>
      <c r="G864" t="s">
        <v>1744</v>
      </c>
    </row>
    <row r="865" spans="1:7" x14ac:dyDescent="0.25">
      <c r="E865" t="s">
        <v>1143</v>
      </c>
      <c r="F865">
        <v>0.17083333333333339</v>
      </c>
      <c r="G865" t="s">
        <v>1745</v>
      </c>
    </row>
    <row r="866" spans="1:7" x14ac:dyDescent="0.25">
      <c r="E866" t="s">
        <v>1145</v>
      </c>
      <c r="F866">
        <v>0</v>
      </c>
    </row>
    <row r="867" spans="1:7" x14ac:dyDescent="0.25">
      <c r="E867" t="s">
        <v>1146</v>
      </c>
      <c r="F867">
        <v>0</v>
      </c>
    </row>
    <row r="868" spans="1:7" x14ac:dyDescent="0.25">
      <c r="E868" t="s">
        <v>1147</v>
      </c>
      <c r="F868">
        <v>0.3041666666666667</v>
      </c>
      <c r="G868" t="s">
        <v>1746</v>
      </c>
    </row>
    <row r="869" spans="1:7" x14ac:dyDescent="0.25">
      <c r="E869" t="s">
        <v>1149</v>
      </c>
      <c r="F869">
        <v>6.8763888888888891</v>
      </c>
      <c r="G869" t="s">
        <v>1150</v>
      </c>
    </row>
    <row r="870" spans="1:7" x14ac:dyDescent="0.25">
      <c r="A870">
        <v>74</v>
      </c>
      <c r="B870" t="s">
        <v>1747</v>
      </c>
      <c r="C870" t="s">
        <v>1748</v>
      </c>
      <c r="D870" t="s">
        <v>1749</v>
      </c>
      <c r="E870" t="s">
        <v>1098</v>
      </c>
      <c r="F870">
        <v>0</v>
      </c>
    </row>
    <row r="871" spans="1:7" x14ac:dyDescent="0.25">
      <c r="E871" t="s">
        <v>1099</v>
      </c>
      <c r="F871">
        <v>0.40902777777777777</v>
      </c>
      <c r="G871" t="s">
        <v>1750</v>
      </c>
    </row>
    <row r="872" spans="1:7" x14ac:dyDescent="0.25">
      <c r="E872" t="s">
        <v>1100</v>
      </c>
      <c r="F872">
        <v>0.4111111111111112</v>
      </c>
      <c r="G872" t="s">
        <v>1751</v>
      </c>
    </row>
    <row r="873" spans="1:7" x14ac:dyDescent="0.25">
      <c r="E873" t="s">
        <v>1101</v>
      </c>
      <c r="F873">
        <v>0.29097222222222219</v>
      </c>
      <c r="G873" t="s">
        <v>1752</v>
      </c>
    </row>
    <row r="874" spans="1:7" x14ac:dyDescent="0.25">
      <c r="E874" t="s">
        <v>1102</v>
      </c>
      <c r="F874">
        <v>0.29722222222222228</v>
      </c>
      <c r="G874" t="s">
        <v>1753</v>
      </c>
    </row>
    <row r="875" spans="1:7" x14ac:dyDescent="0.25">
      <c r="E875" t="s">
        <v>1104</v>
      </c>
      <c r="F875">
        <v>0.29374999999999996</v>
      </c>
      <c r="G875" t="s">
        <v>1754</v>
      </c>
    </row>
    <row r="876" spans="1:7" x14ac:dyDescent="0.25">
      <c r="E876" t="s">
        <v>1106</v>
      </c>
      <c r="F876">
        <v>0.20416666666666661</v>
      </c>
      <c r="G876" t="s">
        <v>1755</v>
      </c>
    </row>
    <row r="877" spans="1:7" x14ac:dyDescent="0.25">
      <c r="E877" t="s">
        <v>1108</v>
      </c>
      <c r="F877">
        <v>0</v>
      </c>
    </row>
    <row r="878" spans="1:7" x14ac:dyDescent="0.25">
      <c r="E878" t="s">
        <v>1109</v>
      </c>
      <c r="F878">
        <v>0.35555555555555562</v>
      </c>
      <c r="G878" t="s">
        <v>1756</v>
      </c>
    </row>
    <row r="879" spans="1:7" x14ac:dyDescent="0.25">
      <c r="E879" t="s">
        <v>1111</v>
      </c>
      <c r="F879">
        <v>0.29722222222222228</v>
      </c>
      <c r="G879" t="s">
        <v>1757</v>
      </c>
    </row>
    <row r="880" spans="1:7" x14ac:dyDescent="0.25">
      <c r="E880" t="s">
        <v>1113</v>
      </c>
      <c r="F880">
        <v>0.29236111111111107</v>
      </c>
      <c r="G880" t="s">
        <v>1758</v>
      </c>
    </row>
    <row r="881" spans="5:7" x14ac:dyDescent="0.25">
      <c r="E881" t="s">
        <v>1115</v>
      </c>
      <c r="F881">
        <v>0.29305555555555562</v>
      </c>
      <c r="G881" t="s">
        <v>1759</v>
      </c>
    </row>
    <row r="882" spans="5:7" x14ac:dyDescent="0.25">
      <c r="E882" t="s">
        <v>1117</v>
      </c>
      <c r="F882">
        <v>0.32361111111111107</v>
      </c>
      <c r="G882" t="s">
        <v>1760</v>
      </c>
    </row>
    <row r="883" spans="5:7" x14ac:dyDescent="0.25">
      <c r="E883" t="s">
        <v>1119</v>
      </c>
      <c r="F883">
        <v>0.21111111111111103</v>
      </c>
      <c r="G883" t="s">
        <v>1761</v>
      </c>
    </row>
    <row r="884" spans="5:7" x14ac:dyDescent="0.25">
      <c r="E884" t="s">
        <v>1121</v>
      </c>
      <c r="F884">
        <v>0</v>
      </c>
    </row>
    <row r="885" spans="5:7" x14ac:dyDescent="0.25">
      <c r="E885" t="s">
        <v>1122</v>
      </c>
      <c r="F885">
        <v>0.29236111111111107</v>
      </c>
      <c r="G885" t="s">
        <v>1762</v>
      </c>
    </row>
    <row r="886" spans="5:7" x14ac:dyDescent="0.25">
      <c r="E886" t="s">
        <v>1124</v>
      </c>
      <c r="F886">
        <v>0.27499999999999991</v>
      </c>
      <c r="G886" t="s">
        <v>1763</v>
      </c>
    </row>
    <row r="887" spans="5:7" x14ac:dyDescent="0.25">
      <c r="E887" t="s">
        <v>1126</v>
      </c>
      <c r="F887">
        <v>0.29374999999999996</v>
      </c>
      <c r="G887" t="s">
        <v>1764</v>
      </c>
    </row>
    <row r="888" spans="5:7" x14ac:dyDescent="0.25">
      <c r="E888" t="s">
        <v>1128</v>
      </c>
      <c r="F888">
        <v>0.34722222222222232</v>
      </c>
      <c r="G888" t="s">
        <v>1765</v>
      </c>
    </row>
    <row r="889" spans="5:7" x14ac:dyDescent="0.25">
      <c r="E889" t="s">
        <v>1130</v>
      </c>
      <c r="F889">
        <v>0</v>
      </c>
    </row>
    <row r="890" spans="5:7" x14ac:dyDescent="0.25">
      <c r="E890" t="s">
        <v>1132</v>
      </c>
      <c r="F890">
        <v>0.20972222222222214</v>
      </c>
      <c r="G890" t="s">
        <v>1766</v>
      </c>
    </row>
    <row r="891" spans="5:7" x14ac:dyDescent="0.25">
      <c r="E891" t="s">
        <v>1134</v>
      </c>
      <c r="F891">
        <v>0</v>
      </c>
    </row>
    <row r="892" spans="5:7" x14ac:dyDescent="0.25">
      <c r="E892" t="s">
        <v>1135</v>
      </c>
      <c r="F892">
        <v>0.29513888888888884</v>
      </c>
      <c r="G892" t="s">
        <v>1767</v>
      </c>
    </row>
    <row r="893" spans="5:7" x14ac:dyDescent="0.25">
      <c r="E893" t="s">
        <v>1137</v>
      </c>
      <c r="F893">
        <v>0.34444444444444455</v>
      </c>
      <c r="G893" t="s">
        <v>1768</v>
      </c>
    </row>
    <row r="894" spans="5:7" x14ac:dyDescent="0.25">
      <c r="E894" t="s">
        <v>1139</v>
      </c>
      <c r="F894">
        <v>0.34097222222222223</v>
      </c>
      <c r="G894" t="s">
        <v>1769</v>
      </c>
    </row>
    <row r="895" spans="5:7" x14ac:dyDescent="0.25">
      <c r="E895" t="s">
        <v>1141</v>
      </c>
      <c r="F895">
        <v>0.3486111111111112</v>
      </c>
      <c r="G895" t="s">
        <v>1770</v>
      </c>
    </row>
    <row r="896" spans="5:7" x14ac:dyDescent="0.25">
      <c r="E896" t="s">
        <v>1143</v>
      </c>
      <c r="F896">
        <v>0.17638888888888893</v>
      </c>
      <c r="G896" t="s">
        <v>1771</v>
      </c>
    </row>
    <row r="897" spans="1:7" x14ac:dyDescent="0.25">
      <c r="E897" t="s">
        <v>1145</v>
      </c>
      <c r="F897">
        <v>0</v>
      </c>
    </row>
    <row r="898" spans="1:7" x14ac:dyDescent="0.25">
      <c r="E898" t="s">
        <v>1146</v>
      </c>
      <c r="F898">
        <v>0</v>
      </c>
    </row>
    <row r="899" spans="1:7" x14ac:dyDescent="0.25">
      <c r="E899" t="s">
        <v>1147</v>
      </c>
      <c r="F899">
        <v>0.3388888888888888</v>
      </c>
      <c r="G899" t="s">
        <v>1772</v>
      </c>
    </row>
    <row r="900" spans="1:7" x14ac:dyDescent="0.25">
      <c r="E900" t="s">
        <v>1149</v>
      </c>
      <c r="F900">
        <v>6.9416666666666664</v>
      </c>
      <c r="G900" t="s">
        <v>1150</v>
      </c>
    </row>
    <row r="901" spans="1:7" x14ac:dyDescent="0.25">
      <c r="A901">
        <v>72</v>
      </c>
      <c r="B901" t="s">
        <v>1773</v>
      </c>
      <c r="C901" t="s">
        <v>1774</v>
      </c>
      <c r="D901" t="s">
        <v>264</v>
      </c>
      <c r="E901" t="s">
        <v>1098</v>
      </c>
      <c r="F901">
        <v>0</v>
      </c>
    </row>
    <row r="902" spans="1:7" x14ac:dyDescent="0.25">
      <c r="E902" t="s">
        <v>1099</v>
      </c>
      <c r="F902">
        <v>0.30000000000000004</v>
      </c>
      <c r="G902" t="s">
        <v>1775</v>
      </c>
    </row>
    <row r="903" spans="1:7" x14ac:dyDescent="0.25">
      <c r="E903" t="s">
        <v>1100</v>
      </c>
      <c r="F903">
        <v>0.27847222222222223</v>
      </c>
      <c r="G903" t="s">
        <v>1776</v>
      </c>
    </row>
    <row r="904" spans="1:7" x14ac:dyDescent="0.25">
      <c r="E904" t="s">
        <v>1101</v>
      </c>
      <c r="F904">
        <v>0.24791666666666656</v>
      </c>
      <c r="G904" t="s">
        <v>1777</v>
      </c>
    </row>
    <row r="905" spans="1:7" x14ac:dyDescent="0.25">
      <c r="E905" t="s">
        <v>1102</v>
      </c>
      <c r="F905">
        <v>0.31805555555555554</v>
      </c>
      <c r="G905" t="s">
        <v>1778</v>
      </c>
    </row>
    <row r="906" spans="1:7" x14ac:dyDescent="0.25">
      <c r="E906" t="s">
        <v>1104</v>
      </c>
      <c r="F906">
        <v>0.30972222222222223</v>
      </c>
      <c r="G906" t="s">
        <v>1779</v>
      </c>
    </row>
    <row r="907" spans="1:7" x14ac:dyDescent="0.25">
      <c r="E907" t="s">
        <v>1106</v>
      </c>
      <c r="F907">
        <v>0.20625000000000004</v>
      </c>
      <c r="G907" t="s">
        <v>1780</v>
      </c>
    </row>
    <row r="908" spans="1:7" x14ac:dyDescent="0.25">
      <c r="E908" t="s">
        <v>1108</v>
      </c>
      <c r="F908">
        <v>0</v>
      </c>
    </row>
    <row r="909" spans="1:7" x14ac:dyDescent="0.25">
      <c r="E909" t="s">
        <v>1109</v>
      </c>
      <c r="F909">
        <v>0.30000000000000004</v>
      </c>
      <c r="G909" t="s">
        <v>1781</v>
      </c>
    </row>
    <row r="910" spans="1:7" x14ac:dyDescent="0.25">
      <c r="E910" t="s">
        <v>1111</v>
      </c>
      <c r="F910">
        <v>0</v>
      </c>
    </row>
    <row r="911" spans="1:7" x14ac:dyDescent="0.25">
      <c r="E911" t="s">
        <v>1113</v>
      </c>
      <c r="F911">
        <v>0.30624999999999991</v>
      </c>
      <c r="G911" t="s">
        <v>1782</v>
      </c>
    </row>
    <row r="912" spans="1:7" x14ac:dyDescent="0.25">
      <c r="E912" t="s">
        <v>1115</v>
      </c>
      <c r="F912">
        <v>0.30000000000000004</v>
      </c>
      <c r="G912" t="s">
        <v>1783</v>
      </c>
    </row>
    <row r="913" spans="5:7" x14ac:dyDescent="0.25">
      <c r="E913" t="s">
        <v>1117</v>
      </c>
      <c r="F913">
        <v>0.33402777777777781</v>
      </c>
      <c r="G913" t="s">
        <v>1784</v>
      </c>
    </row>
    <row r="914" spans="5:7" x14ac:dyDescent="0.25">
      <c r="E914" t="s">
        <v>1119</v>
      </c>
      <c r="F914">
        <v>0.20972222222222214</v>
      </c>
      <c r="G914" t="s">
        <v>1785</v>
      </c>
    </row>
    <row r="915" spans="5:7" x14ac:dyDescent="0.25">
      <c r="E915" t="s">
        <v>1121</v>
      </c>
      <c r="F915">
        <v>0</v>
      </c>
    </row>
    <row r="916" spans="5:7" x14ac:dyDescent="0.25">
      <c r="E916" t="s">
        <v>1122</v>
      </c>
      <c r="F916">
        <v>0.29097222222222219</v>
      </c>
      <c r="G916" t="s">
        <v>1786</v>
      </c>
    </row>
    <row r="917" spans="5:7" x14ac:dyDescent="0.25">
      <c r="E917" t="s">
        <v>1124</v>
      </c>
      <c r="F917">
        <v>0.31388888888888888</v>
      </c>
      <c r="G917" t="s">
        <v>1787</v>
      </c>
    </row>
    <row r="918" spans="5:7" x14ac:dyDescent="0.25">
      <c r="E918" t="s">
        <v>1126</v>
      </c>
      <c r="F918">
        <v>0.30000000000000004</v>
      </c>
      <c r="G918" t="s">
        <v>1788</v>
      </c>
    </row>
    <row r="919" spans="5:7" x14ac:dyDescent="0.25">
      <c r="E919" t="s">
        <v>1128</v>
      </c>
      <c r="F919">
        <v>0.30486111111111103</v>
      </c>
      <c r="G919" t="s">
        <v>1789</v>
      </c>
    </row>
    <row r="920" spans="5:7" x14ac:dyDescent="0.25">
      <c r="E920" t="s">
        <v>1130</v>
      </c>
      <c r="F920">
        <v>0.29305555555555562</v>
      </c>
      <c r="G920" t="s">
        <v>1790</v>
      </c>
    </row>
    <row r="921" spans="5:7" x14ac:dyDescent="0.25">
      <c r="E921" t="s">
        <v>1132</v>
      </c>
      <c r="F921">
        <v>0.20902777777777781</v>
      </c>
      <c r="G921" t="s">
        <v>1791</v>
      </c>
    </row>
    <row r="922" spans="5:7" x14ac:dyDescent="0.25">
      <c r="E922" t="s">
        <v>1134</v>
      </c>
      <c r="F922">
        <v>0</v>
      </c>
    </row>
    <row r="923" spans="5:7" x14ac:dyDescent="0.25">
      <c r="E923" t="s">
        <v>1135</v>
      </c>
      <c r="F923">
        <v>0.29444444444444451</v>
      </c>
      <c r="G923" t="s">
        <v>1792</v>
      </c>
    </row>
    <row r="924" spans="5:7" x14ac:dyDescent="0.25">
      <c r="E924" t="s">
        <v>1137</v>
      </c>
      <c r="F924">
        <v>0.3388888888888888</v>
      </c>
      <c r="G924" t="s">
        <v>1793</v>
      </c>
    </row>
    <row r="925" spans="5:7" x14ac:dyDescent="0.25">
      <c r="E925" t="s">
        <v>1139</v>
      </c>
      <c r="F925">
        <v>0.33333333333333326</v>
      </c>
      <c r="G925" t="s">
        <v>1794</v>
      </c>
    </row>
    <row r="926" spans="5:7" x14ac:dyDescent="0.25">
      <c r="E926" t="s">
        <v>1141</v>
      </c>
      <c r="F926">
        <v>0.33333333333333326</v>
      </c>
      <c r="G926" t="s">
        <v>1795</v>
      </c>
    </row>
    <row r="927" spans="5:7" x14ac:dyDescent="0.25">
      <c r="E927" t="s">
        <v>1143</v>
      </c>
      <c r="F927">
        <v>0.17291666666666661</v>
      </c>
      <c r="G927" t="s">
        <v>1796</v>
      </c>
    </row>
    <row r="928" spans="5:7" x14ac:dyDescent="0.25">
      <c r="E928" t="s">
        <v>1145</v>
      </c>
      <c r="F928">
        <v>0</v>
      </c>
    </row>
    <row r="929" spans="1:7" x14ac:dyDescent="0.25">
      <c r="E929" t="s">
        <v>1146</v>
      </c>
      <c r="F929">
        <v>0</v>
      </c>
    </row>
    <row r="930" spans="1:7" x14ac:dyDescent="0.25">
      <c r="E930" t="s">
        <v>1147</v>
      </c>
      <c r="F930">
        <v>0.33611111111111103</v>
      </c>
      <c r="G930" t="s">
        <v>1797</v>
      </c>
    </row>
    <row r="931" spans="1:7" x14ac:dyDescent="0.25">
      <c r="E931" t="s">
        <v>1149</v>
      </c>
      <c r="F931">
        <v>6.6312499999999996</v>
      </c>
      <c r="G931" t="s">
        <v>1150</v>
      </c>
    </row>
    <row r="932" spans="1:7" x14ac:dyDescent="0.25">
      <c r="A932">
        <v>88</v>
      </c>
      <c r="B932" t="s">
        <v>1798</v>
      </c>
      <c r="C932" t="s">
        <v>1799</v>
      </c>
      <c r="D932" t="s">
        <v>271</v>
      </c>
      <c r="E932" t="s">
        <v>1098</v>
      </c>
      <c r="F932">
        <v>0</v>
      </c>
    </row>
    <row r="933" spans="1:7" x14ac:dyDescent="0.25">
      <c r="E933" t="s">
        <v>1099</v>
      </c>
      <c r="F933">
        <v>0.29930555555555549</v>
      </c>
      <c r="G933" t="s">
        <v>1800</v>
      </c>
    </row>
    <row r="934" spans="1:7" x14ac:dyDescent="0.25">
      <c r="E934" t="s">
        <v>1100</v>
      </c>
      <c r="F934">
        <v>0.31805555555555554</v>
      </c>
      <c r="G934" t="s">
        <v>1801</v>
      </c>
    </row>
    <row r="935" spans="1:7" x14ac:dyDescent="0.25">
      <c r="E935" t="s">
        <v>1101</v>
      </c>
      <c r="F935">
        <v>0.29652777777777772</v>
      </c>
      <c r="G935" t="s">
        <v>1802</v>
      </c>
    </row>
    <row r="936" spans="1:7" x14ac:dyDescent="0.25">
      <c r="E936" t="s">
        <v>1102</v>
      </c>
      <c r="F936">
        <v>0.3076388888888888</v>
      </c>
      <c r="G936" t="s">
        <v>1803</v>
      </c>
    </row>
    <row r="937" spans="1:7" x14ac:dyDescent="0.25">
      <c r="E937" t="s">
        <v>1104</v>
      </c>
      <c r="F937">
        <v>0.3125</v>
      </c>
      <c r="G937" t="s">
        <v>1804</v>
      </c>
    </row>
    <row r="938" spans="1:7" x14ac:dyDescent="0.25">
      <c r="E938" t="s">
        <v>1106</v>
      </c>
      <c r="F938">
        <v>0</v>
      </c>
    </row>
    <row r="939" spans="1:7" x14ac:dyDescent="0.25">
      <c r="E939" t="s">
        <v>1108</v>
      </c>
      <c r="F939">
        <v>0</v>
      </c>
    </row>
    <row r="940" spans="1:7" x14ac:dyDescent="0.25">
      <c r="E940" t="s">
        <v>1109</v>
      </c>
      <c r="F940">
        <v>0.29791666666666661</v>
      </c>
      <c r="G940" t="s">
        <v>1805</v>
      </c>
    </row>
    <row r="941" spans="1:7" x14ac:dyDescent="0.25">
      <c r="E941" t="s">
        <v>1111</v>
      </c>
      <c r="F941">
        <v>0.29791666666666661</v>
      </c>
      <c r="G941" t="s">
        <v>1806</v>
      </c>
    </row>
    <row r="942" spans="1:7" x14ac:dyDescent="0.25">
      <c r="E942" t="s">
        <v>1113</v>
      </c>
      <c r="F942">
        <v>0.30208333333333326</v>
      </c>
      <c r="G942" t="s">
        <v>1807</v>
      </c>
    </row>
    <row r="943" spans="1:7" x14ac:dyDescent="0.25">
      <c r="E943" t="s">
        <v>1115</v>
      </c>
      <c r="F943">
        <v>0.29930555555555549</v>
      </c>
      <c r="G943" t="s">
        <v>1808</v>
      </c>
    </row>
    <row r="944" spans="1:7" x14ac:dyDescent="0.25">
      <c r="E944" t="s">
        <v>1117</v>
      </c>
      <c r="F944">
        <v>0.34166666666666656</v>
      </c>
      <c r="G944" t="s">
        <v>1809</v>
      </c>
    </row>
    <row r="945" spans="5:7" x14ac:dyDescent="0.25">
      <c r="E945" t="s">
        <v>1119</v>
      </c>
      <c r="F945">
        <v>0.21736111111111112</v>
      </c>
      <c r="G945" t="s">
        <v>1810</v>
      </c>
    </row>
    <row r="946" spans="5:7" x14ac:dyDescent="0.25">
      <c r="E946" t="s">
        <v>1121</v>
      </c>
      <c r="F946">
        <v>0</v>
      </c>
    </row>
    <row r="947" spans="5:7" x14ac:dyDescent="0.25">
      <c r="E947" t="s">
        <v>1122</v>
      </c>
      <c r="F947">
        <v>0.29166666666666674</v>
      </c>
      <c r="G947" t="s">
        <v>1811</v>
      </c>
    </row>
    <row r="948" spans="5:7" x14ac:dyDescent="0.25">
      <c r="E948" t="s">
        <v>1124</v>
      </c>
      <c r="F948">
        <v>0.29513888888888884</v>
      </c>
      <c r="G948" t="s">
        <v>1812</v>
      </c>
    </row>
    <row r="949" spans="5:7" x14ac:dyDescent="0.25">
      <c r="E949" t="s">
        <v>1126</v>
      </c>
      <c r="F949">
        <v>0.29930555555555549</v>
      </c>
      <c r="G949" t="s">
        <v>1813</v>
      </c>
    </row>
    <row r="950" spans="5:7" x14ac:dyDescent="0.25">
      <c r="E950" t="s">
        <v>1128</v>
      </c>
      <c r="F950">
        <v>0.29861111111111116</v>
      </c>
      <c r="G950" t="s">
        <v>1814</v>
      </c>
    </row>
    <row r="951" spans="5:7" x14ac:dyDescent="0.25">
      <c r="E951" t="s">
        <v>1130</v>
      </c>
      <c r="F951">
        <v>0.29513888888888884</v>
      </c>
      <c r="G951" t="s">
        <v>1815</v>
      </c>
    </row>
    <row r="952" spans="5:7" x14ac:dyDescent="0.25">
      <c r="E952" t="s">
        <v>1132</v>
      </c>
      <c r="F952">
        <v>0.21180555555555558</v>
      </c>
      <c r="G952" t="s">
        <v>1816</v>
      </c>
    </row>
    <row r="953" spans="5:7" x14ac:dyDescent="0.25">
      <c r="E953" t="s">
        <v>1134</v>
      </c>
      <c r="F953">
        <v>0</v>
      </c>
    </row>
    <row r="954" spans="5:7" x14ac:dyDescent="0.25">
      <c r="E954" t="s">
        <v>1135</v>
      </c>
      <c r="F954">
        <v>0.29513888888888884</v>
      </c>
      <c r="G954" t="s">
        <v>1817</v>
      </c>
    </row>
    <row r="955" spans="5:7" x14ac:dyDescent="0.25">
      <c r="E955" t="s">
        <v>1137</v>
      </c>
      <c r="F955">
        <v>0.34305555555555545</v>
      </c>
      <c r="G955" t="s">
        <v>1818</v>
      </c>
    </row>
    <row r="956" spans="5:7" x14ac:dyDescent="0.25">
      <c r="E956" t="s">
        <v>1139</v>
      </c>
      <c r="F956">
        <v>0.34513888888888888</v>
      </c>
      <c r="G956" t="s">
        <v>1819</v>
      </c>
    </row>
    <row r="957" spans="5:7" x14ac:dyDescent="0.25">
      <c r="E957" t="s">
        <v>1141</v>
      </c>
      <c r="F957">
        <v>0.32499999999999996</v>
      </c>
      <c r="G957" t="s">
        <v>1820</v>
      </c>
    </row>
    <row r="958" spans="5:7" x14ac:dyDescent="0.25">
      <c r="E958" t="s">
        <v>1143</v>
      </c>
      <c r="F958">
        <v>0.17430555555555549</v>
      </c>
      <c r="G958" t="s">
        <v>1821</v>
      </c>
    </row>
    <row r="959" spans="5:7" x14ac:dyDescent="0.25">
      <c r="E959" t="s">
        <v>1145</v>
      </c>
      <c r="F959">
        <v>0</v>
      </c>
    </row>
    <row r="960" spans="5:7" x14ac:dyDescent="0.25">
      <c r="E960" t="s">
        <v>1146</v>
      </c>
      <c r="F960">
        <v>0</v>
      </c>
    </row>
    <row r="961" spans="1:7" x14ac:dyDescent="0.25">
      <c r="E961" t="s">
        <v>1147</v>
      </c>
      <c r="F961">
        <v>0.34236111111111112</v>
      </c>
      <c r="G961" t="s">
        <v>1822</v>
      </c>
    </row>
    <row r="962" spans="1:7" x14ac:dyDescent="0.25">
      <c r="E962" t="s">
        <v>1149</v>
      </c>
      <c r="F962">
        <v>6.8069444444444445</v>
      </c>
      <c r="G962" t="s">
        <v>1150</v>
      </c>
    </row>
    <row r="963" spans="1:7" x14ac:dyDescent="0.25">
      <c r="A963">
        <v>84</v>
      </c>
      <c r="B963" t="s">
        <v>1823</v>
      </c>
      <c r="C963" t="s">
        <v>1824</v>
      </c>
      <c r="D963" t="s">
        <v>676</v>
      </c>
      <c r="E963" t="s">
        <v>1098</v>
      </c>
      <c r="F963">
        <v>0</v>
      </c>
    </row>
    <row r="964" spans="1:7" x14ac:dyDescent="0.25">
      <c r="E964" t="s">
        <v>1099</v>
      </c>
      <c r="F964">
        <v>0</v>
      </c>
    </row>
    <row r="965" spans="1:7" x14ac:dyDescent="0.25">
      <c r="E965" t="s">
        <v>1100</v>
      </c>
      <c r="F965">
        <v>0</v>
      </c>
    </row>
    <row r="966" spans="1:7" x14ac:dyDescent="0.25">
      <c r="E966" t="s">
        <v>1101</v>
      </c>
      <c r="F966">
        <v>0</v>
      </c>
    </row>
    <row r="967" spans="1:7" x14ac:dyDescent="0.25">
      <c r="E967" t="s">
        <v>1102</v>
      </c>
      <c r="F967">
        <v>0</v>
      </c>
    </row>
    <row r="968" spans="1:7" x14ac:dyDescent="0.25">
      <c r="E968" t="s">
        <v>1104</v>
      </c>
      <c r="F968">
        <v>0</v>
      </c>
    </row>
    <row r="969" spans="1:7" x14ac:dyDescent="0.25">
      <c r="E969" t="s">
        <v>1106</v>
      </c>
      <c r="F969">
        <v>0</v>
      </c>
    </row>
    <row r="970" spans="1:7" x14ac:dyDescent="0.25">
      <c r="E970" t="s">
        <v>1108</v>
      </c>
      <c r="F970">
        <v>0</v>
      </c>
    </row>
    <row r="971" spans="1:7" x14ac:dyDescent="0.25">
      <c r="E971" t="s">
        <v>1109</v>
      </c>
      <c r="F971">
        <v>0</v>
      </c>
    </row>
    <row r="972" spans="1:7" x14ac:dyDescent="0.25">
      <c r="E972" t="s">
        <v>1111</v>
      </c>
      <c r="F972">
        <v>0</v>
      </c>
    </row>
    <row r="973" spans="1:7" x14ac:dyDescent="0.25">
      <c r="E973" t="s">
        <v>1113</v>
      </c>
      <c r="F973">
        <v>0</v>
      </c>
    </row>
    <row r="974" spans="1:7" x14ac:dyDescent="0.25">
      <c r="E974" t="s">
        <v>1115</v>
      </c>
      <c r="F974">
        <v>0</v>
      </c>
    </row>
    <row r="975" spans="1:7" x14ac:dyDescent="0.25">
      <c r="E975" t="s">
        <v>1117</v>
      </c>
      <c r="F975">
        <v>0</v>
      </c>
    </row>
    <row r="976" spans="1:7" x14ac:dyDescent="0.25">
      <c r="E976" t="s">
        <v>1119</v>
      </c>
      <c r="F976">
        <v>0</v>
      </c>
    </row>
    <row r="977" spans="5:6" x14ac:dyDescent="0.25">
      <c r="E977" t="s">
        <v>1121</v>
      </c>
      <c r="F977">
        <v>0</v>
      </c>
    </row>
    <row r="978" spans="5:6" x14ac:dyDescent="0.25">
      <c r="E978" t="s">
        <v>1122</v>
      </c>
      <c r="F978">
        <v>0</v>
      </c>
    </row>
    <row r="979" spans="5:6" x14ac:dyDescent="0.25">
      <c r="E979" t="s">
        <v>1124</v>
      </c>
      <c r="F979">
        <v>0</v>
      </c>
    </row>
    <row r="980" spans="5:6" x14ac:dyDescent="0.25">
      <c r="E980" t="s">
        <v>1126</v>
      </c>
      <c r="F980">
        <v>0</v>
      </c>
    </row>
    <row r="981" spans="5:6" x14ac:dyDescent="0.25">
      <c r="E981" t="s">
        <v>1128</v>
      </c>
      <c r="F981">
        <v>0</v>
      </c>
    </row>
    <row r="982" spans="5:6" x14ac:dyDescent="0.25">
      <c r="E982" t="s">
        <v>1130</v>
      </c>
      <c r="F982">
        <v>0</v>
      </c>
    </row>
    <row r="983" spans="5:6" x14ac:dyDescent="0.25">
      <c r="E983" t="s">
        <v>1132</v>
      </c>
      <c r="F983">
        <v>0</v>
      </c>
    </row>
    <row r="984" spans="5:6" x14ac:dyDescent="0.25">
      <c r="E984" t="s">
        <v>1134</v>
      </c>
      <c r="F984">
        <v>0</v>
      </c>
    </row>
    <row r="985" spans="5:6" x14ac:dyDescent="0.25">
      <c r="E985" t="s">
        <v>1135</v>
      </c>
      <c r="F985">
        <v>0</v>
      </c>
    </row>
    <row r="986" spans="5:6" x14ac:dyDescent="0.25">
      <c r="E986" t="s">
        <v>1137</v>
      </c>
      <c r="F986">
        <v>0</v>
      </c>
    </row>
    <row r="987" spans="5:6" x14ac:dyDescent="0.25">
      <c r="E987" t="s">
        <v>1139</v>
      </c>
      <c r="F987">
        <v>0</v>
      </c>
    </row>
    <row r="988" spans="5:6" x14ac:dyDescent="0.25">
      <c r="E988" t="s">
        <v>1141</v>
      </c>
      <c r="F988">
        <v>0</v>
      </c>
    </row>
    <row r="989" spans="5:6" x14ac:dyDescent="0.25">
      <c r="E989" t="s">
        <v>1143</v>
      </c>
      <c r="F989">
        <v>0</v>
      </c>
    </row>
    <row r="990" spans="5:6" x14ac:dyDescent="0.25">
      <c r="E990" t="s">
        <v>1145</v>
      </c>
      <c r="F990">
        <v>0</v>
      </c>
    </row>
    <row r="991" spans="5:6" x14ac:dyDescent="0.25">
      <c r="E991" t="s">
        <v>1146</v>
      </c>
      <c r="F991">
        <v>0</v>
      </c>
    </row>
    <row r="992" spans="5:6" x14ac:dyDescent="0.25">
      <c r="E992" t="s">
        <v>1147</v>
      </c>
      <c r="F992">
        <v>0</v>
      </c>
    </row>
    <row r="993" spans="1:7" x14ac:dyDescent="0.25">
      <c r="E993" t="s">
        <v>1149</v>
      </c>
      <c r="F993">
        <v>0</v>
      </c>
      <c r="G993" t="s">
        <v>1150</v>
      </c>
    </row>
    <row r="994" spans="1:7" x14ac:dyDescent="0.25">
      <c r="A994">
        <v>73</v>
      </c>
      <c r="B994" t="s">
        <v>1825</v>
      </c>
      <c r="C994" t="s">
        <v>1826</v>
      </c>
      <c r="D994" t="s">
        <v>1827</v>
      </c>
      <c r="E994" t="s">
        <v>1098</v>
      </c>
      <c r="F994">
        <v>0</v>
      </c>
    </row>
    <row r="995" spans="1:7" x14ac:dyDescent="0.25">
      <c r="E995" t="s">
        <v>1099</v>
      </c>
      <c r="F995">
        <v>0.29583333333333339</v>
      </c>
      <c r="G995" t="s">
        <v>1828</v>
      </c>
    </row>
    <row r="996" spans="1:7" x14ac:dyDescent="0.25">
      <c r="E996" t="s">
        <v>1100</v>
      </c>
      <c r="F996">
        <v>0.3173611111111112</v>
      </c>
      <c r="G996" t="s">
        <v>1829</v>
      </c>
    </row>
    <row r="997" spans="1:7" x14ac:dyDescent="0.25">
      <c r="E997" t="s">
        <v>1101</v>
      </c>
      <c r="F997">
        <v>0.29374999999999996</v>
      </c>
      <c r="G997" t="s">
        <v>1830</v>
      </c>
    </row>
    <row r="998" spans="1:7" x14ac:dyDescent="0.25">
      <c r="E998" t="s">
        <v>1102</v>
      </c>
      <c r="F998">
        <v>0.28888888888888897</v>
      </c>
      <c r="G998" t="s">
        <v>1831</v>
      </c>
    </row>
    <row r="999" spans="1:7" x14ac:dyDescent="0.25">
      <c r="E999" t="s">
        <v>1104</v>
      </c>
      <c r="F999">
        <v>0.3076388888888888</v>
      </c>
      <c r="G999" t="s">
        <v>1832</v>
      </c>
    </row>
    <row r="1000" spans="1:7" x14ac:dyDescent="0.25">
      <c r="E1000" t="s">
        <v>1106</v>
      </c>
      <c r="F1000">
        <v>0.20555555555555549</v>
      </c>
      <c r="G1000" t="s">
        <v>1833</v>
      </c>
    </row>
    <row r="1001" spans="1:7" x14ac:dyDescent="0.25">
      <c r="E1001" t="s">
        <v>1108</v>
      </c>
      <c r="F1001">
        <v>0</v>
      </c>
    </row>
    <row r="1002" spans="1:7" x14ac:dyDescent="0.25">
      <c r="E1002" t="s">
        <v>1109</v>
      </c>
      <c r="F1002">
        <v>0.29305555555555562</v>
      </c>
      <c r="G1002" t="s">
        <v>1834</v>
      </c>
    </row>
    <row r="1003" spans="1:7" x14ac:dyDescent="0.25">
      <c r="E1003" t="s">
        <v>1111</v>
      </c>
      <c r="F1003">
        <v>0.29583333333333339</v>
      </c>
      <c r="G1003" t="s">
        <v>1835</v>
      </c>
    </row>
    <row r="1004" spans="1:7" x14ac:dyDescent="0.25">
      <c r="E1004" t="s">
        <v>1113</v>
      </c>
      <c r="F1004">
        <v>0.29513888888888884</v>
      </c>
      <c r="G1004" t="s">
        <v>1836</v>
      </c>
    </row>
    <row r="1005" spans="1:7" x14ac:dyDescent="0.25">
      <c r="E1005" t="s">
        <v>1115</v>
      </c>
      <c r="F1005">
        <v>0.41180555555555554</v>
      </c>
      <c r="G1005" t="s">
        <v>1837</v>
      </c>
    </row>
    <row r="1006" spans="1:7" x14ac:dyDescent="0.25">
      <c r="E1006" t="s">
        <v>1117</v>
      </c>
      <c r="F1006">
        <v>0.11388888888888893</v>
      </c>
      <c r="G1006" t="s">
        <v>1838</v>
      </c>
    </row>
    <row r="1007" spans="1:7" x14ac:dyDescent="0.25">
      <c r="E1007" t="s">
        <v>1119</v>
      </c>
      <c r="F1007">
        <v>0</v>
      </c>
    </row>
    <row r="1008" spans="1:7" x14ac:dyDescent="0.25">
      <c r="E1008" t="s">
        <v>1121</v>
      </c>
      <c r="F1008">
        <v>0</v>
      </c>
    </row>
    <row r="1009" spans="5:7" x14ac:dyDescent="0.25">
      <c r="E1009" t="s">
        <v>1122</v>
      </c>
      <c r="F1009">
        <v>0.29513888888888884</v>
      </c>
      <c r="G1009" t="s">
        <v>1839</v>
      </c>
    </row>
    <row r="1010" spans="5:7" x14ac:dyDescent="0.25">
      <c r="E1010" t="s">
        <v>1124</v>
      </c>
      <c r="F1010">
        <v>0.29097222222222219</v>
      </c>
      <c r="G1010" t="s">
        <v>1840</v>
      </c>
    </row>
    <row r="1011" spans="5:7" x14ac:dyDescent="0.25">
      <c r="E1011" t="s">
        <v>1126</v>
      </c>
      <c r="F1011">
        <v>0.25347222222222232</v>
      </c>
      <c r="G1011" t="s">
        <v>1841</v>
      </c>
    </row>
    <row r="1012" spans="5:7" x14ac:dyDescent="0.25">
      <c r="E1012" t="s">
        <v>1128</v>
      </c>
      <c r="F1012">
        <v>0.29583333333333339</v>
      </c>
      <c r="G1012" t="s">
        <v>1842</v>
      </c>
    </row>
    <row r="1013" spans="5:7" x14ac:dyDescent="0.25">
      <c r="E1013" t="s">
        <v>1130</v>
      </c>
      <c r="F1013">
        <v>0.29166666666666674</v>
      </c>
      <c r="G1013" t="s">
        <v>1843</v>
      </c>
    </row>
    <row r="1014" spans="5:7" x14ac:dyDescent="0.25">
      <c r="E1014" t="s">
        <v>1132</v>
      </c>
      <c r="F1014">
        <v>0</v>
      </c>
    </row>
    <row r="1015" spans="5:7" x14ac:dyDescent="0.25">
      <c r="E1015" t="s">
        <v>1134</v>
      </c>
      <c r="F1015">
        <v>0</v>
      </c>
    </row>
    <row r="1016" spans="5:7" x14ac:dyDescent="0.25">
      <c r="E1016" t="s">
        <v>1135</v>
      </c>
      <c r="F1016">
        <v>0.29652777777777772</v>
      </c>
      <c r="G1016" t="s">
        <v>1844</v>
      </c>
    </row>
    <row r="1017" spans="5:7" x14ac:dyDescent="0.25">
      <c r="E1017" t="s">
        <v>1137</v>
      </c>
      <c r="F1017">
        <v>0.33749999999999991</v>
      </c>
      <c r="G1017" t="s">
        <v>1845</v>
      </c>
    </row>
    <row r="1018" spans="5:7" x14ac:dyDescent="0.25">
      <c r="E1018" t="s">
        <v>1139</v>
      </c>
      <c r="F1018">
        <v>0.33680555555555558</v>
      </c>
      <c r="G1018" t="s">
        <v>1846</v>
      </c>
    </row>
    <row r="1019" spans="5:7" x14ac:dyDescent="0.25">
      <c r="E1019" t="s">
        <v>1141</v>
      </c>
      <c r="F1019">
        <v>0.33611111111111103</v>
      </c>
      <c r="G1019" t="s">
        <v>1847</v>
      </c>
    </row>
    <row r="1020" spans="5:7" x14ac:dyDescent="0.25">
      <c r="E1020" t="s">
        <v>1143</v>
      </c>
      <c r="F1020">
        <v>0.17638888888888893</v>
      </c>
      <c r="G1020" t="s">
        <v>1848</v>
      </c>
    </row>
    <row r="1021" spans="5:7" x14ac:dyDescent="0.25">
      <c r="E1021" t="s">
        <v>1145</v>
      </c>
      <c r="F1021">
        <v>0</v>
      </c>
    </row>
    <row r="1022" spans="5:7" x14ac:dyDescent="0.25">
      <c r="E1022" t="s">
        <v>1146</v>
      </c>
      <c r="F1022">
        <v>0</v>
      </c>
    </row>
    <row r="1023" spans="5:7" x14ac:dyDescent="0.25">
      <c r="E1023" t="s">
        <v>1147</v>
      </c>
      <c r="F1023">
        <v>0.33333333333333326</v>
      </c>
      <c r="G1023" t="s">
        <v>1849</v>
      </c>
    </row>
    <row r="1024" spans="5:7" x14ac:dyDescent="0.25">
      <c r="E1024" t="s">
        <v>1149</v>
      </c>
      <c r="F1024">
        <v>6.3624999999999998</v>
      </c>
      <c r="G1024" t="s">
        <v>1150</v>
      </c>
    </row>
    <row r="1025" spans="1:6" x14ac:dyDescent="0.25">
      <c r="A1025">
        <v>81</v>
      </c>
      <c r="B1025" t="s">
        <v>1850</v>
      </c>
      <c r="C1025" t="s">
        <v>1851</v>
      </c>
      <c r="D1025" t="s">
        <v>1852</v>
      </c>
      <c r="E1025" t="s">
        <v>1098</v>
      </c>
      <c r="F1025">
        <v>0</v>
      </c>
    </row>
    <row r="1026" spans="1:6" x14ac:dyDescent="0.25">
      <c r="E1026" t="s">
        <v>1099</v>
      </c>
      <c r="F1026">
        <v>0</v>
      </c>
    </row>
    <row r="1027" spans="1:6" x14ac:dyDescent="0.25">
      <c r="E1027" t="s">
        <v>1100</v>
      </c>
      <c r="F1027">
        <v>0</v>
      </c>
    </row>
    <row r="1028" spans="1:6" x14ac:dyDescent="0.25">
      <c r="E1028" t="s">
        <v>1101</v>
      </c>
      <c r="F1028">
        <v>0</v>
      </c>
    </row>
    <row r="1029" spans="1:6" x14ac:dyDescent="0.25">
      <c r="E1029" t="s">
        <v>1102</v>
      </c>
      <c r="F1029">
        <v>0</v>
      </c>
    </row>
    <row r="1030" spans="1:6" x14ac:dyDescent="0.25">
      <c r="E1030" t="s">
        <v>1104</v>
      </c>
      <c r="F1030">
        <v>0</v>
      </c>
    </row>
    <row r="1031" spans="1:6" x14ac:dyDescent="0.25">
      <c r="E1031" t="s">
        <v>1106</v>
      </c>
      <c r="F1031">
        <v>0</v>
      </c>
    </row>
    <row r="1032" spans="1:6" x14ac:dyDescent="0.25">
      <c r="E1032" t="s">
        <v>1108</v>
      </c>
      <c r="F1032">
        <v>0</v>
      </c>
    </row>
    <row r="1033" spans="1:6" x14ac:dyDescent="0.25">
      <c r="E1033" t="s">
        <v>1109</v>
      </c>
      <c r="F1033">
        <v>0</v>
      </c>
    </row>
    <row r="1034" spans="1:6" x14ac:dyDescent="0.25">
      <c r="E1034" t="s">
        <v>1111</v>
      </c>
      <c r="F1034">
        <v>0</v>
      </c>
    </row>
    <row r="1035" spans="1:6" x14ac:dyDescent="0.25">
      <c r="E1035" t="s">
        <v>1113</v>
      </c>
      <c r="F1035">
        <v>0</v>
      </c>
    </row>
    <row r="1036" spans="1:6" x14ac:dyDescent="0.25">
      <c r="E1036" t="s">
        <v>1115</v>
      </c>
      <c r="F1036">
        <v>0</v>
      </c>
    </row>
    <row r="1037" spans="1:6" x14ac:dyDescent="0.25">
      <c r="E1037" t="s">
        <v>1117</v>
      </c>
      <c r="F1037">
        <v>0</v>
      </c>
    </row>
    <row r="1038" spans="1:6" x14ac:dyDescent="0.25">
      <c r="E1038" t="s">
        <v>1119</v>
      </c>
      <c r="F1038">
        <v>0</v>
      </c>
    </row>
    <row r="1039" spans="1:6" x14ac:dyDescent="0.25">
      <c r="E1039" t="s">
        <v>1121</v>
      </c>
      <c r="F1039">
        <v>0</v>
      </c>
    </row>
    <row r="1040" spans="1:6" x14ac:dyDescent="0.25">
      <c r="E1040" t="s">
        <v>1122</v>
      </c>
      <c r="F1040">
        <v>0</v>
      </c>
    </row>
    <row r="1041" spans="1:7" x14ac:dyDescent="0.25">
      <c r="E1041" t="s">
        <v>1124</v>
      </c>
      <c r="F1041">
        <v>0</v>
      </c>
    </row>
    <row r="1042" spans="1:7" x14ac:dyDescent="0.25">
      <c r="E1042" t="s">
        <v>1126</v>
      </c>
      <c r="F1042">
        <v>0</v>
      </c>
    </row>
    <row r="1043" spans="1:7" x14ac:dyDescent="0.25">
      <c r="E1043" t="s">
        <v>1128</v>
      </c>
      <c r="F1043">
        <v>0</v>
      </c>
    </row>
    <row r="1044" spans="1:7" x14ac:dyDescent="0.25">
      <c r="E1044" t="s">
        <v>1130</v>
      </c>
      <c r="F1044">
        <v>0</v>
      </c>
    </row>
    <row r="1045" spans="1:7" x14ac:dyDescent="0.25">
      <c r="E1045" t="s">
        <v>1132</v>
      </c>
      <c r="F1045">
        <v>0</v>
      </c>
    </row>
    <row r="1046" spans="1:7" x14ac:dyDescent="0.25">
      <c r="E1046" t="s">
        <v>1134</v>
      </c>
      <c r="F1046">
        <v>0</v>
      </c>
    </row>
    <row r="1047" spans="1:7" x14ac:dyDescent="0.25">
      <c r="E1047" t="s">
        <v>1135</v>
      </c>
      <c r="F1047">
        <v>0</v>
      </c>
    </row>
    <row r="1048" spans="1:7" x14ac:dyDescent="0.25">
      <c r="E1048" t="s">
        <v>1137</v>
      </c>
      <c r="F1048">
        <v>0</v>
      </c>
    </row>
    <row r="1049" spans="1:7" x14ac:dyDescent="0.25">
      <c r="E1049" t="s">
        <v>1139</v>
      </c>
      <c r="F1049">
        <v>0</v>
      </c>
    </row>
    <row r="1050" spans="1:7" x14ac:dyDescent="0.25">
      <c r="E1050" t="s">
        <v>1141</v>
      </c>
      <c r="F1050">
        <v>0</v>
      </c>
    </row>
    <row r="1051" spans="1:7" x14ac:dyDescent="0.25">
      <c r="E1051" t="s">
        <v>1143</v>
      </c>
      <c r="F1051">
        <v>0</v>
      </c>
    </row>
    <row r="1052" spans="1:7" x14ac:dyDescent="0.25">
      <c r="E1052" t="s">
        <v>1145</v>
      </c>
      <c r="F1052">
        <v>0</v>
      </c>
    </row>
    <row r="1053" spans="1:7" x14ac:dyDescent="0.25">
      <c r="E1053" t="s">
        <v>1146</v>
      </c>
      <c r="F1053">
        <v>0</v>
      </c>
    </row>
    <row r="1054" spans="1:7" x14ac:dyDescent="0.25">
      <c r="E1054" t="s">
        <v>1147</v>
      </c>
      <c r="F1054">
        <v>0</v>
      </c>
    </row>
    <row r="1055" spans="1:7" x14ac:dyDescent="0.25">
      <c r="E1055" t="s">
        <v>1149</v>
      </c>
      <c r="F1055">
        <v>0</v>
      </c>
      <c r="G1055" t="s">
        <v>1150</v>
      </c>
    </row>
    <row r="1056" spans="1:7" x14ac:dyDescent="0.25">
      <c r="A1056">
        <v>110</v>
      </c>
      <c r="B1056" t="s">
        <v>1853</v>
      </c>
      <c r="C1056" t="s">
        <v>1854</v>
      </c>
      <c r="D1056" t="s">
        <v>265</v>
      </c>
      <c r="E1056" t="s">
        <v>1098</v>
      </c>
      <c r="F1056">
        <v>0</v>
      </c>
    </row>
    <row r="1057" spans="5:7" x14ac:dyDescent="0.25">
      <c r="E1057" t="s">
        <v>1099</v>
      </c>
      <c r="F1057">
        <v>0</v>
      </c>
    </row>
    <row r="1058" spans="5:7" x14ac:dyDescent="0.25">
      <c r="E1058" t="s">
        <v>1100</v>
      </c>
      <c r="F1058">
        <v>0</v>
      </c>
    </row>
    <row r="1059" spans="5:7" x14ac:dyDescent="0.25">
      <c r="E1059" t="s">
        <v>1101</v>
      </c>
      <c r="F1059">
        <v>0</v>
      </c>
    </row>
    <row r="1060" spans="5:7" x14ac:dyDescent="0.25">
      <c r="E1060" t="s">
        <v>1102</v>
      </c>
      <c r="F1060">
        <v>0</v>
      </c>
    </row>
    <row r="1061" spans="5:7" x14ac:dyDescent="0.25">
      <c r="E1061" t="s">
        <v>1104</v>
      </c>
      <c r="F1061">
        <v>0</v>
      </c>
    </row>
    <row r="1062" spans="5:7" x14ac:dyDescent="0.25">
      <c r="E1062" t="s">
        <v>1106</v>
      </c>
      <c r="F1062">
        <v>0</v>
      </c>
    </row>
    <row r="1063" spans="5:7" x14ac:dyDescent="0.25">
      <c r="E1063" t="s">
        <v>1108</v>
      </c>
      <c r="F1063">
        <v>0</v>
      </c>
    </row>
    <row r="1064" spans="5:7" x14ac:dyDescent="0.25">
      <c r="E1064" t="s">
        <v>1109</v>
      </c>
      <c r="F1064">
        <v>0.2416666666666667</v>
      </c>
      <c r="G1064" t="s">
        <v>1855</v>
      </c>
    </row>
    <row r="1065" spans="5:7" x14ac:dyDescent="0.25">
      <c r="E1065" t="s">
        <v>1111</v>
      </c>
      <c r="F1065">
        <v>0.40555555555555545</v>
      </c>
      <c r="G1065" t="s">
        <v>1856</v>
      </c>
    </row>
    <row r="1066" spans="5:7" x14ac:dyDescent="0.25">
      <c r="E1066" t="s">
        <v>1113</v>
      </c>
      <c r="F1066">
        <v>0.29166666666666674</v>
      </c>
      <c r="G1066" t="s">
        <v>1857</v>
      </c>
    </row>
    <row r="1067" spans="5:7" x14ac:dyDescent="0.25">
      <c r="E1067" t="s">
        <v>1115</v>
      </c>
      <c r="F1067">
        <v>0.28680555555555554</v>
      </c>
      <c r="G1067" t="s">
        <v>1858</v>
      </c>
    </row>
    <row r="1068" spans="5:7" x14ac:dyDescent="0.25">
      <c r="E1068" t="s">
        <v>1117</v>
      </c>
      <c r="F1068">
        <v>0.33333333333333326</v>
      </c>
      <c r="G1068" t="s">
        <v>1859</v>
      </c>
    </row>
    <row r="1069" spans="5:7" x14ac:dyDescent="0.25">
      <c r="E1069" t="s">
        <v>1119</v>
      </c>
      <c r="F1069">
        <v>0.20625000000000004</v>
      </c>
      <c r="G1069" t="s">
        <v>1860</v>
      </c>
    </row>
    <row r="1070" spans="5:7" x14ac:dyDescent="0.25">
      <c r="E1070" t="s">
        <v>1121</v>
      </c>
      <c r="F1070">
        <v>0</v>
      </c>
    </row>
    <row r="1071" spans="5:7" x14ac:dyDescent="0.25">
      <c r="E1071" t="s">
        <v>1122</v>
      </c>
      <c r="F1071">
        <v>0.29374999999999996</v>
      </c>
      <c r="G1071" t="s">
        <v>1861</v>
      </c>
    </row>
    <row r="1072" spans="5:7" x14ac:dyDescent="0.25">
      <c r="E1072" t="s">
        <v>1124</v>
      </c>
      <c r="F1072">
        <v>0.28402777777777777</v>
      </c>
      <c r="G1072" t="s">
        <v>1862</v>
      </c>
    </row>
    <row r="1073" spans="1:7" x14ac:dyDescent="0.25">
      <c r="E1073" t="s">
        <v>1126</v>
      </c>
      <c r="F1073">
        <v>0.29791666666666661</v>
      </c>
      <c r="G1073" t="s">
        <v>1863</v>
      </c>
    </row>
    <row r="1074" spans="1:7" x14ac:dyDescent="0.25">
      <c r="E1074" t="s">
        <v>1128</v>
      </c>
      <c r="F1074">
        <v>0.29513888888888884</v>
      </c>
      <c r="G1074" t="s">
        <v>1864</v>
      </c>
    </row>
    <row r="1075" spans="1:7" x14ac:dyDescent="0.25">
      <c r="E1075" t="s">
        <v>1130</v>
      </c>
      <c r="F1075">
        <v>0.29374999999999996</v>
      </c>
      <c r="G1075" t="s">
        <v>1865</v>
      </c>
    </row>
    <row r="1076" spans="1:7" x14ac:dyDescent="0.25">
      <c r="E1076" t="s">
        <v>1132</v>
      </c>
      <c r="F1076">
        <v>0.21180555555555558</v>
      </c>
      <c r="G1076" t="s">
        <v>1866</v>
      </c>
    </row>
    <row r="1077" spans="1:7" x14ac:dyDescent="0.25">
      <c r="E1077" t="s">
        <v>1134</v>
      </c>
      <c r="F1077">
        <v>0</v>
      </c>
    </row>
    <row r="1078" spans="1:7" x14ac:dyDescent="0.25">
      <c r="E1078" t="s">
        <v>1135</v>
      </c>
      <c r="F1078">
        <v>0.29513888888888884</v>
      </c>
      <c r="G1078" t="s">
        <v>1867</v>
      </c>
    </row>
    <row r="1079" spans="1:7" x14ac:dyDescent="0.25">
      <c r="E1079" t="s">
        <v>1137</v>
      </c>
      <c r="F1079">
        <v>0.33472222222222214</v>
      </c>
      <c r="G1079" t="s">
        <v>1868</v>
      </c>
    </row>
    <row r="1080" spans="1:7" x14ac:dyDescent="0.25">
      <c r="E1080" t="s">
        <v>1139</v>
      </c>
      <c r="F1080">
        <v>0.33263888888888893</v>
      </c>
      <c r="G1080" t="s">
        <v>1869</v>
      </c>
    </row>
    <row r="1081" spans="1:7" x14ac:dyDescent="0.25">
      <c r="E1081" t="s">
        <v>1141</v>
      </c>
      <c r="F1081">
        <v>0.31458333333333344</v>
      </c>
      <c r="G1081" t="s">
        <v>1870</v>
      </c>
    </row>
    <row r="1082" spans="1:7" x14ac:dyDescent="0.25">
      <c r="E1082" t="s">
        <v>1143</v>
      </c>
      <c r="F1082">
        <v>0.17222222222222228</v>
      </c>
      <c r="G1082" t="s">
        <v>1871</v>
      </c>
    </row>
    <row r="1083" spans="1:7" x14ac:dyDescent="0.25">
      <c r="E1083" t="s">
        <v>1145</v>
      </c>
      <c r="F1083">
        <v>0</v>
      </c>
    </row>
    <row r="1084" spans="1:7" x14ac:dyDescent="0.25">
      <c r="E1084" t="s">
        <v>1146</v>
      </c>
      <c r="F1084">
        <v>0</v>
      </c>
    </row>
    <row r="1085" spans="1:7" x14ac:dyDescent="0.25">
      <c r="E1085" t="s">
        <v>1147</v>
      </c>
      <c r="F1085">
        <v>0.33333333333333326</v>
      </c>
      <c r="G1085" t="s">
        <v>1872</v>
      </c>
    </row>
    <row r="1086" spans="1:7" x14ac:dyDescent="0.25">
      <c r="E1086" t="s">
        <v>1149</v>
      </c>
      <c r="F1086">
        <v>5.2243055555555555</v>
      </c>
      <c r="G1086" t="s">
        <v>1150</v>
      </c>
    </row>
    <row r="1087" spans="1:7" x14ac:dyDescent="0.25">
      <c r="A1087">
        <v>51</v>
      </c>
      <c r="B1087" t="s">
        <v>1873</v>
      </c>
      <c r="C1087" t="s">
        <v>1874</v>
      </c>
      <c r="D1087" t="s">
        <v>567</v>
      </c>
      <c r="E1087" t="s">
        <v>1098</v>
      </c>
      <c r="F1087">
        <v>0</v>
      </c>
    </row>
    <row r="1088" spans="1:7" x14ac:dyDescent="0.25">
      <c r="E1088" t="s">
        <v>1099</v>
      </c>
      <c r="F1088">
        <v>0.29930555555555549</v>
      </c>
      <c r="G1088" t="s">
        <v>1875</v>
      </c>
    </row>
    <row r="1089" spans="5:7" x14ac:dyDescent="0.25">
      <c r="E1089" t="s">
        <v>1100</v>
      </c>
      <c r="F1089">
        <v>0.3173611111111112</v>
      </c>
      <c r="G1089" t="s">
        <v>1876</v>
      </c>
    </row>
    <row r="1090" spans="5:7" x14ac:dyDescent="0.25">
      <c r="E1090" t="s">
        <v>1101</v>
      </c>
      <c r="F1090">
        <v>0.29930555555555549</v>
      </c>
      <c r="G1090" t="s">
        <v>1877</v>
      </c>
    </row>
    <row r="1091" spans="5:7" x14ac:dyDescent="0.25">
      <c r="E1091" t="s">
        <v>1102</v>
      </c>
      <c r="F1091">
        <v>0</v>
      </c>
    </row>
    <row r="1092" spans="5:7" x14ac:dyDescent="0.25">
      <c r="E1092" t="s">
        <v>1104</v>
      </c>
      <c r="F1092">
        <v>0.33055555555555549</v>
      </c>
      <c r="G1092" t="s">
        <v>1878</v>
      </c>
    </row>
    <row r="1093" spans="5:7" x14ac:dyDescent="0.25">
      <c r="E1093" t="s">
        <v>1106</v>
      </c>
      <c r="F1093">
        <v>0.20694444444444438</v>
      </c>
      <c r="G1093" t="s">
        <v>1879</v>
      </c>
    </row>
    <row r="1094" spans="5:7" x14ac:dyDescent="0.25">
      <c r="E1094" t="s">
        <v>1108</v>
      </c>
      <c r="F1094">
        <v>0</v>
      </c>
    </row>
    <row r="1095" spans="5:7" x14ac:dyDescent="0.25">
      <c r="E1095" t="s">
        <v>1109</v>
      </c>
      <c r="F1095">
        <v>0.29097222222222219</v>
      </c>
      <c r="G1095" t="s">
        <v>1880</v>
      </c>
    </row>
    <row r="1096" spans="5:7" x14ac:dyDescent="0.25">
      <c r="E1096" t="s">
        <v>1111</v>
      </c>
      <c r="F1096">
        <v>0.29583333333333339</v>
      </c>
      <c r="G1096" t="s">
        <v>1881</v>
      </c>
    </row>
    <row r="1097" spans="5:7" x14ac:dyDescent="0.25">
      <c r="E1097" t="s">
        <v>1113</v>
      </c>
      <c r="F1097">
        <v>0.29374999999999996</v>
      </c>
      <c r="G1097" t="s">
        <v>1882</v>
      </c>
    </row>
    <row r="1098" spans="5:7" x14ac:dyDescent="0.25">
      <c r="E1098" t="s">
        <v>1115</v>
      </c>
      <c r="F1098">
        <v>0.29097222222222219</v>
      </c>
      <c r="G1098" t="s">
        <v>1883</v>
      </c>
    </row>
    <row r="1099" spans="5:7" x14ac:dyDescent="0.25">
      <c r="E1099" t="s">
        <v>1117</v>
      </c>
      <c r="F1099">
        <v>0.36944444444444446</v>
      </c>
      <c r="G1099" t="s">
        <v>1884</v>
      </c>
    </row>
    <row r="1100" spans="5:7" x14ac:dyDescent="0.25">
      <c r="E1100" t="s">
        <v>1119</v>
      </c>
      <c r="F1100">
        <v>0</v>
      </c>
    </row>
    <row r="1101" spans="5:7" x14ac:dyDescent="0.25">
      <c r="E1101" t="s">
        <v>1121</v>
      </c>
      <c r="F1101">
        <v>0</v>
      </c>
    </row>
    <row r="1102" spans="5:7" x14ac:dyDescent="0.25">
      <c r="E1102" t="s">
        <v>1122</v>
      </c>
      <c r="F1102">
        <v>0.29513888888888884</v>
      </c>
      <c r="G1102" t="s">
        <v>1885</v>
      </c>
    </row>
    <row r="1103" spans="5:7" x14ac:dyDescent="0.25">
      <c r="E1103" t="s">
        <v>1124</v>
      </c>
      <c r="F1103">
        <v>0.29444444444444451</v>
      </c>
      <c r="G1103" t="s">
        <v>1886</v>
      </c>
    </row>
    <row r="1104" spans="5:7" x14ac:dyDescent="0.25">
      <c r="E1104" t="s">
        <v>1126</v>
      </c>
      <c r="F1104">
        <v>0.29583333333333339</v>
      </c>
      <c r="G1104" t="s">
        <v>1887</v>
      </c>
    </row>
    <row r="1105" spans="1:7" x14ac:dyDescent="0.25">
      <c r="E1105" t="s">
        <v>1128</v>
      </c>
      <c r="F1105">
        <v>0.32847222222222228</v>
      </c>
      <c r="G1105" t="s">
        <v>1888</v>
      </c>
    </row>
    <row r="1106" spans="1:7" x14ac:dyDescent="0.25">
      <c r="E1106" t="s">
        <v>1130</v>
      </c>
      <c r="F1106">
        <v>0.29583333333333339</v>
      </c>
      <c r="G1106" t="s">
        <v>1889</v>
      </c>
    </row>
    <row r="1107" spans="1:7" x14ac:dyDescent="0.25">
      <c r="E1107" t="s">
        <v>1132</v>
      </c>
      <c r="F1107">
        <v>0.3979166666666667</v>
      </c>
      <c r="G1107" t="s">
        <v>1890</v>
      </c>
    </row>
    <row r="1108" spans="1:7" x14ac:dyDescent="0.25">
      <c r="E1108" t="s">
        <v>1134</v>
      </c>
      <c r="F1108">
        <v>0</v>
      </c>
    </row>
    <row r="1109" spans="1:7" x14ac:dyDescent="0.25">
      <c r="E1109" t="s">
        <v>1135</v>
      </c>
      <c r="F1109">
        <v>0.29652777777777772</v>
      </c>
      <c r="G1109" t="s">
        <v>1891</v>
      </c>
    </row>
    <row r="1110" spans="1:7" x14ac:dyDescent="0.25">
      <c r="E1110" t="s">
        <v>1137</v>
      </c>
      <c r="F1110">
        <v>0.34097222222222223</v>
      </c>
      <c r="G1110" t="s">
        <v>1892</v>
      </c>
    </row>
    <row r="1111" spans="1:7" x14ac:dyDescent="0.25">
      <c r="E1111" t="s">
        <v>1139</v>
      </c>
      <c r="F1111">
        <v>0.3388888888888888</v>
      </c>
      <c r="G1111" t="s">
        <v>1893</v>
      </c>
    </row>
    <row r="1112" spans="1:7" x14ac:dyDescent="0.25">
      <c r="E1112" t="s">
        <v>1141</v>
      </c>
      <c r="F1112">
        <v>0.34375</v>
      </c>
      <c r="G1112" t="s">
        <v>1894</v>
      </c>
    </row>
    <row r="1113" spans="1:7" x14ac:dyDescent="0.25">
      <c r="E1113" t="s">
        <v>1143</v>
      </c>
      <c r="F1113">
        <v>0.17847222222222214</v>
      </c>
      <c r="G1113" t="s">
        <v>1895</v>
      </c>
    </row>
    <row r="1114" spans="1:7" x14ac:dyDescent="0.25">
      <c r="E1114" t="s">
        <v>1145</v>
      </c>
      <c r="F1114">
        <v>0</v>
      </c>
    </row>
    <row r="1115" spans="1:7" x14ac:dyDescent="0.25">
      <c r="E1115" t="s">
        <v>1146</v>
      </c>
      <c r="F1115">
        <v>0</v>
      </c>
    </row>
    <row r="1116" spans="1:7" x14ac:dyDescent="0.25">
      <c r="E1116" t="s">
        <v>1147</v>
      </c>
      <c r="F1116">
        <v>0.3388888888888888</v>
      </c>
      <c r="G1116" t="s">
        <v>1896</v>
      </c>
    </row>
    <row r="1117" spans="1:7" x14ac:dyDescent="0.25">
      <c r="E1117" t="s">
        <v>1149</v>
      </c>
      <c r="F1117">
        <v>6.739583333333333</v>
      </c>
      <c r="G1117" t="s">
        <v>1150</v>
      </c>
    </row>
    <row r="1118" spans="1:7" x14ac:dyDescent="0.25">
      <c r="A1118">
        <v>27</v>
      </c>
      <c r="B1118" t="s">
        <v>1897</v>
      </c>
      <c r="C1118" t="s">
        <v>1898</v>
      </c>
      <c r="D1118" t="s">
        <v>1899</v>
      </c>
      <c r="E1118" t="s">
        <v>1098</v>
      </c>
      <c r="F1118">
        <v>0</v>
      </c>
    </row>
    <row r="1119" spans="1:7" x14ac:dyDescent="0.25">
      <c r="E1119" t="s">
        <v>1099</v>
      </c>
      <c r="F1119">
        <v>0.30069444444444438</v>
      </c>
      <c r="G1119" t="s">
        <v>1900</v>
      </c>
    </row>
    <row r="1120" spans="1:7" x14ac:dyDescent="0.25">
      <c r="E1120" t="s">
        <v>1100</v>
      </c>
      <c r="F1120">
        <v>0.32013888888888897</v>
      </c>
      <c r="G1120" t="s">
        <v>1901</v>
      </c>
    </row>
    <row r="1121" spans="5:7" x14ac:dyDescent="0.25">
      <c r="E1121" t="s">
        <v>1101</v>
      </c>
      <c r="F1121">
        <v>0.32986111111111116</v>
      </c>
      <c r="G1121" t="s">
        <v>1902</v>
      </c>
    </row>
    <row r="1122" spans="5:7" x14ac:dyDescent="0.25">
      <c r="E1122" t="s">
        <v>1102</v>
      </c>
      <c r="F1122">
        <v>0.28125</v>
      </c>
      <c r="G1122" t="s">
        <v>1903</v>
      </c>
    </row>
    <row r="1123" spans="5:7" x14ac:dyDescent="0.25">
      <c r="E1123" t="s">
        <v>1104</v>
      </c>
      <c r="F1123">
        <v>0.31180555555555545</v>
      </c>
      <c r="G1123" t="s">
        <v>1904</v>
      </c>
    </row>
    <row r="1124" spans="5:7" x14ac:dyDescent="0.25">
      <c r="E1124" t="s">
        <v>1106</v>
      </c>
      <c r="F1124">
        <v>0.43958333333333344</v>
      </c>
      <c r="G1124" t="s">
        <v>1905</v>
      </c>
    </row>
    <row r="1125" spans="5:7" x14ac:dyDescent="0.25">
      <c r="E1125" t="s">
        <v>1108</v>
      </c>
      <c r="F1125">
        <v>0</v>
      </c>
    </row>
    <row r="1126" spans="5:7" x14ac:dyDescent="0.25">
      <c r="E1126" t="s">
        <v>1109</v>
      </c>
      <c r="F1126">
        <v>0.30208333333333326</v>
      </c>
      <c r="G1126" t="s">
        <v>1906</v>
      </c>
    </row>
    <row r="1127" spans="5:7" x14ac:dyDescent="0.25">
      <c r="E1127" t="s">
        <v>1111</v>
      </c>
      <c r="F1127">
        <v>0.29930555555555549</v>
      </c>
      <c r="G1127" t="s">
        <v>1907</v>
      </c>
    </row>
    <row r="1128" spans="5:7" x14ac:dyDescent="0.25">
      <c r="E1128" t="s">
        <v>1113</v>
      </c>
      <c r="F1128">
        <v>0.29791666666666661</v>
      </c>
      <c r="G1128" t="s">
        <v>1908</v>
      </c>
    </row>
    <row r="1129" spans="5:7" x14ac:dyDescent="0.25">
      <c r="E1129" t="s">
        <v>1115</v>
      </c>
      <c r="F1129">
        <v>0.29722222222222228</v>
      </c>
      <c r="G1129" t="s">
        <v>1909</v>
      </c>
    </row>
    <row r="1130" spans="5:7" x14ac:dyDescent="0.25">
      <c r="E1130" t="s">
        <v>1117</v>
      </c>
      <c r="F1130">
        <v>0.37152777777777768</v>
      </c>
      <c r="G1130" t="s">
        <v>1910</v>
      </c>
    </row>
    <row r="1131" spans="5:7" x14ac:dyDescent="0.25">
      <c r="E1131" t="s">
        <v>1119</v>
      </c>
      <c r="F1131">
        <v>0.44375000000000009</v>
      </c>
      <c r="G1131" t="s">
        <v>1911</v>
      </c>
    </row>
    <row r="1132" spans="5:7" x14ac:dyDescent="0.25">
      <c r="E1132" t="s">
        <v>1121</v>
      </c>
      <c r="F1132">
        <v>0</v>
      </c>
    </row>
    <row r="1133" spans="5:7" x14ac:dyDescent="0.25">
      <c r="E1133" t="s">
        <v>1122</v>
      </c>
      <c r="F1133">
        <v>0.29861111111111116</v>
      </c>
      <c r="G1133" t="s">
        <v>1912</v>
      </c>
    </row>
    <row r="1134" spans="5:7" x14ac:dyDescent="0.25">
      <c r="E1134" t="s">
        <v>1124</v>
      </c>
      <c r="F1134">
        <v>0.33125000000000004</v>
      </c>
      <c r="G1134" t="s">
        <v>1913</v>
      </c>
    </row>
    <row r="1135" spans="5:7" x14ac:dyDescent="0.25">
      <c r="E1135" t="s">
        <v>1126</v>
      </c>
      <c r="F1135">
        <v>0.41388888888888897</v>
      </c>
      <c r="G1135" t="s">
        <v>1914</v>
      </c>
    </row>
    <row r="1136" spans="5:7" x14ac:dyDescent="0.25">
      <c r="E1136" t="s">
        <v>1128</v>
      </c>
      <c r="F1136">
        <v>0.37638888888888888</v>
      </c>
      <c r="G1136" t="s">
        <v>1915</v>
      </c>
    </row>
    <row r="1137" spans="1:7" x14ac:dyDescent="0.25">
      <c r="E1137" t="s">
        <v>1130</v>
      </c>
      <c r="F1137">
        <v>0.33263888888888893</v>
      </c>
      <c r="G1137" t="s">
        <v>1916</v>
      </c>
    </row>
    <row r="1138" spans="1:7" x14ac:dyDescent="0.25">
      <c r="E1138" t="s">
        <v>1132</v>
      </c>
      <c r="F1138">
        <v>0.21736111111111112</v>
      </c>
      <c r="G1138" t="s">
        <v>1917</v>
      </c>
    </row>
    <row r="1139" spans="1:7" x14ac:dyDescent="0.25">
      <c r="E1139" t="s">
        <v>1134</v>
      </c>
      <c r="F1139">
        <v>0</v>
      </c>
    </row>
    <row r="1140" spans="1:7" x14ac:dyDescent="0.25">
      <c r="E1140" t="s">
        <v>1135</v>
      </c>
      <c r="F1140">
        <v>0.3798611111111112</v>
      </c>
      <c r="G1140" t="s">
        <v>1918</v>
      </c>
    </row>
    <row r="1141" spans="1:7" x14ac:dyDescent="0.25">
      <c r="E1141" t="s">
        <v>1137</v>
      </c>
      <c r="F1141">
        <v>0.34791666666666665</v>
      </c>
      <c r="G1141" t="s">
        <v>1919</v>
      </c>
    </row>
    <row r="1142" spans="1:7" x14ac:dyDescent="0.25">
      <c r="E1142" t="s">
        <v>1139</v>
      </c>
      <c r="F1142">
        <v>0.34305555555555545</v>
      </c>
      <c r="G1142" t="s">
        <v>1920</v>
      </c>
    </row>
    <row r="1143" spans="1:7" x14ac:dyDescent="0.25">
      <c r="E1143" t="s">
        <v>1141</v>
      </c>
      <c r="F1143">
        <v>0.34375</v>
      </c>
      <c r="G1143" t="s">
        <v>1921</v>
      </c>
    </row>
    <row r="1144" spans="1:7" x14ac:dyDescent="0.25">
      <c r="E1144" t="s">
        <v>1143</v>
      </c>
      <c r="F1144">
        <v>0.37291666666666656</v>
      </c>
      <c r="G1144" t="s">
        <v>1922</v>
      </c>
    </row>
    <row r="1145" spans="1:7" x14ac:dyDescent="0.25">
      <c r="E1145" t="s">
        <v>1145</v>
      </c>
      <c r="F1145">
        <v>0</v>
      </c>
    </row>
    <row r="1146" spans="1:7" x14ac:dyDescent="0.25">
      <c r="E1146" t="s">
        <v>1146</v>
      </c>
      <c r="F1146">
        <v>0</v>
      </c>
    </row>
    <row r="1147" spans="1:7" x14ac:dyDescent="0.25">
      <c r="E1147" t="s">
        <v>1147</v>
      </c>
      <c r="F1147">
        <v>0.34513888888888888</v>
      </c>
      <c r="G1147" t="s">
        <v>1923</v>
      </c>
    </row>
    <row r="1148" spans="1:7" x14ac:dyDescent="0.25">
      <c r="E1148" t="s">
        <v>1149</v>
      </c>
      <c r="F1148">
        <v>8.0979166666666664</v>
      </c>
      <c r="G1148" t="s">
        <v>1150</v>
      </c>
    </row>
    <row r="1149" spans="1:7" x14ac:dyDescent="0.25">
      <c r="A1149">
        <v>40</v>
      </c>
      <c r="B1149" t="s">
        <v>1924</v>
      </c>
      <c r="C1149" t="s">
        <v>1925</v>
      </c>
      <c r="D1149" t="s">
        <v>1926</v>
      </c>
      <c r="E1149" t="s">
        <v>1098</v>
      </c>
      <c r="F1149">
        <v>0</v>
      </c>
    </row>
    <row r="1150" spans="1:7" x14ac:dyDescent="0.25">
      <c r="E1150" t="s">
        <v>1099</v>
      </c>
      <c r="F1150">
        <v>0</v>
      </c>
    </row>
    <row r="1151" spans="1:7" x14ac:dyDescent="0.25">
      <c r="E1151" t="s">
        <v>1100</v>
      </c>
      <c r="F1151">
        <v>0.31527777777777777</v>
      </c>
      <c r="G1151" t="s">
        <v>1927</v>
      </c>
    </row>
    <row r="1152" spans="1:7" x14ac:dyDescent="0.25">
      <c r="E1152" t="s">
        <v>1101</v>
      </c>
      <c r="F1152">
        <v>0.29236111111111107</v>
      </c>
      <c r="G1152" t="s">
        <v>1928</v>
      </c>
    </row>
    <row r="1153" spans="5:7" x14ac:dyDescent="0.25">
      <c r="E1153" t="s">
        <v>1102</v>
      </c>
      <c r="F1153">
        <v>0.28819444444444442</v>
      </c>
      <c r="G1153" t="s">
        <v>1929</v>
      </c>
    </row>
    <row r="1154" spans="5:7" x14ac:dyDescent="0.25">
      <c r="E1154" t="s">
        <v>1104</v>
      </c>
      <c r="F1154">
        <v>0.29791666666666661</v>
      </c>
      <c r="G1154" t="s">
        <v>1930</v>
      </c>
    </row>
    <row r="1155" spans="5:7" x14ac:dyDescent="0.25">
      <c r="E1155" t="s">
        <v>1106</v>
      </c>
      <c r="F1155">
        <v>0.20625000000000004</v>
      </c>
      <c r="G1155" t="s">
        <v>1931</v>
      </c>
    </row>
    <row r="1156" spans="5:7" x14ac:dyDescent="0.25">
      <c r="E1156" t="s">
        <v>1108</v>
      </c>
      <c r="F1156">
        <v>0</v>
      </c>
    </row>
    <row r="1157" spans="5:7" x14ac:dyDescent="0.25">
      <c r="E1157" t="s">
        <v>1109</v>
      </c>
      <c r="F1157">
        <v>0.29166666666666674</v>
      </c>
      <c r="G1157" t="s">
        <v>1932</v>
      </c>
    </row>
    <row r="1158" spans="5:7" x14ac:dyDescent="0.25">
      <c r="E1158" t="s">
        <v>1111</v>
      </c>
      <c r="F1158">
        <v>0.2895833333333333</v>
      </c>
      <c r="G1158" t="s">
        <v>1933</v>
      </c>
    </row>
    <row r="1159" spans="5:7" x14ac:dyDescent="0.25">
      <c r="E1159" t="s">
        <v>1113</v>
      </c>
      <c r="F1159">
        <v>0.29166666666666674</v>
      </c>
      <c r="G1159" t="s">
        <v>1934</v>
      </c>
    </row>
    <row r="1160" spans="5:7" x14ac:dyDescent="0.25">
      <c r="E1160" t="s">
        <v>1115</v>
      </c>
      <c r="F1160">
        <v>0.29097222222222219</v>
      </c>
      <c r="G1160" t="s">
        <v>1935</v>
      </c>
    </row>
    <row r="1161" spans="5:7" x14ac:dyDescent="0.25">
      <c r="E1161" t="s">
        <v>1117</v>
      </c>
      <c r="F1161">
        <v>0.33402777777777781</v>
      </c>
      <c r="G1161" t="s">
        <v>1936</v>
      </c>
    </row>
    <row r="1162" spans="5:7" x14ac:dyDescent="0.25">
      <c r="E1162" t="s">
        <v>1119</v>
      </c>
      <c r="F1162">
        <v>0.20972222222222214</v>
      </c>
      <c r="G1162" t="s">
        <v>1937</v>
      </c>
    </row>
    <row r="1163" spans="5:7" x14ac:dyDescent="0.25">
      <c r="E1163" t="s">
        <v>1121</v>
      </c>
      <c r="F1163">
        <v>0</v>
      </c>
    </row>
    <row r="1164" spans="5:7" x14ac:dyDescent="0.25">
      <c r="E1164" t="s">
        <v>1122</v>
      </c>
      <c r="F1164">
        <v>0.2895833333333333</v>
      </c>
      <c r="G1164" t="s">
        <v>1938</v>
      </c>
    </row>
    <row r="1165" spans="5:7" x14ac:dyDescent="0.25">
      <c r="E1165" t="s">
        <v>1124</v>
      </c>
      <c r="F1165">
        <v>0.29305555555555562</v>
      </c>
      <c r="G1165" t="s">
        <v>1939</v>
      </c>
    </row>
    <row r="1166" spans="5:7" x14ac:dyDescent="0.25">
      <c r="E1166" t="s">
        <v>1126</v>
      </c>
      <c r="F1166">
        <v>0.29374999999999996</v>
      </c>
      <c r="G1166" t="s">
        <v>1940</v>
      </c>
    </row>
    <row r="1167" spans="5:7" x14ac:dyDescent="0.25">
      <c r="E1167" t="s">
        <v>1128</v>
      </c>
      <c r="F1167">
        <v>0.29722222222222228</v>
      </c>
      <c r="G1167" t="s">
        <v>1941</v>
      </c>
    </row>
    <row r="1168" spans="5:7" x14ac:dyDescent="0.25">
      <c r="E1168" t="s">
        <v>1130</v>
      </c>
      <c r="F1168">
        <v>0.29166666666666674</v>
      </c>
      <c r="G1168" t="s">
        <v>1942</v>
      </c>
    </row>
    <row r="1169" spans="1:7" x14ac:dyDescent="0.25">
      <c r="E1169" t="s">
        <v>1132</v>
      </c>
      <c r="F1169">
        <v>0.20833333333333326</v>
      </c>
      <c r="G1169" t="s">
        <v>1943</v>
      </c>
    </row>
    <row r="1170" spans="1:7" x14ac:dyDescent="0.25">
      <c r="E1170" t="s">
        <v>1134</v>
      </c>
      <c r="F1170">
        <v>0</v>
      </c>
    </row>
    <row r="1171" spans="1:7" x14ac:dyDescent="0.25">
      <c r="E1171" t="s">
        <v>1135</v>
      </c>
      <c r="F1171">
        <v>0.29444444444444451</v>
      </c>
      <c r="G1171" t="s">
        <v>1944</v>
      </c>
    </row>
    <row r="1172" spans="1:7" x14ac:dyDescent="0.25">
      <c r="E1172" t="s">
        <v>1137</v>
      </c>
      <c r="F1172">
        <v>0.33680555555555558</v>
      </c>
      <c r="G1172" t="s">
        <v>1945</v>
      </c>
    </row>
    <row r="1173" spans="1:7" x14ac:dyDescent="0.25">
      <c r="E1173" t="s">
        <v>1139</v>
      </c>
      <c r="F1173">
        <v>0.33611111111111103</v>
      </c>
      <c r="G1173" t="s">
        <v>1946</v>
      </c>
    </row>
    <row r="1174" spans="1:7" x14ac:dyDescent="0.25">
      <c r="E1174" t="s">
        <v>1141</v>
      </c>
      <c r="F1174">
        <v>0.33611111111111103</v>
      </c>
      <c r="G1174" t="s">
        <v>1947</v>
      </c>
    </row>
    <row r="1175" spans="1:7" x14ac:dyDescent="0.25">
      <c r="E1175" t="s">
        <v>1143</v>
      </c>
      <c r="F1175">
        <v>0.17430555555555549</v>
      </c>
      <c r="G1175" t="s">
        <v>1948</v>
      </c>
    </row>
    <row r="1176" spans="1:7" x14ac:dyDescent="0.25">
      <c r="E1176" t="s">
        <v>1145</v>
      </c>
      <c r="F1176">
        <v>0</v>
      </c>
    </row>
    <row r="1177" spans="1:7" x14ac:dyDescent="0.25">
      <c r="E1177" t="s">
        <v>1146</v>
      </c>
      <c r="F1177">
        <v>0</v>
      </c>
    </row>
    <row r="1178" spans="1:7" x14ac:dyDescent="0.25">
      <c r="E1178" t="s">
        <v>1147</v>
      </c>
      <c r="F1178">
        <v>0.3354166666666667</v>
      </c>
      <c r="G1178" t="s">
        <v>1949</v>
      </c>
    </row>
    <row r="1179" spans="1:7" x14ac:dyDescent="0.25">
      <c r="E1179" t="s">
        <v>1149</v>
      </c>
      <c r="F1179">
        <v>6.5944444444444441</v>
      </c>
      <c r="G1179" t="s">
        <v>1150</v>
      </c>
    </row>
    <row r="1180" spans="1:7" x14ac:dyDescent="0.25">
      <c r="A1180">
        <v>19</v>
      </c>
      <c r="B1180" t="s">
        <v>1950</v>
      </c>
      <c r="C1180" t="s">
        <v>1951</v>
      </c>
      <c r="D1180" t="s">
        <v>282</v>
      </c>
      <c r="E1180" t="s">
        <v>1098</v>
      </c>
      <c r="F1180">
        <v>0</v>
      </c>
    </row>
    <row r="1181" spans="1:7" x14ac:dyDescent="0.25">
      <c r="E1181" t="s">
        <v>1099</v>
      </c>
      <c r="F1181">
        <v>7.4999999999999956E-2</v>
      </c>
      <c r="G1181" t="s">
        <v>1952</v>
      </c>
    </row>
    <row r="1182" spans="1:7" x14ac:dyDescent="0.25">
      <c r="E1182" t="s">
        <v>1100</v>
      </c>
      <c r="F1182">
        <v>0.26805555555555549</v>
      </c>
      <c r="G1182" t="s">
        <v>1953</v>
      </c>
    </row>
    <row r="1183" spans="1:7" x14ac:dyDescent="0.25">
      <c r="E1183" t="s">
        <v>1101</v>
      </c>
      <c r="F1183">
        <v>0.30555555555555558</v>
      </c>
      <c r="G1183" t="s">
        <v>1954</v>
      </c>
    </row>
    <row r="1184" spans="1:7" x14ac:dyDescent="0.25">
      <c r="E1184" t="s">
        <v>1102</v>
      </c>
      <c r="F1184">
        <v>0.31041666666666656</v>
      </c>
      <c r="G1184" t="s">
        <v>1955</v>
      </c>
    </row>
    <row r="1185" spans="5:7" x14ac:dyDescent="0.25">
      <c r="E1185" t="s">
        <v>1104</v>
      </c>
      <c r="F1185">
        <v>0.32013888888888897</v>
      </c>
      <c r="G1185" t="s">
        <v>1956</v>
      </c>
    </row>
    <row r="1186" spans="5:7" x14ac:dyDescent="0.25">
      <c r="E1186" t="s">
        <v>1106</v>
      </c>
      <c r="F1186">
        <v>0.44930555555555562</v>
      </c>
      <c r="G1186" t="s">
        <v>1957</v>
      </c>
    </row>
    <row r="1187" spans="5:7" x14ac:dyDescent="0.25">
      <c r="E1187" t="s">
        <v>1108</v>
      </c>
      <c r="F1187">
        <v>0</v>
      </c>
    </row>
    <row r="1188" spans="5:7" x14ac:dyDescent="0.25">
      <c r="E1188" t="s">
        <v>1109</v>
      </c>
      <c r="F1188">
        <v>0.30694444444444446</v>
      </c>
      <c r="G1188" t="s">
        <v>1958</v>
      </c>
    </row>
    <row r="1189" spans="5:7" x14ac:dyDescent="0.25">
      <c r="E1189" t="s">
        <v>1111</v>
      </c>
      <c r="F1189">
        <v>0.30624999999999991</v>
      </c>
      <c r="G1189" t="s">
        <v>1959</v>
      </c>
    </row>
    <row r="1190" spans="5:7" x14ac:dyDescent="0.25">
      <c r="E1190" t="s">
        <v>1113</v>
      </c>
      <c r="F1190">
        <v>0.3076388888888888</v>
      </c>
      <c r="G1190" t="s">
        <v>1960</v>
      </c>
    </row>
    <row r="1191" spans="5:7" x14ac:dyDescent="0.25">
      <c r="E1191" t="s">
        <v>1115</v>
      </c>
      <c r="F1191">
        <v>0.30624999999999991</v>
      </c>
      <c r="G1191" t="s">
        <v>1961</v>
      </c>
    </row>
    <row r="1192" spans="5:7" x14ac:dyDescent="0.25">
      <c r="E1192" t="s">
        <v>1117</v>
      </c>
      <c r="F1192">
        <v>0.34722222222222232</v>
      </c>
      <c r="G1192" t="s">
        <v>1962</v>
      </c>
    </row>
    <row r="1193" spans="5:7" x14ac:dyDescent="0.25">
      <c r="E1193" t="s">
        <v>1119</v>
      </c>
      <c r="F1193">
        <v>0.22291666666666665</v>
      </c>
      <c r="G1193" t="s">
        <v>1963</v>
      </c>
    </row>
    <row r="1194" spans="5:7" x14ac:dyDescent="0.25">
      <c r="E1194" t="s">
        <v>1121</v>
      </c>
      <c r="F1194">
        <v>0</v>
      </c>
    </row>
    <row r="1195" spans="5:7" x14ac:dyDescent="0.25">
      <c r="E1195" t="s">
        <v>1122</v>
      </c>
      <c r="F1195">
        <v>0.30347222222222214</v>
      </c>
      <c r="G1195" t="s">
        <v>1964</v>
      </c>
    </row>
    <row r="1196" spans="5:7" x14ac:dyDescent="0.25">
      <c r="E1196" t="s">
        <v>1124</v>
      </c>
      <c r="F1196">
        <v>0.31041666666666656</v>
      </c>
      <c r="G1196" t="s">
        <v>1965</v>
      </c>
    </row>
    <row r="1197" spans="5:7" x14ac:dyDescent="0.25">
      <c r="E1197" t="s">
        <v>1126</v>
      </c>
      <c r="F1197">
        <v>0.30624999999999991</v>
      </c>
      <c r="G1197" t="s">
        <v>1966</v>
      </c>
    </row>
    <row r="1198" spans="5:7" x14ac:dyDescent="0.25">
      <c r="E1198" t="s">
        <v>1128</v>
      </c>
      <c r="F1198">
        <v>0.30902777777777768</v>
      </c>
      <c r="G1198" t="s">
        <v>1967</v>
      </c>
    </row>
    <row r="1199" spans="5:7" x14ac:dyDescent="0.25">
      <c r="E1199" t="s">
        <v>1130</v>
      </c>
      <c r="F1199">
        <v>0.29513888888888884</v>
      </c>
      <c r="G1199" t="s">
        <v>1968</v>
      </c>
    </row>
    <row r="1200" spans="5:7" x14ac:dyDescent="0.25">
      <c r="E1200" t="s">
        <v>1132</v>
      </c>
      <c r="F1200">
        <v>0</v>
      </c>
    </row>
    <row r="1201" spans="1:7" x14ac:dyDescent="0.25">
      <c r="E1201" t="s">
        <v>1134</v>
      </c>
      <c r="F1201">
        <v>0</v>
      </c>
    </row>
    <row r="1202" spans="1:7" x14ac:dyDescent="0.25">
      <c r="E1202" t="s">
        <v>1135</v>
      </c>
      <c r="F1202">
        <v>0.3041666666666667</v>
      </c>
      <c r="G1202" t="s">
        <v>1969</v>
      </c>
    </row>
    <row r="1203" spans="1:7" x14ac:dyDescent="0.25">
      <c r="E1203" t="s">
        <v>1137</v>
      </c>
      <c r="F1203">
        <v>0.34375</v>
      </c>
      <c r="G1203" t="s">
        <v>1970</v>
      </c>
    </row>
    <row r="1204" spans="1:7" x14ac:dyDescent="0.25">
      <c r="E1204" t="s">
        <v>1139</v>
      </c>
      <c r="F1204">
        <v>0.33958333333333335</v>
      </c>
      <c r="G1204" t="s">
        <v>1971</v>
      </c>
    </row>
    <row r="1205" spans="1:7" x14ac:dyDescent="0.25">
      <c r="E1205" t="s">
        <v>1141</v>
      </c>
      <c r="F1205">
        <v>0.34305555555555545</v>
      </c>
      <c r="G1205" t="s">
        <v>1972</v>
      </c>
    </row>
    <row r="1206" spans="1:7" x14ac:dyDescent="0.25">
      <c r="E1206" t="s">
        <v>1143</v>
      </c>
      <c r="F1206">
        <v>0.18402777777777768</v>
      </c>
      <c r="G1206" t="s">
        <v>1973</v>
      </c>
    </row>
    <row r="1207" spans="1:7" x14ac:dyDescent="0.25">
      <c r="E1207" t="s">
        <v>1145</v>
      </c>
      <c r="F1207">
        <v>0</v>
      </c>
    </row>
    <row r="1208" spans="1:7" x14ac:dyDescent="0.25">
      <c r="E1208" t="s">
        <v>1146</v>
      </c>
      <c r="F1208">
        <v>0</v>
      </c>
    </row>
    <row r="1209" spans="1:7" x14ac:dyDescent="0.25">
      <c r="E1209" t="s">
        <v>1147</v>
      </c>
      <c r="F1209">
        <v>0.34236111111111112</v>
      </c>
      <c r="G1209" t="s">
        <v>1974</v>
      </c>
    </row>
    <row r="1210" spans="1:7" x14ac:dyDescent="0.25">
      <c r="E1210" t="s">
        <v>1149</v>
      </c>
      <c r="F1210">
        <v>6.9069444444444441</v>
      </c>
      <c r="G1210" t="s">
        <v>1150</v>
      </c>
    </row>
    <row r="1211" spans="1:7" x14ac:dyDescent="0.25">
      <c r="A1211">
        <v>91</v>
      </c>
      <c r="B1211" t="s">
        <v>1975</v>
      </c>
      <c r="C1211" t="s">
        <v>1976</v>
      </c>
      <c r="D1211" t="s">
        <v>704</v>
      </c>
      <c r="E1211" t="s">
        <v>1098</v>
      </c>
      <c r="F1211">
        <v>0</v>
      </c>
    </row>
    <row r="1212" spans="1:7" x14ac:dyDescent="0.25">
      <c r="E1212" t="s">
        <v>1099</v>
      </c>
      <c r="F1212">
        <v>0.29791666666666661</v>
      </c>
      <c r="G1212" t="s">
        <v>1977</v>
      </c>
    </row>
    <row r="1213" spans="1:7" x14ac:dyDescent="0.25">
      <c r="E1213" t="s">
        <v>1100</v>
      </c>
      <c r="F1213">
        <v>0.31875000000000009</v>
      </c>
      <c r="G1213" t="s">
        <v>1978</v>
      </c>
    </row>
    <row r="1214" spans="1:7" x14ac:dyDescent="0.25">
      <c r="E1214" t="s">
        <v>1101</v>
      </c>
      <c r="F1214">
        <v>0.29930555555555549</v>
      </c>
      <c r="G1214" t="s">
        <v>1979</v>
      </c>
    </row>
    <row r="1215" spans="1:7" x14ac:dyDescent="0.25">
      <c r="E1215" t="s">
        <v>1102</v>
      </c>
      <c r="F1215">
        <v>0.29861111111111116</v>
      </c>
      <c r="G1215" t="s">
        <v>1980</v>
      </c>
    </row>
    <row r="1216" spans="1:7" x14ac:dyDescent="0.25">
      <c r="E1216" t="s">
        <v>1104</v>
      </c>
      <c r="F1216">
        <v>0.25416666666666665</v>
      </c>
      <c r="G1216" t="s">
        <v>1981</v>
      </c>
    </row>
    <row r="1217" spans="5:7" x14ac:dyDescent="0.25">
      <c r="E1217" t="s">
        <v>1106</v>
      </c>
      <c r="F1217">
        <v>0.21180555555555558</v>
      </c>
      <c r="G1217" t="s">
        <v>1982</v>
      </c>
    </row>
    <row r="1218" spans="5:7" x14ac:dyDescent="0.25">
      <c r="E1218" t="s">
        <v>1108</v>
      </c>
      <c r="F1218">
        <v>0</v>
      </c>
    </row>
    <row r="1219" spans="5:7" x14ac:dyDescent="0.25">
      <c r="E1219" t="s">
        <v>1109</v>
      </c>
      <c r="F1219">
        <v>0</v>
      </c>
    </row>
    <row r="1220" spans="5:7" x14ac:dyDescent="0.25">
      <c r="E1220" t="s">
        <v>1111</v>
      </c>
      <c r="F1220">
        <v>0.28472222222222232</v>
      </c>
      <c r="G1220" t="s">
        <v>1983</v>
      </c>
    </row>
    <row r="1221" spans="5:7" x14ac:dyDescent="0.25">
      <c r="E1221" t="s">
        <v>1113</v>
      </c>
      <c r="F1221">
        <v>0.29861111111111116</v>
      </c>
      <c r="G1221" t="s">
        <v>1984</v>
      </c>
    </row>
    <row r="1222" spans="5:7" x14ac:dyDescent="0.25">
      <c r="E1222" t="s">
        <v>1115</v>
      </c>
      <c r="F1222">
        <v>0.29513888888888884</v>
      </c>
      <c r="G1222" t="s">
        <v>1985</v>
      </c>
    </row>
    <row r="1223" spans="5:7" x14ac:dyDescent="0.25">
      <c r="E1223" t="s">
        <v>1117</v>
      </c>
      <c r="F1223">
        <v>0.33819444444444446</v>
      </c>
      <c r="G1223" t="s">
        <v>1986</v>
      </c>
    </row>
    <row r="1224" spans="5:7" x14ac:dyDescent="0.25">
      <c r="E1224" t="s">
        <v>1119</v>
      </c>
      <c r="F1224">
        <v>0.22222222222222232</v>
      </c>
      <c r="G1224" t="s">
        <v>1987</v>
      </c>
    </row>
    <row r="1225" spans="5:7" x14ac:dyDescent="0.25">
      <c r="E1225" t="s">
        <v>1121</v>
      </c>
      <c r="F1225">
        <v>0</v>
      </c>
    </row>
    <row r="1226" spans="5:7" x14ac:dyDescent="0.25">
      <c r="E1226" t="s">
        <v>1122</v>
      </c>
      <c r="F1226">
        <v>0.29722222222222228</v>
      </c>
      <c r="G1226" t="s">
        <v>1988</v>
      </c>
    </row>
    <row r="1227" spans="5:7" x14ac:dyDescent="0.25">
      <c r="E1227" t="s">
        <v>1124</v>
      </c>
      <c r="F1227">
        <v>0.29722222222222228</v>
      </c>
      <c r="G1227" t="s">
        <v>1989</v>
      </c>
    </row>
    <row r="1228" spans="5:7" x14ac:dyDescent="0.25">
      <c r="E1228" t="s">
        <v>1126</v>
      </c>
      <c r="F1228">
        <v>0.29097222222222219</v>
      </c>
      <c r="G1228" t="s">
        <v>1990</v>
      </c>
    </row>
    <row r="1229" spans="5:7" x14ac:dyDescent="0.25">
      <c r="E1229" t="s">
        <v>1128</v>
      </c>
      <c r="F1229">
        <v>0.29930555555555549</v>
      </c>
      <c r="G1229" t="s">
        <v>1991</v>
      </c>
    </row>
    <row r="1230" spans="5:7" x14ac:dyDescent="0.25">
      <c r="E1230" t="s">
        <v>1130</v>
      </c>
      <c r="F1230">
        <v>0.29513888888888884</v>
      </c>
      <c r="G1230" t="s">
        <v>1992</v>
      </c>
    </row>
    <row r="1231" spans="5:7" x14ac:dyDescent="0.25">
      <c r="E1231" t="s">
        <v>1132</v>
      </c>
      <c r="F1231">
        <v>0.21597222222222223</v>
      </c>
      <c r="G1231" t="s">
        <v>1993</v>
      </c>
    </row>
    <row r="1232" spans="5:7" x14ac:dyDescent="0.25">
      <c r="E1232" t="s">
        <v>1134</v>
      </c>
      <c r="F1232">
        <v>0</v>
      </c>
    </row>
    <row r="1233" spans="1:7" x14ac:dyDescent="0.25">
      <c r="E1233" t="s">
        <v>1135</v>
      </c>
      <c r="F1233">
        <v>0.29722222222222228</v>
      </c>
      <c r="G1233" t="s">
        <v>1994</v>
      </c>
    </row>
    <row r="1234" spans="1:7" x14ac:dyDescent="0.25">
      <c r="E1234" t="s">
        <v>1137</v>
      </c>
      <c r="F1234">
        <v>0.32986111111111116</v>
      </c>
      <c r="G1234" t="s">
        <v>1995</v>
      </c>
    </row>
    <row r="1235" spans="1:7" x14ac:dyDescent="0.25">
      <c r="E1235" t="s">
        <v>1139</v>
      </c>
      <c r="F1235">
        <v>0.34305555555555545</v>
      </c>
      <c r="G1235" t="s">
        <v>1996</v>
      </c>
    </row>
    <row r="1236" spans="1:7" x14ac:dyDescent="0.25">
      <c r="E1236" t="s">
        <v>1141</v>
      </c>
      <c r="F1236">
        <v>0.3354166666666667</v>
      </c>
      <c r="G1236" t="s">
        <v>1997</v>
      </c>
    </row>
    <row r="1237" spans="1:7" x14ac:dyDescent="0.25">
      <c r="E1237" t="s">
        <v>1143</v>
      </c>
      <c r="F1237">
        <v>0.17777777777777781</v>
      </c>
      <c r="G1237" t="s">
        <v>1998</v>
      </c>
    </row>
    <row r="1238" spans="1:7" x14ac:dyDescent="0.25">
      <c r="E1238" t="s">
        <v>1145</v>
      </c>
      <c r="F1238">
        <v>0</v>
      </c>
    </row>
    <row r="1239" spans="1:7" x14ac:dyDescent="0.25">
      <c r="E1239" t="s">
        <v>1146</v>
      </c>
      <c r="F1239">
        <v>0</v>
      </c>
    </row>
    <row r="1240" spans="1:7" x14ac:dyDescent="0.25">
      <c r="E1240" t="s">
        <v>1147</v>
      </c>
      <c r="F1240">
        <v>0.34236111111111112</v>
      </c>
      <c r="G1240" t="s">
        <v>1999</v>
      </c>
    </row>
    <row r="1241" spans="1:7" x14ac:dyDescent="0.25">
      <c r="E1241" t="s">
        <v>1149</v>
      </c>
      <c r="F1241">
        <v>6.6409722222222225</v>
      </c>
      <c r="G1241" t="s">
        <v>1150</v>
      </c>
    </row>
    <row r="1242" spans="1:7" x14ac:dyDescent="0.25">
      <c r="A1242">
        <v>109</v>
      </c>
      <c r="B1242" t="s">
        <v>779</v>
      </c>
      <c r="C1242" t="s">
        <v>2000</v>
      </c>
      <c r="D1242" t="s">
        <v>267</v>
      </c>
      <c r="E1242" t="s">
        <v>1098</v>
      </c>
      <c r="F1242">
        <v>0</v>
      </c>
    </row>
    <row r="1243" spans="1:7" x14ac:dyDescent="0.25">
      <c r="E1243" t="s">
        <v>1099</v>
      </c>
      <c r="F1243">
        <v>0.37430555555555545</v>
      </c>
      <c r="G1243" t="s">
        <v>2001</v>
      </c>
    </row>
    <row r="1244" spans="1:7" x14ac:dyDescent="0.25">
      <c r="E1244" t="s">
        <v>1100</v>
      </c>
      <c r="F1244">
        <v>0.36458333333333326</v>
      </c>
      <c r="G1244" t="s">
        <v>2002</v>
      </c>
    </row>
    <row r="1245" spans="1:7" x14ac:dyDescent="0.25">
      <c r="E1245" t="s">
        <v>1101</v>
      </c>
      <c r="F1245">
        <v>0.41319444444444442</v>
      </c>
      <c r="G1245" t="s">
        <v>2003</v>
      </c>
    </row>
    <row r="1246" spans="1:7" x14ac:dyDescent="0.25">
      <c r="E1246" t="s">
        <v>1102</v>
      </c>
      <c r="F1246">
        <v>0.37916666666666665</v>
      </c>
      <c r="G1246" t="s">
        <v>2004</v>
      </c>
    </row>
    <row r="1247" spans="1:7" x14ac:dyDescent="0.25">
      <c r="E1247" t="s">
        <v>1104</v>
      </c>
      <c r="F1247">
        <v>0.41180555555555554</v>
      </c>
      <c r="G1247" t="s">
        <v>2005</v>
      </c>
    </row>
    <row r="1248" spans="1:7" x14ac:dyDescent="0.25">
      <c r="E1248" t="s">
        <v>1106</v>
      </c>
      <c r="F1248">
        <v>0.3208333333333333</v>
      </c>
      <c r="G1248" t="s">
        <v>2006</v>
      </c>
    </row>
    <row r="1249" spans="5:7" x14ac:dyDescent="0.25">
      <c r="E1249" t="s">
        <v>1108</v>
      </c>
      <c r="F1249">
        <v>0.34791666666666665</v>
      </c>
      <c r="G1249" t="s">
        <v>2007</v>
      </c>
    </row>
    <row r="1250" spans="5:7" x14ac:dyDescent="0.25">
      <c r="E1250" t="s">
        <v>1109</v>
      </c>
      <c r="F1250">
        <v>0.40208333333333335</v>
      </c>
      <c r="G1250" t="s">
        <v>2008</v>
      </c>
    </row>
    <row r="1251" spans="5:7" x14ac:dyDescent="0.25">
      <c r="E1251" t="s">
        <v>1111</v>
      </c>
      <c r="F1251">
        <v>0.40763888888888888</v>
      </c>
      <c r="G1251" t="s">
        <v>2009</v>
      </c>
    </row>
    <row r="1252" spans="5:7" x14ac:dyDescent="0.25">
      <c r="E1252" t="s">
        <v>1113</v>
      </c>
      <c r="F1252">
        <v>0.37361111111111112</v>
      </c>
      <c r="G1252" t="s">
        <v>2010</v>
      </c>
    </row>
    <row r="1253" spans="5:7" x14ac:dyDescent="0.25">
      <c r="E1253" t="s">
        <v>1115</v>
      </c>
      <c r="F1253">
        <v>0.37847222222222232</v>
      </c>
      <c r="G1253" t="s">
        <v>2011</v>
      </c>
    </row>
    <row r="1254" spans="5:7" x14ac:dyDescent="0.25">
      <c r="E1254" t="s">
        <v>1117</v>
      </c>
      <c r="F1254">
        <v>0.41666666666666674</v>
      </c>
      <c r="G1254" t="s">
        <v>2012</v>
      </c>
    </row>
    <row r="1255" spans="5:7" x14ac:dyDescent="0.25">
      <c r="E1255" t="s">
        <v>1119</v>
      </c>
      <c r="F1255">
        <v>0.21527777777777768</v>
      </c>
      <c r="G1255" t="s">
        <v>2013</v>
      </c>
    </row>
    <row r="1256" spans="5:7" x14ac:dyDescent="0.25">
      <c r="E1256" t="s">
        <v>1121</v>
      </c>
      <c r="F1256">
        <v>0</v>
      </c>
    </row>
    <row r="1257" spans="5:7" x14ac:dyDescent="0.25">
      <c r="E1257" t="s">
        <v>1122</v>
      </c>
      <c r="F1257">
        <v>0.43541666666666656</v>
      </c>
      <c r="G1257" t="s">
        <v>2014</v>
      </c>
    </row>
    <row r="1258" spans="5:7" x14ac:dyDescent="0.25">
      <c r="E1258" t="s">
        <v>1124</v>
      </c>
      <c r="F1258">
        <v>0.38055555555555554</v>
      </c>
      <c r="G1258" t="s">
        <v>2015</v>
      </c>
    </row>
    <row r="1259" spans="5:7" x14ac:dyDescent="0.25">
      <c r="E1259" t="s">
        <v>1126</v>
      </c>
      <c r="F1259">
        <v>0.40625</v>
      </c>
      <c r="G1259" t="s">
        <v>2016</v>
      </c>
    </row>
    <row r="1260" spans="5:7" x14ac:dyDescent="0.25">
      <c r="E1260" t="s">
        <v>1128</v>
      </c>
      <c r="F1260">
        <v>0.38888888888888884</v>
      </c>
      <c r="G1260" t="s">
        <v>2017</v>
      </c>
    </row>
    <row r="1261" spans="5:7" x14ac:dyDescent="0.25">
      <c r="E1261" t="s">
        <v>1130</v>
      </c>
      <c r="F1261">
        <v>0.3701388888888888</v>
      </c>
      <c r="G1261" t="s">
        <v>2018</v>
      </c>
    </row>
    <row r="1262" spans="5:7" x14ac:dyDescent="0.25">
      <c r="E1262" t="s">
        <v>1132</v>
      </c>
      <c r="F1262">
        <v>0.35486111111111107</v>
      </c>
      <c r="G1262" t="s">
        <v>2019</v>
      </c>
    </row>
    <row r="1263" spans="5:7" x14ac:dyDescent="0.25">
      <c r="E1263" t="s">
        <v>1134</v>
      </c>
      <c r="F1263">
        <v>0.33333333333333326</v>
      </c>
      <c r="G1263" t="s">
        <v>2020</v>
      </c>
    </row>
    <row r="1264" spans="5:7" x14ac:dyDescent="0.25">
      <c r="E1264" t="s">
        <v>1135</v>
      </c>
      <c r="F1264">
        <v>0.37430555555555545</v>
      </c>
      <c r="G1264" t="s">
        <v>2021</v>
      </c>
    </row>
    <row r="1265" spans="1:7" x14ac:dyDescent="0.25">
      <c r="E1265" t="s">
        <v>1137</v>
      </c>
      <c r="F1265">
        <v>0.40069444444444446</v>
      </c>
      <c r="G1265" t="s">
        <v>2022</v>
      </c>
    </row>
    <row r="1266" spans="1:7" x14ac:dyDescent="0.25">
      <c r="E1266" t="s">
        <v>1139</v>
      </c>
      <c r="F1266">
        <v>0.38749999999999996</v>
      </c>
      <c r="G1266" t="s">
        <v>2023</v>
      </c>
    </row>
    <row r="1267" spans="1:7" x14ac:dyDescent="0.25">
      <c r="E1267" t="s">
        <v>1141</v>
      </c>
      <c r="F1267">
        <v>0.39375000000000004</v>
      </c>
      <c r="G1267" t="s">
        <v>2024</v>
      </c>
    </row>
    <row r="1268" spans="1:7" x14ac:dyDescent="0.25">
      <c r="E1268" t="s">
        <v>1143</v>
      </c>
      <c r="F1268">
        <v>0.40208333333333335</v>
      </c>
      <c r="G1268" t="s">
        <v>2025</v>
      </c>
    </row>
    <row r="1269" spans="1:7" x14ac:dyDescent="0.25">
      <c r="E1269" t="s">
        <v>1145</v>
      </c>
      <c r="F1269">
        <v>0.28333333333333344</v>
      </c>
      <c r="G1269" t="s">
        <v>2026</v>
      </c>
    </row>
    <row r="1270" spans="1:7" x14ac:dyDescent="0.25">
      <c r="E1270" t="s">
        <v>1146</v>
      </c>
      <c r="F1270">
        <v>0</v>
      </c>
    </row>
    <row r="1271" spans="1:7" x14ac:dyDescent="0.25">
      <c r="E1271" t="s">
        <v>1147</v>
      </c>
      <c r="F1271">
        <v>0.41388888888888897</v>
      </c>
      <c r="G1271" t="s">
        <v>2027</v>
      </c>
    </row>
    <row r="1272" spans="1:7" x14ac:dyDescent="0.25">
      <c r="E1272" t="s">
        <v>1149</v>
      </c>
      <c r="F1272">
        <v>10.130555555555556</v>
      </c>
      <c r="G1272" t="s">
        <v>1150</v>
      </c>
    </row>
    <row r="1273" spans="1:7" x14ac:dyDescent="0.25">
      <c r="A1273">
        <v>50</v>
      </c>
      <c r="B1273" t="s">
        <v>2028</v>
      </c>
      <c r="C1273" t="s">
        <v>2029</v>
      </c>
      <c r="D1273" t="s">
        <v>245</v>
      </c>
      <c r="E1273" t="s">
        <v>1098</v>
      </c>
      <c r="F1273">
        <v>0</v>
      </c>
    </row>
    <row r="1274" spans="1:7" x14ac:dyDescent="0.25">
      <c r="E1274" t="s">
        <v>1099</v>
      </c>
      <c r="F1274">
        <v>0.29583333333333339</v>
      </c>
      <c r="G1274" t="s">
        <v>2030</v>
      </c>
    </row>
    <row r="1275" spans="1:7" x14ac:dyDescent="0.25">
      <c r="E1275" t="s">
        <v>1100</v>
      </c>
      <c r="F1275">
        <v>0.3173611111111112</v>
      </c>
      <c r="G1275" t="s">
        <v>2031</v>
      </c>
    </row>
    <row r="1276" spans="1:7" x14ac:dyDescent="0.25">
      <c r="E1276" t="s">
        <v>1101</v>
      </c>
      <c r="F1276">
        <v>0.29722222222222228</v>
      </c>
      <c r="G1276" t="s">
        <v>2032</v>
      </c>
    </row>
    <row r="1277" spans="1:7" x14ac:dyDescent="0.25">
      <c r="E1277" t="s">
        <v>1102</v>
      </c>
      <c r="F1277">
        <v>0</v>
      </c>
    </row>
    <row r="1278" spans="1:7" x14ac:dyDescent="0.25">
      <c r="E1278" t="s">
        <v>1104</v>
      </c>
      <c r="F1278">
        <v>0.30555555555555558</v>
      </c>
      <c r="G1278" t="s">
        <v>2033</v>
      </c>
    </row>
    <row r="1279" spans="1:7" x14ac:dyDescent="0.25">
      <c r="E1279" t="s">
        <v>1106</v>
      </c>
      <c r="F1279">
        <v>0.21180555555555558</v>
      </c>
      <c r="G1279" t="s">
        <v>2034</v>
      </c>
    </row>
    <row r="1280" spans="1:7" x14ac:dyDescent="0.25">
      <c r="E1280" t="s">
        <v>1108</v>
      </c>
      <c r="F1280">
        <v>0</v>
      </c>
    </row>
    <row r="1281" spans="5:6" x14ac:dyDescent="0.25">
      <c r="E1281" t="s">
        <v>1109</v>
      </c>
      <c r="F1281">
        <v>0</v>
      </c>
    </row>
    <row r="1282" spans="5:6" x14ac:dyDescent="0.25">
      <c r="E1282" t="s">
        <v>1111</v>
      </c>
      <c r="F1282">
        <v>0</v>
      </c>
    </row>
    <row r="1283" spans="5:6" x14ac:dyDescent="0.25">
      <c r="E1283" t="s">
        <v>1113</v>
      </c>
      <c r="F1283">
        <v>0</v>
      </c>
    </row>
    <row r="1284" spans="5:6" x14ac:dyDescent="0.25">
      <c r="E1284" t="s">
        <v>1115</v>
      </c>
      <c r="F1284">
        <v>0</v>
      </c>
    </row>
    <row r="1285" spans="5:6" x14ac:dyDescent="0.25">
      <c r="E1285" t="s">
        <v>1117</v>
      </c>
      <c r="F1285">
        <v>0</v>
      </c>
    </row>
    <row r="1286" spans="5:6" x14ac:dyDescent="0.25">
      <c r="E1286" t="s">
        <v>1119</v>
      </c>
      <c r="F1286">
        <v>0</v>
      </c>
    </row>
    <row r="1287" spans="5:6" x14ac:dyDescent="0.25">
      <c r="E1287" t="s">
        <v>1121</v>
      </c>
      <c r="F1287">
        <v>0</v>
      </c>
    </row>
    <row r="1288" spans="5:6" x14ac:dyDescent="0.25">
      <c r="E1288" t="s">
        <v>1122</v>
      </c>
      <c r="F1288">
        <v>0</v>
      </c>
    </row>
    <row r="1289" spans="5:6" x14ac:dyDescent="0.25">
      <c r="E1289" t="s">
        <v>1124</v>
      </c>
      <c r="F1289">
        <v>0</v>
      </c>
    </row>
    <row r="1290" spans="5:6" x14ac:dyDescent="0.25">
      <c r="E1290" t="s">
        <v>1126</v>
      </c>
      <c r="F1290">
        <v>0</v>
      </c>
    </row>
    <row r="1291" spans="5:6" x14ac:dyDescent="0.25">
      <c r="E1291" t="s">
        <v>1128</v>
      </c>
      <c r="F1291">
        <v>0</v>
      </c>
    </row>
    <row r="1292" spans="5:6" x14ac:dyDescent="0.25">
      <c r="E1292" t="s">
        <v>1130</v>
      </c>
      <c r="F1292">
        <v>0</v>
      </c>
    </row>
    <row r="1293" spans="5:6" x14ac:dyDescent="0.25">
      <c r="E1293" t="s">
        <v>1132</v>
      </c>
      <c r="F1293">
        <v>0</v>
      </c>
    </row>
    <row r="1294" spans="5:6" x14ac:dyDescent="0.25">
      <c r="E1294" t="s">
        <v>1134</v>
      </c>
      <c r="F1294">
        <v>0</v>
      </c>
    </row>
    <row r="1295" spans="5:6" x14ac:dyDescent="0.25">
      <c r="E1295" t="s">
        <v>1135</v>
      </c>
      <c r="F1295">
        <v>0</v>
      </c>
    </row>
    <row r="1296" spans="5:6" x14ac:dyDescent="0.25">
      <c r="E1296" t="s">
        <v>1137</v>
      </c>
      <c r="F1296">
        <v>0</v>
      </c>
    </row>
    <row r="1297" spans="1:7" x14ac:dyDescent="0.25">
      <c r="E1297" t="s">
        <v>1139</v>
      </c>
      <c r="F1297">
        <v>0</v>
      </c>
    </row>
    <row r="1298" spans="1:7" x14ac:dyDescent="0.25">
      <c r="E1298" t="s">
        <v>1141</v>
      </c>
      <c r="F1298">
        <v>0</v>
      </c>
    </row>
    <row r="1299" spans="1:7" x14ac:dyDescent="0.25">
      <c r="E1299" t="s">
        <v>1143</v>
      </c>
      <c r="F1299">
        <v>0</v>
      </c>
    </row>
    <row r="1300" spans="1:7" x14ac:dyDescent="0.25">
      <c r="E1300" t="s">
        <v>1145</v>
      </c>
      <c r="F1300">
        <v>0</v>
      </c>
    </row>
    <row r="1301" spans="1:7" x14ac:dyDescent="0.25">
      <c r="E1301" t="s">
        <v>1146</v>
      </c>
      <c r="F1301">
        <v>0</v>
      </c>
    </row>
    <row r="1302" spans="1:7" x14ac:dyDescent="0.25">
      <c r="E1302" t="s">
        <v>1147</v>
      </c>
      <c r="F1302">
        <v>0</v>
      </c>
    </row>
    <row r="1303" spans="1:7" x14ac:dyDescent="0.25">
      <c r="E1303" t="s">
        <v>1149</v>
      </c>
      <c r="F1303">
        <v>1.4277777777777776</v>
      </c>
      <c r="G1303" t="s">
        <v>1150</v>
      </c>
    </row>
    <row r="1304" spans="1:7" x14ac:dyDescent="0.25">
      <c r="A1304">
        <v>47</v>
      </c>
      <c r="B1304" t="s">
        <v>2035</v>
      </c>
      <c r="C1304" t="s">
        <v>2036</v>
      </c>
      <c r="D1304" t="s">
        <v>2037</v>
      </c>
      <c r="E1304" t="s">
        <v>1098</v>
      </c>
      <c r="F1304">
        <v>0</v>
      </c>
    </row>
    <row r="1305" spans="1:7" x14ac:dyDescent="0.25">
      <c r="E1305" t="s">
        <v>1099</v>
      </c>
      <c r="F1305">
        <v>0.29930555555555549</v>
      </c>
      <c r="G1305" t="s">
        <v>2038</v>
      </c>
    </row>
    <row r="1306" spans="1:7" x14ac:dyDescent="0.25">
      <c r="E1306" t="s">
        <v>1100</v>
      </c>
      <c r="F1306">
        <v>0</v>
      </c>
    </row>
    <row r="1307" spans="1:7" x14ac:dyDescent="0.25">
      <c r="E1307" t="s">
        <v>1101</v>
      </c>
      <c r="F1307">
        <v>0.29791666666666661</v>
      </c>
      <c r="G1307" t="s">
        <v>2039</v>
      </c>
    </row>
    <row r="1308" spans="1:7" x14ac:dyDescent="0.25">
      <c r="E1308" t="s">
        <v>1102</v>
      </c>
      <c r="F1308">
        <v>0.40416666666666656</v>
      </c>
      <c r="G1308" t="s">
        <v>2040</v>
      </c>
    </row>
    <row r="1309" spans="1:7" x14ac:dyDescent="0.25">
      <c r="E1309" t="s">
        <v>1104</v>
      </c>
      <c r="F1309">
        <v>0.30208333333333326</v>
      </c>
      <c r="G1309" t="s">
        <v>2041</v>
      </c>
    </row>
    <row r="1310" spans="1:7" x14ac:dyDescent="0.25">
      <c r="E1310" t="s">
        <v>1106</v>
      </c>
      <c r="F1310">
        <v>0</v>
      </c>
    </row>
    <row r="1311" spans="1:7" x14ac:dyDescent="0.25">
      <c r="E1311" t="s">
        <v>1108</v>
      </c>
      <c r="F1311">
        <v>0</v>
      </c>
    </row>
    <row r="1312" spans="1:7" x14ac:dyDescent="0.25">
      <c r="E1312" t="s">
        <v>1109</v>
      </c>
      <c r="F1312">
        <v>0.18888888888888888</v>
      </c>
      <c r="G1312" t="s">
        <v>2042</v>
      </c>
    </row>
    <row r="1313" spans="5:7" x14ac:dyDescent="0.25">
      <c r="E1313" t="s">
        <v>1111</v>
      </c>
      <c r="F1313">
        <v>0.40694444444444455</v>
      </c>
      <c r="G1313" t="s">
        <v>2043</v>
      </c>
    </row>
    <row r="1314" spans="5:7" x14ac:dyDescent="0.25">
      <c r="E1314" t="s">
        <v>1113</v>
      </c>
      <c r="F1314">
        <v>0.40972222222222232</v>
      </c>
      <c r="G1314" t="s">
        <v>2044</v>
      </c>
    </row>
    <row r="1315" spans="5:7" x14ac:dyDescent="0.25">
      <c r="E1315" t="s">
        <v>1115</v>
      </c>
      <c r="F1315">
        <v>0</v>
      </c>
    </row>
    <row r="1316" spans="5:7" x14ac:dyDescent="0.25">
      <c r="E1316" t="s">
        <v>1117</v>
      </c>
      <c r="F1316">
        <v>0</v>
      </c>
    </row>
    <row r="1317" spans="5:7" x14ac:dyDescent="0.25">
      <c r="E1317" t="s">
        <v>1119</v>
      </c>
      <c r="F1317">
        <v>0</v>
      </c>
    </row>
    <row r="1318" spans="5:7" x14ac:dyDescent="0.25">
      <c r="E1318" t="s">
        <v>1121</v>
      </c>
      <c r="F1318">
        <v>0</v>
      </c>
    </row>
    <row r="1319" spans="5:7" x14ac:dyDescent="0.25">
      <c r="E1319" t="s">
        <v>1122</v>
      </c>
      <c r="F1319">
        <v>0</v>
      </c>
    </row>
    <row r="1320" spans="5:7" x14ac:dyDescent="0.25">
      <c r="E1320" t="s">
        <v>1124</v>
      </c>
      <c r="F1320">
        <v>0.11597222222222214</v>
      </c>
      <c r="G1320" t="s">
        <v>2045</v>
      </c>
    </row>
    <row r="1321" spans="5:7" x14ac:dyDescent="0.25">
      <c r="E1321" t="s">
        <v>1126</v>
      </c>
      <c r="F1321">
        <v>0.29444444444444451</v>
      </c>
      <c r="G1321" t="s">
        <v>2046</v>
      </c>
    </row>
    <row r="1322" spans="5:7" x14ac:dyDescent="0.25">
      <c r="E1322" t="s">
        <v>1128</v>
      </c>
      <c r="F1322">
        <v>0.29652777777777772</v>
      </c>
      <c r="G1322" t="s">
        <v>2047</v>
      </c>
    </row>
    <row r="1323" spans="5:7" x14ac:dyDescent="0.25">
      <c r="E1323" t="s">
        <v>1130</v>
      </c>
      <c r="F1323">
        <v>0.29097222222222219</v>
      </c>
      <c r="G1323" t="s">
        <v>2048</v>
      </c>
    </row>
    <row r="1324" spans="5:7" x14ac:dyDescent="0.25">
      <c r="E1324" t="s">
        <v>1132</v>
      </c>
      <c r="F1324">
        <v>0.20763888888888893</v>
      </c>
      <c r="G1324" t="s">
        <v>2049</v>
      </c>
    </row>
    <row r="1325" spans="5:7" x14ac:dyDescent="0.25">
      <c r="E1325" t="s">
        <v>1134</v>
      </c>
      <c r="F1325">
        <v>0</v>
      </c>
    </row>
    <row r="1326" spans="5:7" x14ac:dyDescent="0.25">
      <c r="E1326" t="s">
        <v>1135</v>
      </c>
      <c r="F1326">
        <v>0.29930555555555549</v>
      </c>
      <c r="G1326" t="s">
        <v>2050</v>
      </c>
    </row>
    <row r="1327" spans="5:7" x14ac:dyDescent="0.25">
      <c r="E1327" t="s">
        <v>1137</v>
      </c>
      <c r="F1327">
        <v>0.3354166666666667</v>
      </c>
      <c r="G1327" t="s">
        <v>2051</v>
      </c>
    </row>
    <row r="1328" spans="5:7" x14ac:dyDescent="0.25">
      <c r="E1328" t="s">
        <v>1139</v>
      </c>
      <c r="F1328">
        <v>0.3354166666666667</v>
      </c>
      <c r="G1328" t="s">
        <v>2052</v>
      </c>
    </row>
    <row r="1329" spans="1:7" x14ac:dyDescent="0.25">
      <c r="E1329" t="s">
        <v>1141</v>
      </c>
      <c r="F1329">
        <v>0.32499999999999996</v>
      </c>
      <c r="G1329" t="s">
        <v>2053</v>
      </c>
    </row>
    <row r="1330" spans="1:7" x14ac:dyDescent="0.25">
      <c r="E1330" t="s">
        <v>1143</v>
      </c>
      <c r="F1330">
        <v>0.17500000000000004</v>
      </c>
      <c r="G1330" t="s">
        <v>2054</v>
      </c>
    </row>
    <row r="1331" spans="1:7" x14ac:dyDescent="0.25">
      <c r="E1331" t="s">
        <v>1145</v>
      </c>
      <c r="F1331">
        <v>0</v>
      </c>
    </row>
    <row r="1332" spans="1:7" x14ac:dyDescent="0.25">
      <c r="E1332" t="s">
        <v>1146</v>
      </c>
      <c r="F1332">
        <v>0</v>
      </c>
    </row>
    <row r="1333" spans="1:7" x14ac:dyDescent="0.25">
      <c r="E1333" t="s">
        <v>1147</v>
      </c>
      <c r="F1333">
        <v>0.33333333333333326</v>
      </c>
      <c r="G1333" t="s">
        <v>2055</v>
      </c>
    </row>
    <row r="1334" spans="1:7" x14ac:dyDescent="0.25">
      <c r="E1334" t="s">
        <v>1149</v>
      </c>
      <c r="F1334">
        <v>5.3180555555555555</v>
      </c>
      <c r="G1334" t="s">
        <v>1150</v>
      </c>
    </row>
    <row r="1335" spans="1:7" x14ac:dyDescent="0.25">
      <c r="A1335">
        <v>62</v>
      </c>
      <c r="B1335" t="s">
        <v>2056</v>
      </c>
      <c r="C1335" t="s">
        <v>2057</v>
      </c>
      <c r="D1335" t="s">
        <v>234</v>
      </c>
      <c r="E1335" t="s">
        <v>1098</v>
      </c>
      <c r="F1335">
        <v>0</v>
      </c>
    </row>
    <row r="1336" spans="1:7" x14ac:dyDescent="0.25">
      <c r="E1336" t="s">
        <v>1099</v>
      </c>
      <c r="F1336">
        <v>0.29374999999999996</v>
      </c>
      <c r="G1336" t="s">
        <v>2058</v>
      </c>
    </row>
    <row r="1337" spans="1:7" x14ac:dyDescent="0.25">
      <c r="E1337" t="s">
        <v>1100</v>
      </c>
      <c r="F1337">
        <v>0.31388888888888888</v>
      </c>
      <c r="G1337" t="s">
        <v>2059</v>
      </c>
    </row>
    <row r="1338" spans="1:7" x14ac:dyDescent="0.25">
      <c r="E1338" t="s">
        <v>1101</v>
      </c>
      <c r="F1338">
        <v>0.29305555555555562</v>
      </c>
      <c r="G1338" t="s">
        <v>2060</v>
      </c>
    </row>
    <row r="1339" spans="1:7" x14ac:dyDescent="0.25">
      <c r="E1339" t="s">
        <v>1102</v>
      </c>
      <c r="F1339">
        <v>0.29166666666666674</v>
      </c>
      <c r="G1339" t="s">
        <v>2061</v>
      </c>
    </row>
    <row r="1340" spans="1:7" x14ac:dyDescent="0.25">
      <c r="E1340" t="s">
        <v>1104</v>
      </c>
      <c r="F1340">
        <v>0.30486111111111103</v>
      </c>
      <c r="G1340" t="s">
        <v>2062</v>
      </c>
    </row>
    <row r="1341" spans="1:7" x14ac:dyDescent="0.25">
      <c r="E1341" t="s">
        <v>1106</v>
      </c>
      <c r="F1341">
        <v>0.20833333333333326</v>
      </c>
      <c r="G1341" t="s">
        <v>2063</v>
      </c>
    </row>
    <row r="1342" spans="1:7" x14ac:dyDescent="0.25">
      <c r="E1342" t="s">
        <v>1108</v>
      </c>
      <c r="F1342">
        <v>0</v>
      </c>
    </row>
    <row r="1343" spans="1:7" x14ac:dyDescent="0.25">
      <c r="E1343" t="s">
        <v>1109</v>
      </c>
      <c r="F1343">
        <v>0.2895833333333333</v>
      </c>
      <c r="G1343" t="s">
        <v>2064</v>
      </c>
    </row>
    <row r="1344" spans="1:7" x14ac:dyDescent="0.25">
      <c r="E1344" t="s">
        <v>1111</v>
      </c>
      <c r="F1344">
        <v>0.29652777777777772</v>
      </c>
      <c r="G1344" t="s">
        <v>2065</v>
      </c>
    </row>
    <row r="1345" spans="5:7" x14ac:dyDescent="0.25">
      <c r="E1345" t="s">
        <v>1113</v>
      </c>
      <c r="F1345">
        <v>0.29305555555555562</v>
      </c>
      <c r="G1345" t="s">
        <v>2066</v>
      </c>
    </row>
    <row r="1346" spans="5:7" x14ac:dyDescent="0.25">
      <c r="E1346" t="s">
        <v>1115</v>
      </c>
      <c r="F1346">
        <v>0.29652777777777772</v>
      </c>
      <c r="G1346" t="s">
        <v>2067</v>
      </c>
    </row>
    <row r="1347" spans="5:7" x14ac:dyDescent="0.25">
      <c r="E1347" t="s">
        <v>1117</v>
      </c>
      <c r="F1347">
        <v>0.3354166666666667</v>
      </c>
      <c r="G1347" t="s">
        <v>2068</v>
      </c>
    </row>
    <row r="1348" spans="5:7" x14ac:dyDescent="0.25">
      <c r="E1348" t="s">
        <v>1119</v>
      </c>
      <c r="F1348">
        <v>0.20277777777777772</v>
      </c>
      <c r="G1348" t="s">
        <v>2069</v>
      </c>
    </row>
    <row r="1349" spans="5:7" x14ac:dyDescent="0.25">
      <c r="E1349" t="s">
        <v>1121</v>
      </c>
      <c r="F1349">
        <v>0</v>
      </c>
    </row>
    <row r="1350" spans="5:7" x14ac:dyDescent="0.25">
      <c r="E1350" t="s">
        <v>1122</v>
      </c>
      <c r="F1350">
        <v>0.28888888888888897</v>
      </c>
      <c r="G1350" t="s">
        <v>2070</v>
      </c>
    </row>
    <row r="1351" spans="5:7" x14ac:dyDescent="0.25">
      <c r="E1351" t="s">
        <v>1124</v>
      </c>
      <c r="F1351">
        <v>0.2895833333333333</v>
      </c>
      <c r="G1351" t="s">
        <v>2071</v>
      </c>
    </row>
    <row r="1352" spans="5:7" x14ac:dyDescent="0.25">
      <c r="E1352" t="s">
        <v>1126</v>
      </c>
      <c r="F1352">
        <v>0.29930555555555549</v>
      </c>
      <c r="G1352" t="s">
        <v>2072</v>
      </c>
    </row>
    <row r="1353" spans="5:7" x14ac:dyDescent="0.25">
      <c r="E1353" t="s">
        <v>1128</v>
      </c>
      <c r="F1353">
        <v>0.30000000000000004</v>
      </c>
      <c r="G1353" t="s">
        <v>2073</v>
      </c>
    </row>
    <row r="1354" spans="5:7" x14ac:dyDescent="0.25">
      <c r="E1354" t="s">
        <v>1130</v>
      </c>
      <c r="F1354">
        <v>0.29444444444444451</v>
      </c>
      <c r="G1354" t="s">
        <v>2074</v>
      </c>
    </row>
    <row r="1355" spans="5:7" x14ac:dyDescent="0.25">
      <c r="E1355" t="s">
        <v>1132</v>
      </c>
      <c r="F1355">
        <v>0.20972222222222214</v>
      </c>
      <c r="G1355" t="s">
        <v>2075</v>
      </c>
    </row>
    <row r="1356" spans="5:7" x14ac:dyDescent="0.25">
      <c r="E1356" t="s">
        <v>1134</v>
      </c>
      <c r="F1356">
        <v>0</v>
      </c>
    </row>
    <row r="1357" spans="5:7" x14ac:dyDescent="0.25">
      <c r="E1357" t="s">
        <v>1135</v>
      </c>
      <c r="F1357">
        <v>0.29722222222222228</v>
      </c>
      <c r="G1357" t="s">
        <v>2076</v>
      </c>
    </row>
    <row r="1358" spans="5:7" x14ac:dyDescent="0.25">
      <c r="E1358" t="s">
        <v>1137</v>
      </c>
      <c r="F1358">
        <v>0.36805555555555558</v>
      </c>
      <c r="G1358" t="s">
        <v>2077</v>
      </c>
    </row>
    <row r="1359" spans="5:7" x14ac:dyDescent="0.25">
      <c r="E1359" t="s">
        <v>1139</v>
      </c>
      <c r="F1359">
        <v>0.34097222222222223</v>
      </c>
      <c r="G1359" t="s">
        <v>2078</v>
      </c>
    </row>
    <row r="1360" spans="5:7" x14ac:dyDescent="0.25">
      <c r="E1360" t="s">
        <v>1141</v>
      </c>
      <c r="F1360">
        <v>0.33749999999999991</v>
      </c>
      <c r="G1360" t="s">
        <v>2079</v>
      </c>
    </row>
    <row r="1361" spans="1:7" x14ac:dyDescent="0.25">
      <c r="E1361" t="s">
        <v>1143</v>
      </c>
      <c r="F1361">
        <v>0.17152777777777772</v>
      </c>
      <c r="G1361" t="s">
        <v>2080</v>
      </c>
    </row>
    <row r="1362" spans="1:7" x14ac:dyDescent="0.25">
      <c r="E1362" t="s">
        <v>1145</v>
      </c>
      <c r="F1362">
        <v>0</v>
      </c>
    </row>
    <row r="1363" spans="1:7" x14ac:dyDescent="0.25">
      <c r="E1363" t="s">
        <v>1146</v>
      </c>
      <c r="F1363">
        <v>0</v>
      </c>
    </row>
    <row r="1364" spans="1:7" x14ac:dyDescent="0.25">
      <c r="E1364" t="s">
        <v>1147</v>
      </c>
      <c r="F1364">
        <v>0.33611111111111103</v>
      </c>
      <c r="G1364" t="s">
        <v>2081</v>
      </c>
    </row>
    <row r="1365" spans="1:7" x14ac:dyDescent="0.25">
      <c r="E1365" t="s">
        <v>1149</v>
      </c>
      <c r="F1365">
        <v>6.9527777777777775</v>
      </c>
      <c r="G1365" t="s">
        <v>1150</v>
      </c>
    </row>
    <row r="1366" spans="1:7" x14ac:dyDescent="0.25">
      <c r="A1366">
        <v>24</v>
      </c>
      <c r="B1366" t="s">
        <v>2082</v>
      </c>
      <c r="C1366" t="s">
        <v>2083</v>
      </c>
      <c r="D1366" t="s">
        <v>2084</v>
      </c>
      <c r="E1366" t="s">
        <v>1098</v>
      </c>
      <c r="F1366">
        <v>0</v>
      </c>
    </row>
    <row r="1367" spans="1:7" x14ac:dyDescent="0.25">
      <c r="E1367" t="s">
        <v>1099</v>
      </c>
      <c r="F1367">
        <v>0.22291666666666665</v>
      </c>
      <c r="G1367" t="s">
        <v>2085</v>
      </c>
    </row>
    <row r="1368" spans="1:7" x14ac:dyDescent="0.25">
      <c r="E1368" t="s">
        <v>1100</v>
      </c>
      <c r="F1368">
        <v>0.3208333333333333</v>
      </c>
      <c r="G1368" t="s">
        <v>2086</v>
      </c>
    </row>
    <row r="1369" spans="1:7" x14ac:dyDescent="0.25">
      <c r="E1369" t="s">
        <v>1101</v>
      </c>
      <c r="F1369">
        <v>0.28888888888888897</v>
      </c>
      <c r="G1369" t="s">
        <v>2087</v>
      </c>
    </row>
    <row r="1370" spans="1:7" x14ac:dyDescent="0.25">
      <c r="E1370" t="s">
        <v>1102</v>
      </c>
      <c r="F1370">
        <v>0.29166666666666674</v>
      </c>
      <c r="G1370" t="s">
        <v>2088</v>
      </c>
    </row>
    <row r="1371" spans="1:7" x14ac:dyDescent="0.25">
      <c r="E1371" t="s">
        <v>1104</v>
      </c>
      <c r="F1371">
        <v>0.30208333333333326</v>
      </c>
      <c r="G1371" t="s">
        <v>2089</v>
      </c>
    </row>
    <row r="1372" spans="1:7" x14ac:dyDescent="0.25">
      <c r="E1372" t="s">
        <v>1106</v>
      </c>
      <c r="F1372">
        <v>0.20416666666666661</v>
      </c>
      <c r="G1372" t="s">
        <v>2090</v>
      </c>
    </row>
    <row r="1373" spans="1:7" x14ac:dyDescent="0.25">
      <c r="E1373" t="s">
        <v>1108</v>
      </c>
      <c r="F1373">
        <v>0</v>
      </c>
    </row>
    <row r="1374" spans="1:7" x14ac:dyDescent="0.25">
      <c r="E1374" t="s">
        <v>1109</v>
      </c>
      <c r="F1374">
        <v>0</v>
      </c>
    </row>
    <row r="1375" spans="1:7" x14ac:dyDescent="0.25">
      <c r="E1375" t="s">
        <v>1111</v>
      </c>
      <c r="F1375">
        <v>0</v>
      </c>
    </row>
    <row r="1376" spans="1:7" x14ac:dyDescent="0.25">
      <c r="E1376" t="s">
        <v>1113</v>
      </c>
      <c r="F1376">
        <v>0</v>
      </c>
    </row>
    <row r="1377" spans="5:7" x14ac:dyDescent="0.25">
      <c r="E1377" t="s">
        <v>1115</v>
      </c>
      <c r="F1377">
        <v>0</v>
      </c>
    </row>
    <row r="1378" spans="5:7" x14ac:dyDescent="0.25">
      <c r="E1378" t="s">
        <v>1117</v>
      </c>
      <c r="F1378">
        <v>0</v>
      </c>
    </row>
    <row r="1379" spans="5:7" x14ac:dyDescent="0.25">
      <c r="E1379" t="s">
        <v>1119</v>
      </c>
      <c r="F1379">
        <v>0</v>
      </c>
    </row>
    <row r="1380" spans="5:7" x14ac:dyDescent="0.25">
      <c r="E1380" t="s">
        <v>1121</v>
      </c>
      <c r="F1380">
        <v>0</v>
      </c>
    </row>
    <row r="1381" spans="5:7" x14ac:dyDescent="0.25">
      <c r="E1381" t="s">
        <v>1122</v>
      </c>
      <c r="F1381">
        <v>0</v>
      </c>
    </row>
    <row r="1382" spans="5:7" x14ac:dyDescent="0.25">
      <c r="E1382" t="s">
        <v>1124</v>
      </c>
      <c r="F1382">
        <v>0</v>
      </c>
    </row>
    <row r="1383" spans="5:7" x14ac:dyDescent="0.25">
      <c r="E1383" t="s">
        <v>1126</v>
      </c>
      <c r="F1383">
        <v>0.28472222222222232</v>
      </c>
      <c r="G1383" t="s">
        <v>2091</v>
      </c>
    </row>
    <row r="1384" spans="5:7" x14ac:dyDescent="0.25">
      <c r="E1384" t="s">
        <v>1128</v>
      </c>
      <c r="F1384">
        <v>0.29930555555555549</v>
      </c>
      <c r="G1384" t="s">
        <v>2092</v>
      </c>
    </row>
    <row r="1385" spans="5:7" x14ac:dyDescent="0.25">
      <c r="E1385" t="s">
        <v>1130</v>
      </c>
      <c r="F1385">
        <v>0.29097222222222219</v>
      </c>
      <c r="G1385" t="s">
        <v>2093</v>
      </c>
    </row>
    <row r="1386" spans="5:7" x14ac:dyDescent="0.25">
      <c r="E1386" t="s">
        <v>1132</v>
      </c>
      <c r="F1386">
        <v>0.39513888888888893</v>
      </c>
      <c r="G1386" t="s">
        <v>2094</v>
      </c>
    </row>
    <row r="1387" spans="5:7" x14ac:dyDescent="0.25">
      <c r="E1387" t="s">
        <v>1134</v>
      </c>
      <c r="F1387">
        <v>0</v>
      </c>
    </row>
    <row r="1388" spans="5:7" x14ac:dyDescent="0.25">
      <c r="E1388" t="s">
        <v>1135</v>
      </c>
      <c r="F1388">
        <v>0.29305555555555562</v>
      </c>
      <c r="G1388" t="s">
        <v>2095</v>
      </c>
    </row>
    <row r="1389" spans="5:7" x14ac:dyDescent="0.25">
      <c r="E1389" t="s">
        <v>1137</v>
      </c>
      <c r="F1389">
        <v>0.33333333333333326</v>
      </c>
      <c r="G1389" t="s">
        <v>2096</v>
      </c>
    </row>
    <row r="1390" spans="5:7" x14ac:dyDescent="0.25">
      <c r="E1390" t="s">
        <v>1139</v>
      </c>
      <c r="F1390">
        <v>0.33402777777777781</v>
      </c>
      <c r="G1390" t="s">
        <v>2097</v>
      </c>
    </row>
    <row r="1391" spans="5:7" x14ac:dyDescent="0.25">
      <c r="E1391" t="s">
        <v>1141</v>
      </c>
      <c r="F1391">
        <v>0.33333333333333326</v>
      </c>
      <c r="G1391" t="s">
        <v>2098</v>
      </c>
    </row>
    <row r="1392" spans="5:7" x14ac:dyDescent="0.25">
      <c r="E1392" t="s">
        <v>1143</v>
      </c>
      <c r="F1392">
        <v>0.1826388888888888</v>
      </c>
      <c r="G1392" t="s">
        <v>2099</v>
      </c>
    </row>
    <row r="1393" spans="1:7" x14ac:dyDescent="0.25">
      <c r="E1393" t="s">
        <v>1145</v>
      </c>
      <c r="F1393">
        <v>0</v>
      </c>
    </row>
    <row r="1394" spans="1:7" x14ac:dyDescent="0.25">
      <c r="E1394" t="s">
        <v>1146</v>
      </c>
      <c r="F1394">
        <v>0</v>
      </c>
    </row>
    <row r="1395" spans="1:7" x14ac:dyDescent="0.25">
      <c r="E1395" t="s">
        <v>1147</v>
      </c>
      <c r="F1395">
        <v>0.33263888888888893</v>
      </c>
      <c r="G1395" t="s">
        <v>2100</v>
      </c>
    </row>
    <row r="1396" spans="1:7" x14ac:dyDescent="0.25">
      <c r="E1396" t="s">
        <v>1149</v>
      </c>
      <c r="F1396">
        <v>4.7097222222222221</v>
      </c>
      <c r="G1396" t="s">
        <v>1150</v>
      </c>
    </row>
    <row r="1397" spans="1:7" x14ac:dyDescent="0.25">
      <c r="A1397">
        <v>90</v>
      </c>
      <c r="B1397" t="s">
        <v>2101</v>
      </c>
      <c r="C1397" t="s">
        <v>699</v>
      </c>
      <c r="D1397" t="s">
        <v>270</v>
      </c>
      <c r="E1397" t="s">
        <v>1098</v>
      </c>
      <c r="F1397">
        <v>0</v>
      </c>
    </row>
    <row r="1398" spans="1:7" x14ac:dyDescent="0.25">
      <c r="E1398" t="s">
        <v>1099</v>
      </c>
      <c r="F1398">
        <v>0.30138888888888893</v>
      </c>
      <c r="G1398" t="s">
        <v>2102</v>
      </c>
    </row>
    <row r="1399" spans="1:7" x14ac:dyDescent="0.25">
      <c r="E1399" t="s">
        <v>1100</v>
      </c>
      <c r="F1399">
        <v>0.32152777777777786</v>
      </c>
      <c r="G1399" t="s">
        <v>2103</v>
      </c>
    </row>
    <row r="1400" spans="1:7" x14ac:dyDescent="0.25">
      <c r="E1400" t="s">
        <v>1101</v>
      </c>
      <c r="F1400">
        <v>0.30555555555555558</v>
      </c>
      <c r="G1400" t="s">
        <v>2104</v>
      </c>
    </row>
    <row r="1401" spans="1:7" x14ac:dyDescent="0.25">
      <c r="E1401" t="s">
        <v>1102</v>
      </c>
      <c r="F1401">
        <v>0.29305555555555562</v>
      </c>
      <c r="G1401" t="s">
        <v>2105</v>
      </c>
    </row>
    <row r="1402" spans="1:7" x14ac:dyDescent="0.25">
      <c r="E1402" t="s">
        <v>1104</v>
      </c>
      <c r="F1402">
        <v>0.31319444444444455</v>
      </c>
      <c r="G1402" t="s">
        <v>2106</v>
      </c>
    </row>
    <row r="1403" spans="1:7" x14ac:dyDescent="0.25">
      <c r="E1403" t="s">
        <v>1106</v>
      </c>
      <c r="F1403">
        <v>0.21180555555555558</v>
      </c>
      <c r="G1403" t="s">
        <v>2107</v>
      </c>
    </row>
    <row r="1404" spans="1:7" x14ac:dyDescent="0.25">
      <c r="E1404" t="s">
        <v>1108</v>
      </c>
      <c r="F1404">
        <v>0</v>
      </c>
    </row>
    <row r="1405" spans="1:7" x14ac:dyDescent="0.25">
      <c r="E1405" t="s">
        <v>1109</v>
      </c>
      <c r="F1405">
        <v>0.29652777777777772</v>
      </c>
      <c r="G1405" t="s">
        <v>2108</v>
      </c>
    </row>
    <row r="1406" spans="1:7" x14ac:dyDescent="0.25">
      <c r="E1406" t="s">
        <v>1111</v>
      </c>
      <c r="F1406">
        <v>0.30000000000000004</v>
      </c>
      <c r="G1406" t="s">
        <v>2109</v>
      </c>
    </row>
    <row r="1407" spans="1:7" x14ac:dyDescent="0.25">
      <c r="E1407" t="s">
        <v>1113</v>
      </c>
      <c r="F1407">
        <v>0.3076388888888888</v>
      </c>
      <c r="G1407" t="s">
        <v>2110</v>
      </c>
    </row>
    <row r="1408" spans="1:7" x14ac:dyDescent="0.25">
      <c r="E1408" t="s">
        <v>1115</v>
      </c>
      <c r="F1408">
        <v>0.30000000000000004</v>
      </c>
      <c r="G1408" t="s">
        <v>2111</v>
      </c>
    </row>
    <row r="1409" spans="5:7" x14ac:dyDescent="0.25">
      <c r="E1409" t="s">
        <v>1117</v>
      </c>
      <c r="F1409">
        <v>0.33958333333333335</v>
      </c>
      <c r="G1409" t="s">
        <v>2112</v>
      </c>
    </row>
    <row r="1410" spans="5:7" x14ac:dyDescent="0.25">
      <c r="E1410" t="s">
        <v>1119</v>
      </c>
      <c r="F1410">
        <v>0.21111111111111103</v>
      </c>
      <c r="G1410" t="s">
        <v>2113</v>
      </c>
    </row>
    <row r="1411" spans="5:7" x14ac:dyDescent="0.25">
      <c r="E1411" t="s">
        <v>1121</v>
      </c>
      <c r="F1411">
        <v>0</v>
      </c>
    </row>
    <row r="1412" spans="5:7" x14ac:dyDescent="0.25">
      <c r="E1412" t="s">
        <v>1122</v>
      </c>
      <c r="F1412">
        <v>0.20833333333333326</v>
      </c>
      <c r="G1412" t="s">
        <v>2114</v>
      </c>
    </row>
    <row r="1413" spans="5:7" x14ac:dyDescent="0.25">
      <c r="E1413" t="s">
        <v>1124</v>
      </c>
      <c r="F1413">
        <v>0</v>
      </c>
    </row>
    <row r="1414" spans="5:7" x14ac:dyDescent="0.25">
      <c r="E1414" t="s">
        <v>1126</v>
      </c>
      <c r="F1414">
        <v>0.30347222222222214</v>
      </c>
      <c r="G1414" t="s">
        <v>2115</v>
      </c>
    </row>
    <row r="1415" spans="5:7" x14ac:dyDescent="0.25">
      <c r="E1415" t="s">
        <v>1128</v>
      </c>
      <c r="F1415">
        <v>0.3041666666666667</v>
      </c>
      <c r="G1415" t="s">
        <v>2116</v>
      </c>
    </row>
    <row r="1416" spans="5:7" x14ac:dyDescent="0.25">
      <c r="E1416" t="s">
        <v>1130</v>
      </c>
      <c r="F1416">
        <v>0.3041666666666667</v>
      </c>
      <c r="G1416" t="s">
        <v>2117</v>
      </c>
    </row>
    <row r="1417" spans="5:7" x14ac:dyDescent="0.25">
      <c r="E1417" t="s">
        <v>1132</v>
      </c>
      <c r="F1417">
        <v>0.21805555555555545</v>
      </c>
      <c r="G1417" t="s">
        <v>2118</v>
      </c>
    </row>
    <row r="1418" spans="5:7" x14ac:dyDescent="0.25">
      <c r="E1418" t="s">
        <v>1134</v>
      </c>
      <c r="F1418">
        <v>0</v>
      </c>
    </row>
    <row r="1419" spans="5:7" x14ac:dyDescent="0.25">
      <c r="E1419" t="s">
        <v>1135</v>
      </c>
      <c r="F1419">
        <v>0.28402777777777777</v>
      </c>
      <c r="G1419" t="s">
        <v>2119</v>
      </c>
    </row>
    <row r="1420" spans="5:7" x14ac:dyDescent="0.25">
      <c r="E1420" t="s">
        <v>1137</v>
      </c>
      <c r="F1420">
        <v>0.3388888888888888</v>
      </c>
      <c r="G1420" t="s">
        <v>2120</v>
      </c>
    </row>
    <row r="1421" spans="5:7" x14ac:dyDescent="0.25">
      <c r="E1421" t="s">
        <v>1139</v>
      </c>
      <c r="F1421">
        <v>0.34444444444444455</v>
      </c>
      <c r="G1421" t="s">
        <v>2121</v>
      </c>
    </row>
    <row r="1422" spans="5:7" x14ac:dyDescent="0.25">
      <c r="E1422" t="s">
        <v>1141</v>
      </c>
      <c r="F1422">
        <v>0.34236111111111112</v>
      </c>
      <c r="G1422" t="s">
        <v>2122</v>
      </c>
    </row>
    <row r="1423" spans="5:7" x14ac:dyDescent="0.25">
      <c r="E1423" t="s">
        <v>1143</v>
      </c>
      <c r="F1423">
        <v>0.17291666666666661</v>
      </c>
      <c r="G1423" t="s">
        <v>2123</v>
      </c>
    </row>
    <row r="1424" spans="5:7" x14ac:dyDescent="0.25">
      <c r="E1424" t="s">
        <v>1145</v>
      </c>
      <c r="F1424">
        <v>0</v>
      </c>
    </row>
    <row r="1425" spans="1:7" x14ac:dyDescent="0.25">
      <c r="E1425" t="s">
        <v>1146</v>
      </c>
      <c r="F1425">
        <v>0</v>
      </c>
    </row>
    <row r="1426" spans="1:7" x14ac:dyDescent="0.25">
      <c r="E1426" t="s">
        <v>1147</v>
      </c>
      <c r="F1426">
        <v>0.31111111111111112</v>
      </c>
      <c r="G1426" t="s">
        <v>2124</v>
      </c>
    </row>
    <row r="1427" spans="1:7" x14ac:dyDescent="0.25">
      <c r="E1427" t="s">
        <v>1149</v>
      </c>
      <c r="F1427">
        <v>6.6333333333333337</v>
      </c>
      <c r="G1427" t="s">
        <v>1150</v>
      </c>
    </row>
    <row r="1428" spans="1:7" x14ac:dyDescent="0.25">
      <c r="A1428">
        <v>13</v>
      </c>
      <c r="B1428" t="s">
        <v>2125</v>
      </c>
      <c r="C1428" t="s">
        <v>2126</v>
      </c>
      <c r="D1428" t="s">
        <v>280</v>
      </c>
      <c r="E1428" t="s">
        <v>1098</v>
      </c>
      <c r="F1428">
        <v>0</v>
      </c>
    </row>
    <row r="1429" spans="1:7" x14ac:dyDescent="0.25">
      <c r="E1429" t="s">
        <v>1099</v>
      </c>
      <c r="F1429">
        <v>0.29722222222222228</v>
      </c>
      <c r="G1429" t="s">
        <v>2127</v>
      </c>
    </row>
    <row r="1430" spans="1:7" x14ac:dyDescent="0.25">
      <c r="E1430" t="s">
        <v>1100</v>
      </c>
      <c r="F1430">
        <v>0.29722222222222228</v>
      </c>
      <c r="G1430" t="s">
        <v>2128</v>
      </c>
    </row>
    <row r="1431" spans="1:7" x14ac:dyDescent="0.25">
      <c r="E1431" t="s">
        <v>1101</v>
      </c>
      <c r="F1431">
        <v>0.30138888888888893</v>
      </c>
      <c r="G1431" t="s">
        <v>2129</v>
      </c>
    </row>
    <row r="1432" spans="1:7" x14ac:dyDescent="0.25">
      <c r="E1432" t="s">
        <v>1102</v>
      </c>
      <c r="F1432">
        <v>0.29930555555555549</v>
      </c>
      <c r="G1432" t="s">
        <v>2130</v>
      </c>
    </row>
    <row r="1433" spans="1:7" x14ac:dyDescent="0.25">
      <c r="E1433" t="s">
        <v>1104</v>
      </c>
      <c r="F1433">
        <v>0.22083333333333344</v>
      </c>
      <c r="G1433" t="s">
        <v>2131</v>
      </c>
    </row>
    <row r="1434" spans="1:7" x14ac:dyDescent="0.25">
      <c r="E1434" t="s">
        <v>1106</v>
      </c>
      <c r="F1434">
        <v>0.20902777777777781</v>
      </c>
      <c r="G1434" t="s">
        <v>2132</v>
      </c>
    </row>
    <row r="1435" spans="1:7" x14ac:dyDescent="0.25">
      <c r="E1435" t="s">
        <v>1108</v>
      </c>
      <c r="F1435">
        <v>0</v>
      </c>
    </row>
    <row r="1436" spans="1:7" x14ac:dyDescent="0.25">
      <c r="E1436" t="s">
        <v>1109</v>
      </c>
      <c r="F1436">
        <v>0.25069444444444455</v>
      </c>
      <c r="G1436" t="s">
        <v>2133</v>
      </c>
    </row>
    <row r="1437" spans="1:7" x14ac:dyDescent="0.25">
      <c r="E1437" t="s">
        <v>1111</v>
      </c>
      <c r="F1437">
        <v>0.29513888888888884</v>
      </c>
      <c r="G1437" t="s">
        <v>2134</v>
      </c>
    </row>
    <row r="1438" spans="1:7" x14ac:dyDescent="0.25">
      <c r="E1438" t="s">
        <v>1113</v>
      </c>
      <c r="F1438">
        <v>0.33125000000000004</v>
      </c>
      <c r="G1438" t="s">
        <v>2135</v>
      </c>
    </row>
    <row r="1439" spans="1:7" x14ac:dyDescent="0.25">
      <c r="E1439" t="s">
        <v>1115</v>
      </c>
      <c r="F1439">
        <v>0.30000000000000004</v>
      </c>
      <c r="G1439" t="s">
        <v>2136</v>
      </c>
    </row>
    <row r="1440" spans="1:7" x14ac:dyDescent="0.25">
      <c r="E1440" t="s">
        <v>1117</v>
      </c>
      <c r="F1440">
        <v>0.34375</v>
      </c>
      <c r="G1440" t="s">
        <v>2137</v>
      </c>
    </row>
    <row r="1441" spans="5:7" x14ac:dyDescent="0.25">
      <c r="E1441" t="s">
        <v>1119</v>
      </c>
      <c r="F1441">
        <v>0.21666666666666656</v>
      </c>
      <c r="G1441" t="s">
        <v>2138</v>
      </c>
    </row>
    <row r="1442" spans="5:7" x14ac:dyDescent="0.25">
      <c r="E1442" t="s">
        <v>1121</v>
      </c>
      <c r="F1442">
        <v>0</v>
      </c>
    </row>
    <row r="1443" spans="5:7" x14ac:dyDescent="0.25">
      <c r="E1443" t="s">
        <v>1122</v>
      </c>
      <c r="F1443">
        <v>0.30347222222222214</v>
      </c>
      <c r="G1443" t="s">
        <v>2139</v>
      </c>
    </row>
    <row r="1444" spans="5:7" x14ac:dyDescent="0.25">
      <c r="E1444" t="s">
        <v>1124</v>
      </c>
      <c r="F1444">
        <v>0.30000000000000004</v>
      </c>
      <c r="G1444" t="s">
        <v>2140</v>
      </c>
    </row>
    <row r="1445" spans="5:7" x14ac:dyDescent="0.25">
      <c r="E1445" t="s">
        <v>1126</v>
      </c>
      <c r="F1445">
        <v>0.30000000000000004</v>
      </c>
      <c r="G1445" t="s">
        <v>2141</v>
      </c>
    </row>
    <row r="1446" spans="5:7" x14ac:dyDescent="0.25">
      <c r="E1446" t="s">
        <v>1128</v>
      </c>
      <c r="F1446">
        <v>0.30555555555555558</v>
      </c>
      <c r="G1446" t="s">
        <v>2142</v>
      </c>
    </row>
    <row r="1447" spans="5:7" x14ac:dyDescent="0.25">
      <c r="E1447" t="s">
        <v>1130</v>
      </c>
      <c r="F1447">
        <v>0.29513888888888884</v>
      </c>
      <c r="G1447" t="s">
        <v>2143</v>
      </c>
    </row>
    <row r="1448" spans="5:7" x14ac:dyDescent="0.25">
      <c r="E1448" t="s">
        <v>1132</v>
      </c>
      <c r="F1448">
        <v>0.22083333333333344</v>
      </c>
      <c r="G1448" t="s">
        <v>2144</v>
      </c>
    </row>
    <row r="1449" spans="5:7" x14ac:dyDescent="0.25">
      <c r="E1449" t="s">
        <v>1134</v>
      </c>
      <c r="F1449">
        <v>0</v>
      </c>
    </row>
    <row r="1450" spans="5:7" x14ac:dyDescent="0.25">
      <c r="E1450" t="s">
        <v>1135</v>
      </c>
      <c r="F1450">
        <v>0.30486111111111103</v>
      </c>
      <c r="G1450" t="s">
        <v>2145</v>
      </c>
    </row>
    <row r="1451" spans="5:7" x14ac:dyDescent="0.25">
      <c r="E1451" t="s">
        <v>1137</v>
      </c>
      <c r="F1451">
        <v>0.3388888888888888</v>
      </c>
      <c r="G1451" t="s">
        <v>2146</v>
      </c>
    </row>
    <row r="1452" spans="5:7" x14ac:dyDescent="0.25">
      <c r="E1452" t="s">
        <v>1139</v>
      </c>
      <c r="F1452">
        <v>0.3388888888888888</v>
      </c>
      <c r="G1452" t="s">
        <v>2147</v>
      </c>
    </row>
    <row r="1453" spans="5:7" x14ac:dyDescent="0.25">
      <c r="E1453" t="s">
        <v>1141</v>
      </c>
      <c r="F1453">
        <v>0.34097222222222223</v>
      </c>
      <c r="G1453" t="s">
        <v>2148</v>
      </c>
    </row>
    <row r="1454" spans="5:7" x14ac:dyDescent="0.25">
      <c r="E1454" t="s">
        <v>1143</v>
      </c>
      <c r="F1454">
        <v>0.17361111111111116</v>
      </c>
      <c r="G1454" t="s">
        <v>2149</v>
      </c>
    </row>
    <row r="1455" spans="5:7" x14ac:dyDescent="0.25">
      <c r="E1455" t="s">
        <v>1145</v>
      </c>
      <c r="F1455">
        <v>0</v>
      </c>
    </row>
    <row r="1456" spans="5:7" x14ac:dyDescent="0.25">
      <c r="E1456" t="s">
        <v>1146</v>
      </c>
      <c r="F1456">
        <v>0</v>
      </c>
    </row>
    <row r="1457" spans="1:7" x14ac:dyDescent="0.25">
      <c r="E1457" t="s">
        <v>1147</v>
      </c>
      <c r="F1457">
        <v>0.3701388888888888</v>
      </c>
      <c r="G1457" t="s">
        <v>2150</v>
      </c>
    </row>
    <row r="1458" spans="1:7" x14ac:dyDescent="0.25">
      <c r="E1458" t="s">
        <v>1149</v>
      </c>
      <c r="F1458">
        <v>6.9548611111111107</v>
      </c>
      <c r="G1458" t="s">
        <v>1150</v>
      </c>
    </row>
    <row r="1459" spans="1:7" x14ac:dyDescent="0.25">
      <c r="A1459">
        <v>36</v>
      </c>
      <c r="B1459" t="s">
        <v>2151</v>
      </c>
      <c r="C1459" t="s">
        <v>2152</v>
      </c>
      <c r="D1459" t="s">
        <v>2153</v>
      </c>
      <c r="E1459" t="s">
        <v>1098</v>
      </c>
      <c r="F1459">
        <v>0</v>
      </c>
    </row>
    <row r="1460" spans="1:7" x14ac:dyDescent="0.25">
      <c r="E1460" t="s">
        <v>1099</v>
      </c>
      <c r="F1460">
        <v>0.30347222222222214</v>
      </c>
      <c r="G1460" t="s">
        <v>2154</v>
      </c>
    </row>
    <row r="1461" spans="1:7" x14ac:dyDescent="0.25">
      <c r="E1461" t="s">
        <v>1100</v>
      </c>
      <c r="F1461">
        <v>0.32847222222222228</v>
      </c>
      <c r="G1461" t="s">
        <v>2155</v>
      </c>
    </row>
    <row r="1462" spans="1:7" x14ac:dyDescent="0.25">
      <c r="E1462" t="s">
        <v>1101</v>
      </c>
      <c r="F1462">
        <v>0.30069444444444438</v>
      </c>
      <c r="G1462" t="s">
        <v>2156</v>
      </c>
    </row>
    <row r="1463" spans="1:7" x14ac:dyDescent="0.25">
      <c r="E1463" t="s">
        <v>1102</v>
      </c>
      <c r="F1463">
        <v>0.30138888888888893</v>
      </c>
      <c r="G1463" t="s">
        <v>2157</v>
      </c>
    </row>
    <row r="1464" spans="1:7" x14ac:dyDescent="0.25">
      <c r="E1464" t="s">
        <v>1104</v>
      </c>
      <c r="F1464">
        <v>0.31458333333333344</v>
      </c>
      <c r="G1464" t="s">
        <v>2158</v>
      </c>
    </row>
    <row r="1465" spans="1:7" x14ac:dyDescent="0.25">
      <c r="E1465" t="s">
        <v>1106</v>
      </c>
      <c r="F1465">
        <v>0.45208333333333339</v>
      </c>
      <c r="G1465" t="s">
        <v>2159</v>
      </c>
    </row>
    <row r="1466" spans="1:7" x14ac:dyDescent="0.25">
      <c r="E1466" t="s">
        <v>1108</v>
      </c>
      <c r="F1466">
        <v>0</v>
      </c>
    </row>
    <row r="1467" spans="1:7" x14ac:dyDescent="0.25">
      <c r="E1467" t="s">
        <v>1109</v>
      </c>
      <c r="F1467">
        <v>0.29513888888888884</v>
      </c>
      <c r="G1467" t="s">
        <v>2160</v>
      </c>
    </row>
    <row r="1468" spans="1:7" x14ac:dyDescent="0.25">
      <c r="E1468" t="s">
        <v>1111</v>
      </c>
      <c r="F1468">
        <v>0.28888888888888897</v>
      </c>
      <c r="G1468" t="s">
        <v>2161</v>
      </c>
    </row>
    <row r="1469" spans="1:7" x14ac:dyDescent="0.25">
      <c r="E1469" t="s">
        <v>1113</v>
      </c>
      <c r="F1469">
        <v>0.3041666666666667</v>
      </c>
      <c r="G1469" t="s">
        <v>2162</v>
      </c>
    </row>
    <row r="1470" spans="1:7" x14ac:dyDescent="0.25">
      <c r="E1470" t="s">
        <v>1115</v>
      </c>
      <c r="F1470">
        <v>0.30833333333333335</v>
      </c>
      <c r="G1470" t="s">
        <v>2163</v>
      </c>
    </row>
    <row r="1471" spans="1:7" x14ac:dyDescent="0.25">
      <c r="E1471" t="s">
        <v>1117</v>
      </c>
      <c r="F1471">
        <v>0.34930555555555554</v>
      </c>
      <c r="G1471" t="s">
        <v>2164</v>
      </c>
    </row>
    <row r="1472" spans="1:7" x14ac:dyDescent="0.25">
      <c r="E1472" t="s">
        <v>1119</v>
      </c>
      <c r="F1472">
        <v>0.22222222222222232</v>
      </c>
      <c r="G1472" t="s">
        <v>2165</v>
      </c>
    </row>
    <row r="1473" spans="5:7" x14ac:dyDescent="0.25">
      <c r="E1473" t="s">
        <v>1121</v>
      </c>
      <c r="F1473">
        <v>0</v>
      </c>
    </row>
    <row r="1474" spans="5:7" x14ac:dyDescent="0.25">
      <c r="E1474" t="s">
        <v>1122</v>
      </c>
      <c r="F1474">
        <v>0.30902777777777768</v>
      </c>
      <c r="G1474" t="s">
        <v>2166</v>
      </c>
    </row>
    <row r="1475" spans="5:7" x14ac:dyDescent="0.25">
      <c r="E1475" t="s">
        <v>1124</v>
      </c>
      <c r="F1475">
        <v>0.30694444444444446</v>
      </c>
      <c r="G1475" t="s">
        <v>2167</v>
      </c>
    </row>
    <row r="1476" spans="5:7" x14ac:dyDescent="0.25">
      <c r="E1476" t="s">
        <v>1126</v>
      </c>
      <c r="F1476">
        <v>0.30902777777777768</v>
      </c>
      <c r="G1476" t="s">
        <v>2168</v>
      </c>
    </row>
    <row r="1477" spans="5:7" x14ac:dyDescent="0.25">
      <c r="E1477" t="s">
        <v>1128</v>
      </c>
      <c r="F1477">
        <v>0.30972222222222223</v>
      </c>
      <c r="G1477" t="s">
        <v>2169</v>
      </c>
    </row>
    <row r="1478" spans="5:7" x14ac:dyDescent="0.25">
      <c r="E1478" t="s">
        <v>1130</v>
      </c>
      <c r="F1478">
        <v>0.30694444444444446</v>
      </c>
      <c r="G1478" t="s">
        <v>2170</v>
      </c>
    </row>
    <row r="1479" spans="5:7" x14ac:dyDescent="0.25">
      <c r="E1479" t="s">
        <v>1132</v>
      </c>
      <c r="F1479">
        <v>0.22430555555555554</v>
      </c>
      <c r="G1479" t="s">
        <v>2171</v>
      </c>
    </row>
    <row r="1480" spans="5:7" x14ac:dyDescent="0.25">
      <c r="E1480" t="s">
        <v>1134</v>
      </c>
      <c r="F1480">
        <v>0</v>
      </c>
    </row>
    <row r="1481" spans="5:7" x14ac:dyDescent="0.25">
      <c r="E1481" t="s">
        <v>1135</v>
      </c>
      <c r="F1481">
        <v>0.30138888888888893</v>
      </c>
      <c r="G1481" t="s">
        <v>2172</v>
      </c>
    </row>
    <row r="1482" spans="5:7" x14ac:dyDescent="0.25">
      <c r="E1482" t="s">
        <v>1137</v>
      </c>
      <c r="F1482">
        <v>0.33611111111111103</v>
      </c>
      <c r="G1482" t="s">
        <v>2173</v>
      </c>
    </row>
    <row r="1483" spans="5:7" x14ac:dyDescent="0.25">
      <c r="E1483" t="s">
        <v>1139</v>
      </c>
      <c r="F1483">
        <v>0.34097222222222223</v>
      </c>
      <c r="G1483" t="s">
        <v>2174</v>
      </c>
    </row>
    <row r="1484" spans="5:7" x14ac:dyDescent="0.25">
      <c r="E1484" t="s">
        <v>1141</v>
      </c>
      <c r="F1484">
        <v>0.34930555555555554</v>
      </c>
      <c r="G1484" t="s">
        <v>2175</v>
      </c>
    </row>
    <row r="1485" spans="5:7" x14ac:dyDescent="0.25">
      <c r="E1485" t="s">
        <v>1143</v>
      </c>
      <c r="F1485">
        <v>0.18124999999999991</v>
      </c>
      <c r="G1485" t="s">
        <v>2176</v>
      </c>
    </row>
    <row r="1486" spans="5:7" x14ac:dyDescent="0.25">
      <c r="E1486" t="s">
        <v>1145</v>
      </c>
      <c r="F1486">
        <v>0</v>
      </c>
    </row>
    <row r="1487" spans="5:7" x14ac:dyDescent="0.25">
      <c r="E1487" t="s">
        <v>1146</v>
      </c>
      <c r="F1487">
        <v>0</v>
      </c>
    </row>
    <row r="1488" spans="5:7" x14ac:dyDescent="0.25">
      <c r="E1488" t="s">
        <v>1147</v>
      </c>
      <c r="F1488">
        <v>0.34930555555555554</v>
      </c>
      <c r="G1488" t="s">
        <v>2177</v>
      </c>
    </row>
    <row r="1489" spans="5:7" x14ac:dyDescent="0.25">
      <c r="E1489" t="s">
        <v>1149</v>
      </c>
      <c r="F1489">
        <v>7.3930555555555557</v>
      </c>
      <c r="G1489" t="s">
        <v>1150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C4750-1351-4B39-92A3-37EC886C7C6F}">
  <sheetPr codeName="Hoja2"/>
  <dimension ref="A1:AY132"/>
  <sheetViews>
    <sheetView topLeftCell="A26" workbookViewId="0">
      <selection activeCell="E73" sqref="E73"/>
    </sheetView>
  </sheetViews>
  <sheetFormatPr baseColWidth="10" defaultRowHeight="15" x14ac:dyDescent="0.25"/>
  <cols>
    <col min="1" max="1" width="7.5703125" bestFit="1" customWidth="1"/>
    <col min="2" max="2" width="16.85546875" bestFit="1" customWidth="1"/>
    <col min="3" max="3" width="6" bestFit="1" customWidth="1"/>
    <col min="4" max="4" width="42.85546875" bestFit="1" customWidth="1"/>
    <col min="5" max="5" width="40.140625" bestFit="1" customWidth="1"/>
    <col min="6" max="6" width="21.140625" bestFit="1" customWidth="1"/>
    <col min="7" max="7" width="15.28515625" bestFit="1" customWidth="1"/>
    <col min="8" max="9" width="10.42578125" bestFit="1" customWidth="1"/>
    <col min="10" max="10" width="11.140625" bestFit="1" customWidth="1"/>
    <col min="11" max="11" width="17.85546875" bestFit="1" customWidth="1"/>
    <col min="12" max="12" width="17.7109375" bestFit="1" customWidth="1"/>
    <col min="13" max="13" width="19" bestFit="1" customWidth="1"/>
    <col min="14" max="14" width="8.5703125" bestFit="1" customWidth="1"/>
    <col min="15" max="15" width="14.7109375" bestFit="1" customWidth="1"/>
    <col min="16" max="16" width="15.7109375" bestFit="1" customWidth="1"/>
    <col min="17" max="17" width="27.28515625" bestFit="1" customWidth="1"/>
    <col min="18" max="18" width="20.140625" bestFit="1" customWidth="1"/>
    <col min="19" max="19" width="28.5703125" bestFit="1" customWidth="1"/>
    <col min="20" max="20" width="20.28515625" bestFit="1" customWidth="1"/>
    <col min="21" max="21" width="12.85546875" bestFit="1" customWidth="1"/>
    <col min="22" max="22" width="37.42578125" bestFit="1" customWidth="1"/>
    <col min="23" max="23" width="47.7109375" bestFit="1" customWidth="1"/>
    <col min="24" max="24" width="23.85546875" bestFit="1" customWidth="1"/>
    <col min="25" max="25" width="6" bestFit="1" customWidth="1"/>
    <col min="26" max="26" width="22.42578125" bestFit="1" customWidth="1"/>
    <col min="27" max="27" width="12.42578125" bestFit="1" customWidth="1"/>
  </cols>
  <sheetData>
    <row r="1" spans="1:51" x14ac:dyDescent="0.25">
      <c r="A1" t="s">
        <v>800</v>
      </c>
      <c r="B1" t="s">
        <v>801</v>
      </c>
      <c r="C1" t="s">
        <v>802</v>
      </c>
      <c r="D1" t="s">
        <v>803</v>
      </c>
      <c r="E1" t="s">
        <v>124</v>
      </c>
      <c r="F1" t="s">
        <v>804</v>
      </c>
      <c r="G1" t="s">
        <v>184</v>
      </c>
      <c r="H1" t="s">
        <v>805</v>
      </c>
      <c r="I1" t="s">
        <v>806</v>
      </c>
      <c r="J1" t="s">
        <v>807</v>
      </c>
      <c r="K1" t="s">
        <v>808</v>
      </c>
      <c r="L1" t="s">
        <v>809</v>
      </c>
      <c r="M1" t="s">
        <v>810</v>
      </c>
      <c r="N1" t="s">
        <v>811</v>
      </c>
      <c r="O1" t="s">
        <v>2182</v>
      </c>
      <c r="P1" t="s">
        <v>812</v>
      </c>
      <c r="Q1" t="s">
        <v>813</v>
      </c>
      <c r="R1" t="s">
        <v>814</v>
      </c>
      <c r="S1" t="s">
        <v>2183</v>
      </c>
      <c r="T1" t="s">
        <v>2184</v>
      </c>
      <c r="U1" t="s">
        <v>815</v>
      </c>
      <c r="V1" t="s">
        <v>816</v>
      </c>
      <c r="W1" t="s">
        <v>817</v>
      </c>
      <c r="X1" t="s">
        <v>2185</v>
      </c>
      <c r="Y1" t="s">
        <v>2186</v>
      </c>
      <c r="Z1" t="s">
        <v>2187</v>
      </c>
      <c r="AA1" t="s">
        <v>2188</v>
      </c>
      <c r="AY1" t="s">
        <v>2424</v>
      </c>
    </row>
    <row r="2" spans="1:51" x14ac:dyDescent="0.25">
      <c r="A2">
        <v>6</v>
      </c>
      <c r="B2" s="204" t="s">
        <v>211</v>
      </c>
      <c r="C2">
        <v>11488</v>
      </c>
      <c r="D2" s="204" t="s">
        <v>14</v>
      </c>
      <c r="E2" s="204" t="s">
        <v>182</v>
      </c>
      <c r="F2">
        <v>300</v>
      </c>
      <c r="G2" s="105">
        <v>45376</v>
      </c>
      <c r="H2" s="105">
        <v>45376</v>
      </c>
      <c r="I2" s="105">
        <v>45541</v>
      </c>
      <c r="J2" s="204" t="s">
        <v>203</v>
      </c>
      <c r="K2" s="105"/>
      <c r="L2" s="105">
        <v>45676</v>
      </c>
      <c r="M2" t="s">
        <v>208</v>
      </c>
      <c r="N2" s="204" t="s">
        <v>208</v>
      </c>
      <c r="O2" s="204" t="s">
        <v>2189</v>
      </c>
      <c r="Q2" t="s">
        <v>2190</v>
      </c>
      <c r="R2">
        <v>27504</v>
      </c>
      <c r="S2" s="204" t="s">
        <v>2191</v>
      </c>
      <c r="T2">
        <v>49</v>
      </c>
      <c r="U2">
        <v>667207852</v>
      </c>
      <c r="V2" t="s">
        <v>2192</v>
      </c>
      <c r="Z2" s="105"/>
    </row>
    <row r="3" spans="1:51" x14ac:dyDescent="0.25">
      <c r="A3">
        <v>2</v>
      </c>
      <c r="B3" s="204" t="s">
        <v>205</v>
      </c>
      <c r="C3">
        <v>11467</v>
      </c>
      <c r="D3" s="204" t="s">
        <v>15</v>
      </c>
      <c r="E3" s="204" t="s">
        <v>182</v>
      </c>
      <c r="F3">
        <v>300</v>
      </c>
      <c r="G3" s="105">
        <v>45160</v>
      </c>
      <c r="H3" s="105">
        <v>45537</v>
      </c>
      <c r="I3" s="105"/>
      <c r="J3" s="204" t="s">
        <v>206</v>
      </c>
      <c r="K3" s="105"/>
      <c r="L3" s="105">
        <v>45837</v>
      </c>
      <c r="M3">
        <v>45259</v>
      </c>
      <c r="N3" s="204" t="s">
        <v>204</v>
      </c>
      <c r="O3" s="204"/>
      <c r="Q3" t="s">
        <v>2190</v>
      </c>
      <c r="R3">
        <v>28719</v>
      </c>
      <c r="S3" s="204" t="s">
        <v>2193</v>
      </c>
      <c r="T3">
        <v>46</v>
      </c>
      <c r="U3">
        <v>697272787</v>
      </c>
      <c r="V3" t="s">
        <v>2194</v>
      </c>
      <c r="W3" t="s">
        <v>2195</v>
      </c>
      <c r="Z3" s="105"/>
    </row>
    <row r="4" spans="1:51" x14ac:dyDescent="0.25">
      <c r="A4">
        <v>4</v>
      </c>
      <c r="B4" s="204" t="s">
        <v>209</v>
      </c>
      <c r="C4">
        <v>11482</v>
      </c>
      <c r="D4" s="204" t="s">
        <v>17</v>
      </c>
      <c r="E4" s="204" t="s">
        <v>182</v>
      </c>
      <c r="F4">
        <v>300</v>
      </c>
      <c r="G4" s="105">
        <v>45369</v>
      </c>
      <c r="H4" s="105">
        <v>45369</v>
      </c>
      <c r="I4" s="105">
        <v>45541</v>
      </c>
      <c r="J4" s="204" t="s">
        <v>203</v>
      </c>
      <c r="K4" s="105"/>
      <c r="L4" s="105">
        <v>45669</v>
      </c>
      <c r="M4" t="s">
        <v>208</v>
      </c>
      <c r="N4" s="204" t="s">
        <v>208</v>
      </c>
      <c r="O4" s="204"/>
      <c r="Q4" t="s">
        <v>2190</v>
      </c>
      <c r="R4">
        <v>33940</v>
      </c>
      <c r="S4" s="204" t="s">
        <v>2191</v>
      </c>
      <c r="T4">
        <v>31</v>
      </c>
      <c r="Z4" s="105"/>
    </row>
    <row r="5" spans="1:51" x14ac:dyDescent="0.25">
      <c r="A5">
        <v>13</v>
      </c>
      <c r="B5" s="204" t="s">
        <v>218</v>
      </c>
      <c r="C5">
        <v>11490</v>
      </c>
      <c r="D5" s="204" t="s">
        <v>93</v>
      </c>
      <c r="E5" s="204" t="s">
        <v>182</v>
      </c>
      <c r="F5">
        <v>300</v>
      </c>
      <c r="G5" s="105">
        <v>45384</v>
      </c>
      <c r="H5" s="105">
        <v>45384</v>
      </c>
      <c r="I5" s="105">
        <v>45541</v>
      </c>
      <c r="J5" s="204" t="s">
        <v>203</v>
      </c>
      <c r="K5" s="105"/>
      <c r="L5" s="105">
        <v>45684</v>
      </c>
      <c r="M5" t="s">
        <v>208</v>
      </c>
      <c r="N5" s="204" t="s">
        <v>208</v>
      </c>
      <c r="O5" s="204"/>
      <c r="P5">
        <v>46637</v>
      </c>
      <c r="Q5" t="s">
        <v>2190</v>
      </c>
      <c r="R5">
        <v>35891</v>
      </c>
      <c r="S5" s="204" t="s">
        <v>2191</v>
      </c>
      <c r="T5">
        <v>26</v>
      </c>
      <c r="U5">
        <v>687192228</v>
      </c>
      <c r="V5" t="s">
        <v>2196</v>
      </c>
      <c r="W5" t="s">
        <v>2197</v>
      </c>
      <c r="X5" t="s">
        <v>2198</v>
      </c>
      <c r="Z5" s="105"/>
    </row>
    <row r="6" spans="1:51" x14ac:dyDescent="0.25">
      <c r="A6">
        <v>8</v>
      </c>
      <c r="B6" s="204" t="s">
        <v>214</v>
      </c>
      <c r="C6">
        <v>11438</v>
      </c>
      <c r="D6" s="204" t="s">
        <v>2</v>
      </c>
      <c r="E6" s="204" t="s">
        <v>182</v>
      </c>
      <c r="F6">
        <v>100</v>
      </c>
      <c r="G6" s="105">
        <v>44166</v>
      </c>
      <c r="H6" s="105">
        <v>45166</v>
      </c>
      <c r="I6" s="105"/>
      <c r="J6" s="204" t="s">
        <v>206</v>
      </c>
      <c r="K6" s="105"/>
      <c r="L6" s="105"/>
      <c r="M6">
        <v>45259</v>
      </c>
      <c r="N6" s="204" t="s">
        <v>204</v>
      </c>
      <c r="O6" s="204" t="s">
        <v>2199</v>
      </c>
      <c r="Q6" t="s">
        <v>2200</v>
      </c>
      <c r="R6">
        <v>35627</v>
      </c>
      <c r="S6" s="204" t="s">
        <v>2193</v>
      </c>
      <c r="T6">
        <v>27</v>
      </c>
      <c r="U6">
        <v>650718003</v>
      </c>
      <c r="V6" t="s">
        <v>2201</v>
      </c>
      <c r="W6" t="s">
        <v>2202</v>
      </c>
      <c r="Z6" s="105"/>
    </row>
    <row r="7" spans="1:51" x14ac:dyDescent="0.25">
      <c r="A7">
        <v>7</v>
      </c>
      <c r="B7" s="204" t="s">
        <v>212</v>
      </c>
      <c r="C7">
        <v>11375</v>
      </c>
      <c r="D7" s="204" t="s">
        <v>213</v>
      </c>
      <c r="E7" s="204" t="s">
        <v>182</v>
      </c>
      <c r="F7">
        <v>300</v>
      </c>
      <c r="G7" s="105">
        <v>45040</v>
      </c>
      <c r="H7" s="105">
        <v>45440</v>
      </c>
      <c r="I7" s="105">
        <v>45541</v>
      </c>
      <c r="J7" s="204" t="s">
        <v>203</v>
      </c>
      <c r="K7" s="105"/>
      <c r="L7" s="105">
        <v>45740</v>
      </c>
      <c r="M7">
        <v>45259</v>
      </c>
      <c r="N7" s="204" t="s">
        <v>204</v>
      </c>
      <c r="O7" s="204"/>
      <c r="Q7" t="s">
        <v>2190</v>
      </c>
      <c r="R7">
        <v>36666</v>
      </c>
      <c r="S7" s="204" t="s">
        <v>2193</v>
      </c>
      <c r="T7">
        <v>24</v>
      </c>
      <c r="U7">
        <v>633831592</v>
      </c>
      <c r="V7" t="s">
        <v>2203</v>
      </c>
      <c r="W7" t="s">
        <v>2204</v>
      </c>
      <c r="Z7" s="105"/>
    </row>
    <row r="8" spans="1:51" x14ac:dyDescent="0.25">
      <c r="A8">
        <v>1</v>
      </c>
      <c r="B8" s="204" t="s">
        <v>202</v>
      </c>
      <c r="C8">
        <v>11505</v>
      </c>
      <c r="D8" s="204" t="s">
        <v>99</v>
      </c>
      <c r="E8" s="204" t="s">
        <v>182</v>
      </c>
      <c r="F8">
        <v>300</v>
      </c>
      <c r="G8" s="105">
        <v>45033</v>
      </c>
      <c r="H8" s="105">
        <v>45418</v>
      </c>
      <c r="I8" s="105">
        <v>45541</v>
      </c>
      <c r="J8" s="204" t="s">
        <v>203</v>
      </c>
      <c r="K8" s="105"/>
      <c r="L8" s="105">
        <v>45718</v>
      </c>
      <c r="M8">
        <v>45259</v>
      </c>
      <c r="N8" s="204" t="s">
        <v>204</v>
      </c>
      <c r="O8" s="204"/>
      <c r="Q8" t="s">
        <v>2190</v>
      </c>
      <c r="R8">
        <v>28651</v>
      </c>
      <c r="S8" s="204" t="s">
        <v>2191</v>
      </c>
      <c r="T8">
        <v>46</v>
      </c>
      <c r="U8">
        <v>631272218</v>
      </c>
      <c r="V8" t="s">
        <v>2194</v>
      </c>
      <c r="W8" t="s">
        <v>2195</v>
      </c>
      <c r="Z8" s="105"/>
    </row>
    <row r="9" spans="1:51" x14ac:dyDescent="0.25">
      <c r="A9">
        <v>12</v>
      </c>
      <c r="B9" s="204" t="s">
        <v>216</v>
      </c>
      <c r="C9">
        <v>11525</v>
      </c>
      <c r="D9" s="204" t="s">
        <v>217</v>
      </c>
      <c r="E9" s="204" t="s">
        <v>182</v>
      </c>
      <c r="F9">
        <v>300</v>
      </c>
      <c r="G9" s="105">
        <v>45478</v>
      </c>
      <c r="H9" s="105">
        <v>45478</v>
      </c>
      <c r="I9" s="105">
        <v>45551</v>
      </c>
      <c r="J9" s="204" t="s">
        <v>203</v>
      </c>
      <c r="K9" s="105"/>
      <c r="L9" s="105">
        <v>45778</v>
      </c>
      <c r="N9" s="204"/>
      <c r="O9" s="204" t="s">
        <v>2205</v>
      </c>
      <c r="Q9" t="s">
        <v>2190</v>
      </c>
      <c r="R9">
        <v>32143</v>
      </c>
      <c r="S9" s="204" t="s">
        <v>2193</v>
      </c>
      <c r="T9">
        <v>36</v>
      </c>
      <c r="U9">
        <v>643907581</v>
      </c>
      <c r="V9" t="s">
        <v>2206</v>
      </c>
      <c r="W9" t="s">
        <v>2207</v>
      </c>
      <c r="X9" t="s">
        <v>2208</v>
      </c>
      <c r="Y9">
        <v>30420</v>
      </c>
      <c r="Z9" s="105"/>
    </row>
    <row r="10" spans="1:51" x14ac:dyDescent="0.25">
      <c r="A10">
        <v>82</v>
      </c>
      <c r="B10" s="204" t="s">
        <v>313</v>
      </c>
      <c r="C10">
        <v>11459</v>
      </c>
      <c r="D10" s="204" t="s">
        <v>47</v>
      </c>
      <c r="E10" s="204" t="s">
        <v>182</v>
      </c>
      <c r="F10">
        <v>300</v>
      </c>
      <c r="G10" s="105">
        <v>36404</v>
      </c>
      <c r="H10" s="105">
        <v>45217</v>
      </c>
      <c r="I10" s="105">
        <v>45513</v>
      </c>
      <c r="J10" s="204" t="s">
        <v>203</v>
      </c>
      <c r="K10" s="105">
        <v>45558</v>
      </c>
      <c r="L10" s="105"/>
      <c r="M10">
        <v>45259</v>
      </c>
      <c r="N10" s="204" t="s">
        <v>204</v>
      </c>
      <c r="O10" s="204"/>
      <c r="Q10" t="s">
        <v>2190</v>
      </c>
      <c r="R10">
        <v>27465</v>
      </c>
      <c r="S10" s="204" t="s">
        <v>2191</v>
      </c>
      <c r="T10">
        <v>49</v>
      </c>
      <c r="U10">
        <v>660395241</v>
      </c>
      <c r="W10" t="s">
        <v>2209</v>
      </c>
      <c r="Z10" s="105"/>
    </row>
    <row r="11" spans="1:51" x14ac:dyDescent="0.25">
      <c r="A11">
        <v>9</v>
      </c>
      <c r="B11" s="204" t="s">
        <v>215</v>
      </c>
      <c r="C11">
        <v>2096</v>
      </c>
      <c r="D11" s="204" t="s">
        <v>7</v>
      </c>
      <c r="E11" s="204" t="s">
        <v>182</v>
      </c>
      <c r="F11">
        <v>100</v>
      </c>
      <c r="G11" s="105">
        <v>32722</v>
      </c>
      <c r="H11" s="105">
        <v>44621</v>
      </c>
      <c r="I11" s="105"/>
      <c r="J11" s="204" t="s">
        <v>206</v>
      </c>
      <c r="K11" s="105"/>
      <c r="L11" s="105"/>
      <c r="M11">
        <v>45259</v>
      </c>
      <c r="N11" s="204" t="s">
        <v>204</v>
      </c>
      <c r="O11" s="204" t="s">
        <v>2210</v>
      </c>
      <c r="Q11" t="s">
        <v>2190</v>
      </c>
      <c r="R11">
        <v>23933</v>
      </c>
      <c r="S11" s="204" t="s">
        <v>2193</v>
      </c>
      <c r="T11">
        <v>59</v>
      </c>
      <c r="U11">
        <v>691137993</v>
      </c>
      <c r="V11" t="s">
        <v>2211</v>
      </c>
      <c r="W11" t="s">
        <v>2212</v>
      </c>
      <c r="X11" t="s">
        <v>2213</v>
      </c>
      <c r="Y11">
        <v>3000</v>
      </c>
      <c r="Z11" s="105"/>
    </row>
    <row r="12" spans="1:51" x14ac:dyDescent="0.25">
      <c r="A12">
        <v>80</v>
      </c>
      <c r="B12" s="204" t="s">
        <v>311</v>
      </c>
      <c r="C12">
        <v>11461</v>
      </c>
      <c r="D12" s="204" t="s">
        <v>49</v>
      </c>
      <c r="E12" s="204" t="s">
        <v>182</v>
      </c>
      <c r="F12">
        <v>300</v>
      </c>
      <c r="G12" s="105">
        <v>36161</v>
      </c>
      <c r="H12" s="105">
        <v>45218</v>
      </c>
      <c r="I12" s="105">
        <v>45513</v>
      </c>
      <c r="J12" s="204" t="s">
        <v>203</v>
      </c>
      <c r="K12" s="105">
        <v>45558</v>
      </c>
      <c r="L12" s="105"/>
      <c r="M12">
        <v>45259</v>
      </c>
      <c r="N12" s="204" t="s">
        <v>204</v>
      </c>
      <c r="O12" s="204"/>
      <c r="Q12" t="s">
        <v>2190</v>
      </c>
      <c r="R12">
        <v>28707</v>
      </c>
      <c r="S12" s="204" t="s">
        <v>2191</v>
      </c>
      <c r="T12">
        <v>46</v>
      </c>
      <c r="U12">
        <v>654327459</v>
      </c>
      <c r="V12" t="s">
        <v>2214</v>
      </c>
      <c r="W12" t="s">
        <v>2215</v>
      </c>
      <c r="Z12" s="105"/>
    </row>
    <row r="13" spans="1:51" x14ac:dyDescent="0.25">
      <c r="A13">
        <v>3</v>
      </c>
      <c r="B13" s="204" t="s">
        <v>207</v>
      </c>
      <c r="C13">
        <v>11483</v>
      </c>
      <c r="D13" s="204" t="s">
        <v>18</v>
      </c>
      <c r="E13" s="204" t="s">
        <v>182</v>
      </c>
      <c r="F13">
        <v>300</v>
      </c>
      <c r="G13" s="105">
        <v>45369</v>
      </c>
      <c r="H13" s="105">
        <v>45369</v>
      </c>
      <c r="I13" s="105">
        <v>45541</v>
      </c>
      <c r="J13" s="204" t="s">
        <v>203</v>
      </c>
      <c r="K13" s="105"/>
      <c r="L13" s="105">
        <v>45669</v>
      </c>
      <c r="M13" t="s">
        <v>208</v>
      </c>
      <c r="N13" s="204" t="s">
        <v>208</v>
      </c>
      <c r="O13" s="204"/>
      <c r="Q13" t="s">
        <v>2190</v>
      </c>
      <c r="R13">
        <v>32997</v>
      </c>
      <c r="S13" s="204" t="s">
        <v>2191</v>
      </c>
      <c r="T13">
        <v>34</v>
      </c>
      <c r="U13">
        <v>663697756</v>
      </c>
      <c r="V13" t="s">
        <v>2216</v>
      </c>
      <c r="W13" t="s">
        <v>2217</v>
      </c>
      <c r="Z13" s="105"/>
    </row>
    <row r="14" spans="1:51" x14ac:dyDescent="0.25">
      <c r="A14">
        <v>5</v>
      </c>
      <c r="B14" s="204" t="s">
        <v>210</v>
      </c>
      <c r="C14">
        <v>11487</v>
      </c>
      <c r="D14" s="204" t="s">
        <v>19</v>
      </c>
      <c r="E14" s="204" t="s">
        <v>182</v>
      </c>
      <c r="F14">
        <v>300</v>
      </c>
      <c r="G14" s="105">
        <v>45376</v>
      </c>
      <c r="H14" s="105">
        <v>45376</v>
      </c>
      <c r="I14" s="105">
        <v>45541</v>
      </c>
      <c r="J14" s="204" t="s">
        <v>203</v>
      </c>
      <c r="K14" s="105"/>
      <c r="L14" s="105">
        <v>45676</v>
      </c>
      <c r="M14" t="s">
        <v>208</v>
      </c>
      <c r="N14" s="204" t="s">
        <v>208</v>
      </c>
      <c r="O14" s="204"/>
      <c r="Q14" t="s">
        <v>2190</v>
      </c>
      <c r="R14">
        <v>33903</v>
      </c>
      <c r="S14" s="204" t="s">
        <v>2191</v>
      </c>
      <c r="T14">
        <v>31</v>
      </c>
      <c r="Z14" s="105"/>
    </row>
    <row r="15" spans="1:51" x14ac:dyDescent="0.25">
      <c r="B15" s="204"/>
      <c r="D15" s="204"/>
      <c r="E15" s="204" t="s">
        <v>2416</v>
      </c>
      <c r="G15" s="105"/>
      <c r="H15" s="105"/>
      <c r="I15" s="105"/>
      <c r="J15" s="204"/>
      <c r="K15" s="105"/>
      <c r="L15" s="105"/>
      <c r="N15" s="204"/>
      <c r="O15" s="204"/>
      <c r="S15" s="204"/>
      <c r="Z15" s="105"/>
    </row>
    <row r="16" spans="1:51" x14ac:dyDescent="0.25">
      <c r="B16" s="204"/>
      <c r="D16" s="204"/>
      <c r="E16" s="204" t="s">
        <v>2415</v>
      </c>
      <c r="G16" s="105"/>
      <c r="H16" s="105"/>
      <c r="I16" s="105"/>
      <c r="J16" s="204"/>
      <c r="K16" s="105"/>
      <c r="L16" s="105"/>
      <c r="N16" s="204"/>
      <c r="O16" s="204"/>
      <c r="S16" s="204"/>
      <c r="Z16" s="105"/>
    </row>
    <row r="17" spans="1:26" x14ac:dyDescent="0.25">
      <c r="B17" s="204"/>
      <c r="D17" s="204"/>
      <c r="E17" s="204" t="s">
        <v>2421</v>
      </c>
      <c r="G17" s="105"/>
      <c r="H17" s="105"/>
      <c r="I17" s="105"/>
      <c r="J17" s="204"/>
      <c r="K17" s="105"/>
      <c r="L17" s="105"/>
      <c r="N17" s="204"/>
      <c r="O17" s="204"/>
      <c r="S17" s="204"/>
      <c r="Z17" s="105"/>
    </row>
    <row r="18" spans="1:26" x14ac:dyDescent="0.25">
      <c r="B18" s="204"/>
      <c r="D18" s="204"/>
      <c r="E18" s="204" t="s">
        <v>2420</v>
      </c>
      <c r="G18" s="105"/>
      <c r="H18" s="105"/>
      <c r="I18" s="105"/>
      <c r="J18" s="204"/>
      <c r="K18" s="105"/>
      <c r="L18" s="105"/>
      <c r="N18" s="204"/>
      <c r="O18" s="204"/>
      <c r="S18" s="204"/>
      <c r="Z18" s="105"/>
    </row>
    <row r="19" spans="1:26" x14ac:dyDescent="0.25">
      <c r="B19" s="204"/>
      <c r="D19" s="204"/>
      <c r="E19" s="204" t="s">
        <v>2418</v>
      </c>
      <c r="G19" s="105"/>
      <c r="H19" s="105"/>
      <c r="I19" s="105"/>
      <c r="J19" s="204"/>
      <c r="K19" s="105"/>
      <c r="L19" s="105"/>
      <c r="N19" s="204"/>
      <c r="O19" s="204"/>
      <c r="S19" s="204"/>
      <c r="Z19" s="105"/>
    </row>
    <row r="20" spans="1:26" x14ac:dyDescent="0.25">
      <c r="B20" s="204"/>
      <c r="D20" s="204"/>
      <c r="E20" s="204" t="s">
        <v>2419</v>
      </c>
      <c r="G20" s="105"/>
      <c r="H20" s="105"/>
      <c r="I20" s="105"/>
      <c r="J20" s="204"/>
      <c r="K20" s="105"/>
      <c r="L20" s="105"/>
      <c r="N20" s="204"/>
      <c r="O20" s="204"/>
      <c r="S20" s="204"/>
      <c r="Z20" s="105"/>
    </row>
    <row r="21" spans="1:26" x14ac:dyDescent="0.25">
      <c r="A21">
        <v>36</v>
      </c>
      <c r="B21" s="204" t="s">
        <v>249</v>
      </c>
      <c r="C21">
        <v>11323</v>
      </c>
      <c r="D21" s="204" t="s">
        <v>250</v>
      </c>
      <c r="E21" s="204" t="s">
        <v>220</v>
      </c>
      <c r="F21">
        <v>300</v>
      </c>
      <c r="G21" s="105">
        <v>44805</v>
      </c>
      <c r="H21" s="105">
        <v>44805</v>
      </c>
      <c r="I21" s="105">
        <v>45058</v>
      </c>
      <c r="J21" s="204" t="s">
        <v>203</v>
      </c>
      <c r="K21" s="105">
        <v>45103</v>
      </c>
      <c r="L21" s="105">
        <v>45105</v>
      </c>
      <c r="N21" s="204"/>
      <c r="O21" s="204"/>
      <c r="Q21" t="s">
        <v>2190</v>
      </c>
      <c r="R21">
        <v>28158</v>
      </c>
      <c r="S21" s="204" t="s">
        <v>2193</v>
      </c>
      <c r="T21">
        <v>47</v>
      </c>
      <c r="Z21" s="105"/>
    </row>
    <row r="22" spans="1:26" x14ac:dyDescent="0.25">
      <c r="A22">
        <v>37</v>
      </c>
      <c r="B22" s="204" t="s">
        <v>251</v>
      </c>
      <c r="C22">
        <v>11350</v>
      </c>
      <c r="D22" s="204" t="s">
        <v>252</v>
      </c>
      <c r="E22" s="204" t="s">
        <v>220</v>
      </c>
      <c r="F22">
        <v>300</v>
      </c>
      <c r="G22" s="105">
        <v>44873</v>
      </c>
      <c r="H22" s="105">
        <v>44873</v>
      </c>
      <c r="I22" s="105">
        <v>45107</v>
      </c>
      <c r="J22" s="204" t="s">
        <v>203</v>
      </c>
      <c r="K22" s="105">
        <v>45152</v>
      </c>
      <c r="L22" s="105">
        <v>45173</v>
      </c>
      <c r="N22" s="204"/>
      <c r="O22" s="204"/>
      <c r="Q22" t="s">
        <v>2190</v>
      </c>
      <c r="R22">
        <v>29879</v>
      </c>
      <c r="S22" s="204" t="s">
        <v>2193</v>
      </c>
      <c r="T22">
        <v>42</v>
      </c>
      <c r="Z22" s="105"/>
    </row>
    <row r="23" spans="1:26" x14ac:dyDescent="0.25">
      <c r="A23">
        <v>15</v>
      </c>
      <c r="B23" s="204" t="s">
        <v>221</v>
      </c>
      <c r="C23">
        <v>11494</v>
      </c>
      <c r="D23" s="204" t="s">
        <v>84</v>
      </c>
      <c r="E23" s="204" t="s">
        <v>220</v>
      </c>
      <c r="F23">
        <v>300</v>
      </c>
      <c r="G23" s="105">
        <v>45104</v>
      </c>
      <c r="H23" s="105">
        <v>45397</v>
      </c>
      <c r="I23" s="105"/>
      <c r="J23" s="204" t="s">
        <v>206</v>
      </c>
      <c r="K23" s="105"/>
      <c r="L23" s="105">
        <v>45697</v>
      </c>
      <c r="M23">
        <v>45224</v>
      </c>
      <c r="N23" s="204" t="s">
        <v>204</v>
      </c>
      <c r="O23" s="204" t="s">
        <v>2268</v>
      </c>
      <c r="Q23" t="s">
        <v>2190</v>
      </c>
      <c r="R23">
        <v>28704</v>
      </c>
      <c r="S23" s="204" t="s">
        <v>2191</v>
      </c>
      <c r="T23">
        <v>46</v>
      </c>
      <c r="U23">
        <v>666674006</v>
      </c>
      <c r="V23" t="s">
        <v>2269</v>
      </c>
      <c r="W23" t="s">
        <v>2270</v>
      </c>
      <c r="X23" t="s">
        <v>2198</v>
      </c>
      <c r="Y23">
        <v>3000</v>
      </c>
      <c r="Z23" s="105"/>
    </row>
    <row r="24" spans="1:26" x14ac:dyDescent="0.25">
      <c r="A24">
        <v>25</v>
      </c>
      <c r="B24" s="204" t="s">
        <v>234</v>
      </c>
      <c r="C24">
        <v>11449</v>
      </c>
      <c r="D24" s="204" t="s">
        <v>58</v>
      </c>
      <c r="E24" s="204" t="s">
        <v>220</v>
      </c>
      <c r="F24">
        <v>300</v>
      </c>
      <c r="G24" s="105">
        <v>45170</v>
      </c>
      <c r="H24" s="105">
        <v>45525</v>
      </c>
      <c r="I24" s="105"/>
      <c r="J24" s="204" t="s">
        <v>206</v>
      </c>
      <c r="K24" s="105"/>
      <c r="L24" s="105">
        <v>45825</v>
      </c>
      <c r="M24">
        <v>45224</v>
      </c>
      <c r="N24" s="204" t="s">
        <v>204</v>
      </c>
      <c r="O24" s="204" t="s">
        <v>2271</v>
      </c>
      <c r="Q24" t="s">
        <v>2190</v>
      </c>
      <c r="R24">
        <v>30876</v>
      </c>
      <c r="S24" s="204" t="s">
        <v>2191</v>
      </c>
      <c r="T24">
        <v>40</v>
      </c>
      <c r="U24">
        <v>631715588</v>
      </c>
      <c r="W24" t="s">
        <v>2272</v>
      </c>
      <c r="X24" t="s">
        <v>2273</v>
      </c>
      <c r="Y24">
        <v>3014</v>
      </c>
      <c r="Z24" s="105"/>
    </row>
    <row r="25" spans="1:26" x14ac:dyDescent="0.25">
      <c r="A25">
        <v>115</v>
      </c>
      <c r="B25" s="204" t="s">
        <v>1057</v>
      </c>
      <c r="C25">
        <v>11536</v>
      </c>
      <c r="D25" s="204" t="s">
        <v>2274</v>
      </c>
      <c r="E25" s="204" t="s">
        <v>220</v>
      </c>
      <c r="F25">
        <v>300</v>
      </c>
      <c r="G25" s="105">
        <v>45551</v>
      </c>
      <c r="H25" s="105">
        <v>45551</v>
      </c>
      <c r="I25" s="105"/>
      <c r="J25" s="204" t="s">
        <v>206</v>
      </c>
      <c r="K25" s="105"/>
      <c r="L25" s="105"/>
      <c r="N25" s="204"/>
      <c r="O25" s="204"/>
      <c r="P25">
        <v>48907</v>
      </c>
      <c r="Q25" t="s">
        <v>2275</v>
      </c>
      <c r="R25">
        <v>33659</v>
      </c>
      <c r="S25" s="204" t="s">
        <v>2193</v>
      </c>
      <c r="T25">
        <v>32</v>
      </c>
      <c r="W25" t="s">
        <v>2276</v>
      </c>
      <c r="X25" t="s">
        <v>2277</v>
      </c>
      <c r="Z25" s="105">
        <v>45612</v>
      </c>
    </row>
    <row r="26" spans="1:26" x14ac:dyDescent="0.25">
      <c r="A26">
        <v>41</v>
      </c>
      <c r="B26" s="204" t="s">
        <v>258</v>
      </c>
      <c r="C26">
        <v>11290</v>
      </c>
      <c r="D26" s="204" t="s">
        <v>3</v>
      </c>
      <c r="E26" s="204" t="s">
        <v>220</v>
      </c>
      <c r="F26">
        <v>100</v>
      </c>
      <c r="G26" s="105">
        <v>44105</v>
      </c>
      <c r="H26" s="105">
        <v>44743</v>
      </c>
      <c r="I26" s="105"/>
      <c r="J26" s="204" t="s">
        <v>206</v>
      </c>
      <c r="K26" s="105"/>
      <c r="L26" s="105">
        <v>45043</v>
      </c>
      <c r="M26" t="s">
        <v>208</v>
      </c>
      <c r="N26" s="204"/>
      <c r="O26" s="204"/>
      <c r="Q26" t="s">
        <v>2278</v>
      </c>
      <c r="R26">
        <v>30900</v>
      </c>
      <c r="S26" s="204" t="s">
        <v>2193</v>
      </c>
      <c r="T26">
        <v>40</v>
      </c>
      <c r="Z26" s="105"/>
    </row>
    <row r="27" spans="1:26" x14ac:dyDescent="0.25">
      <c r="A27">
        <v>30</v>
      </c>
      <c r="B27" s="204" t="s">
        <v>2279</v>
      </c>
      <c r="C27">
        <v>11401</v>
      </c>
      <c r="D27" s="204" t="s">
        <v>108</v>
      </c>
      <c r="E27" s="204" t="s">
        <v>220</v>
      </c>
      <c r="F27">
        <v>300</v>
      </c>
      <c r="G27" s="105">
        <v>45579</v>
      </c>
      <c r="H27" s="105"/>
      <c r="I27" s="105"/>
      <c r="J27" s="204" t="s">
        <v>206</v>
      </c>
      <c r="K27" s="105"/>
      <c r="L27" s="105">
        <v>300</v>
      </c>
      <c r="M27">
        <v>45224</v>
      </c>
      <c r="N27" s="204" t="s">
        <v>208</v>
      </c>
      <c r="O27" s="204" t="s">
        <v>243</v>
      </c>
      <c r="P27" t="s">
        <v>2280</v>
      </c>
      <c r="Q27">
        <v>30</v>
      </c>
      <c r="R27">
        <v>11401</v>
      </c>
      <c r="S27" s="204" t="s">
        <v>108</v>
      </c>
      <c r="T27" t="s">
        <v>220</v>
      </c>
      <c r="U27">
        <v>300</v>
      </c>
      <c r="V27">
        <v>45104</v>
      </c>
      <c r="W27">
        <v>45461</v>
      </c>
      <c r="X27">
        <v>45545</v>
      </c>
      <c r="Z27" s="105"/>
    </row>
    <row r="28" spans="1:26" x14ac:dyDescent="0.25">
      <c r="A28">
        <v>16</v>
      </c>
      <c r="B28" s="204" t="s">
        <v>222</v>
      </c>
      <c r="C28">
        <v>11499</v>
      </c>
      <c r="D28" s="204" t="s">
        <v>89</v>
      </c>
      <c r="E28" s="204" t="s">
        <v>220</v>
      </c>
      <c r="F28">
        <v>300</v>
      </c>
      <c r="G28" s="105">
        <v>45091</v>
      </c>
      <c r="H28" s="105">
        <v>45397</v>
      </c>
      <c r="I28" s="105"/>
      <c r="J28" s="204" t="s">
        <v>206</v>
      </c>
      <c r="K28" s="105"/>
      <c r="L28" s="105">
        <v>45697</v>
      </c>
      <c r="M28">
        <v>45224</v>
      </c>
      <c r="N28" s="204" t="s">
        <v>204</v>
      </c>
      <c r="O28" s="204" t="s">
        <v>2281</v>
      </c>
      <c r="Q28" t="s">
        <v>2190</v>
      </c>
      <c r="R28">
        <v>31966</v>
      </c>
      <c r="S28" s="204" t="s">
        <v>2191</v>
      </c>
      <c r="T28">
        <v>37</v>
      </c>
      <c r="U28">
        <v>631810246</v>
      </c>
      <c r="V28" t="s">
        <v>2282</v>
      </c>
      <c r="W28" t="s">
        <v>2283</v>
      </c>
      <c r="X28" t="s">
        <v>2273</v>
      </c>
      <c r="Y28">
        <v>3014</v>
      </c>
      <c r="Z28" s="105"/>
    </row>
    <row r="29" spans="1:26" x14ac:dyDescent="0.25">
      <c r="A29">
        <v>28</v>
      </c>
      <c r="B29" s="204" t="s">
        <v>239</v>
      </c>
      <c r="C29">
        <v>11426</v>
      </c>
      <c r="D29" s="204" t="s">
        <v>240</v>
      </c>
      <c r="E29" s="204" t="s">
        <v>220</v>
      </c>
      <c r="F29">
        <v>300</v>
      </c>
      <c r="G29" s="105">
        <v>45159</v>
      </c>
      <c r="H29" s="105">
        <v>45159</v>
      </c>
      <c r="I29" s="105">
        <v>45253</v>
      </c>
      <c r="J29" s="204" t="s">
        <v>203</v>
      </c>
      <c r="K29" s="105">
        <v>45298</v>
      </c>
      <c r="L29" s="105">
        <v>45459</v>
      </c>
      <c r="M29">
        <v>45224</v>
      </c>
      <c r="N29" s="204"/>
      <c r="O29" s="204"/>
      <c r="Q29" t="s">
        <v>2190</v>
      </c>
      <c r="R29">
        <v>35494</v>
      </c>
      <c r="S29" s="204" t="s">
        <v>2191</v>
      </c>
      <c r="T29">
        <v>27</v>
      </c>
      <c r="Z29" s="105"/>
    </row>
    <row r="30" spans="1:26" x14ac:dyDescent="0.25">
      <c r="A30">
        <v>26</v>
      </c>
      <c r="B30" s="204" t="s">
        <v>235</v>
      </c>
      <c r="C30">
        <v>11427</v>
      </c>
      <c r="D30" s="204" t="s">
        <v>236</v>
      </c>
      <c r="E30" s="204" t="s">
        <v>220</v>
      </c>
      <c r="F30">
        <v>300</v>
      </c>
      <c r="G30" s="105">
        <v>45159</v>
      </c>
      <c r="H30" s="105">
        <v>45159</v>
      </c>
      <c r="I30" s="105">
        <v>45247</v>
      </c>
      <c r="J30" s="204" t="s">
        <v>203</v>
      </c>
      <c r="K30" s="105">
        <v>45292</v>
      </c>
      <c r="L30" s="105">
        <v>45459</v>
      </c>
      <c r="M30" t="s">
        <v>204</v>
      </c>
      <c r="N30" s="204"/>
      <c r="O30" s="204"/>
      <c r="Q30" t="s">
        <v>2190</v>
      </c>
      <c r="R30">
        <v>36212</v>
      </c>
      <c r="S30" s="204" t="s">
        <v>2191</v>
      </c>
      <c r="T30">
        <v>25</v>
      </c>
      <c r="Z30" s="105"/>
    </row>
    <row r="31" spans="1:26" x14ac:dyDescent="0.25">
      <c r="A31">
        <v>38</v>
      </c>
      <c r="B31" s="204" t="s">
        <v>391</v>
      </c>
      <c r="C31">
        <v>11342</v>
      </c>
      <c r="D31" s="204" t="s">
        <v>253</v>
      </c>
      <c r="E31" s="204" t="s">
        <v>220</v>
      </c>
      <c r="F31">
        <v>300</v>
      </c>
      <c r="G31" s="105">
        <v>44847</v>
      </c>
      <c r="H31" s="105">
        <v>44847</v>
      </c>
      <c r="I31" s="105">
        <v>45058</v>
      </c>
      <c r="J31" s="204" t="s">
        <v>203</v>
      </c>
      <c r="K31" s="105">
        <v>45103</v>
      </c>
      <c r="L31" s="105">
        <v>45147</v>
      </c>
      <c r="N31" s="204"/>
      <c r="O31" s="204"/>
      <c r="Q31" t="s">
        <v>2190</v>
      </c>
      <c r="R31" t="s">
        <v>2284</v>
      </c>
      <c r="S31" s="204" t="s">
        <v>2193</v>
      </c>
      <c r="T31">
        <v>0</v>
      </c>
      <c r="Z31" s="105"/>
    </row>
    <row r="32" spans="1:26" x14ac:dyDescent="0.25">
      <c r="A32">
        <v>42</v>
      </c>
      <c r="B32" s="204" t="s">
        <v>259</v>
      </c>
      <c r="C32">
        <v>11363</v>
      </c>
      <c r="D32" s="204" t="s">
        <v>5</v>
      </c>
      <c r="E32" s="204" t="s">
        <v>220</v>
      </c>
      <c r="F32">
        <v>100</v>
      </c>
      <c r="G32" s="105">
        <v>44655</v>
      </c>
      <c r="H32" s="105">
        <v>45006</v>
      </c>
      <c r="I32" s="105"/>
      <c r="J32" s="204" t="s">
        <v>206</v>
      </c>
      <c r="K32" s="105"/>
      <c r="L32" s="105">
        <v>45306</v>
      </c>
      <c r="M32">
        <v>45224</v>
      </c>
      <c r="N32" s="204" t="s">
        <v>204</v>
      </c>
      <c r="O32" s="204" t="s">
        <v>2285</v>
      </c>
      <c r="Q32" t="s">
        <v>2250</v>
      </c>
      <c r="R32">
        <v>30575</v>
      </c>
      <c r="S32" s="204" t="s">
        <v>2193</v>
      </c>
      <c r="T32">
        <v>41</v>
      </c>
      <c r="U32">
        <v>676551213</v>
      </c>
      <c r="V32" t="s">
        <v>2286</v>
      </c>
      <c r="W32" t="s">
        <v>2287</v>
      </c>
      <c r="X32" t="s">
        <v>2288</v>
      </c>
      <c r="Y32">
        <v>3110</v>
      </c>
      <c r="Z32" s="105"/>
    </row>
    <row r="33" spans="1:26" x14ac:dyDescent="0.25">
      <c r="A33">
        <v>43</v>
      </c>
      <c r="B33" s="204" t="s">
        <v>260</v>
      </c>
      <c r="C33">
        <v>11291</v>
      </c>
      <c r="D33" s="204" t="s">
        <v>6</v>
      </c>
      <c r="E33" s="204" t="s">
        <v>220</v>
      </c>
      <c r="F33">
        <v>100</v>
      </c>
      <c r="G33" s="105">
        <v>44105</v>
      </c>
      <c r="H33" s="105">
        <v>44760</v>
      </c>
      <c r="I33" s="105"/>
      <c r="J33" s="204" t="s">
        <v>206</v>
      </c>
      <c r="K33" s="105"/>
      <c r="L33" s="105">
        <v>45060</v>
      </c>
      <c r="M33">
        <v>45224</v>
      </c>
      <c r="N33" s="204" t="s">
        <v>204</v>
      </c>
      <c r="O33" s="204" t="s">
        <v>2289</v>
      </c>
      <c r="Q33" t="s">
        <v>2190</v>
      </c>
      <c r="R33">
        <v>26944</v>
      </c>
      <c r="S33" s="204" t="s">
        <v>2193</v>
      </c>
      <c r="T33">
        <v>51</v>
      </c>
      <c r="U33">
        <v>602112583</v>
      </c>
      <c r="W33" t="s">
        <v>2290</v>
      </c>
      <c r="X33" t="s">
        <v>2198</v>
      </c>
      <c r="Y33">
        <v>3000</v>
      </c>
      <c r="Z33" s="105"/>
    </row>
    <row r="34" spans="1:26" x14ac:dyDescent="0.25">
      <c r="A34">
        <v>17</v>
      </c>
      <c r="B34" s="204" t="s">
        <v>223</v>
      </c>
      <c r="C34">
        <v>11502</v>
      </c>
      <c r="D34" s="204" t="s">
        <v>91</v>
      </c>
      <c r="E34" s="204" t="s">
        <v>220</v>
      </c>
      <c r="F34">
        <v>300</v>
      </c>
      <c r="G34" s="105">
        <v>45076</v>
      </c>
      <c r="H34" s="105">
        <v>45397</v>
      </c>
      <c r="I34" s="105"/>
      <c r="J34" s="204" t="s">
        <v>206</v>
      </c>
      <c r="K34" s="105"/>
      <c r="L34" s="105">
        <v>45697</v>
      </c>
      <c r="M34">
        <v>45224</v>
      </c>
      <c r="N34" s="204" t="s">
        <v>204</v>
      </c>
      <c r="O34" s="204" t="s">
        <v>2291</v>
      </c>
      <c r="Q34" t="s">
        <v>2190</v>
      </c>
      <c r="R34">
        <v>29368</v>
      </c>
      <c r="S34" s="204" t="s">
        <v>2191</v>
      </c>
      <c r="T34">
        <v>44</v>
      </c>
      <c r="U34">
        <v>664462492</v>
      </c>
      <c r="V34" t="s">
        <v>2292</v>
      </c>
      <c r="W34" t="s">
        <v>2293</v>
      </c>
      <c r="X34" t="s">
        <v>2198</v>
      </c>
      <c r="Y34">
        <v>3205</v>
      </c>
      <c r="Z34" s="105"/>
    </row>
    <row r="35" spans="1:26" x14ac:dyDescent="0.25">
      <c r="A35">
        <v>39</v>
      </c>
      <c r="B35" s="204" t="s">
        <v>254</v>
      </c>
      <c r="C35">
        <v>11344</v>
      </c>
      <c r="D35" s="204" t="s">
        <v>255</v>
      </c>
      <c r="E35" s="204" t="s">
        <v>220</v>
      </c>
      <c r="F35">
        <v>300</v>
      </c>
      <c r="G35" s="105">
        <v>44854</v>
      </c>
      <c r="H35" s="105">
        <v>44854</v>
      </c>
      <c r="I35" s="105">
        <v>45058</v>
      </c>
      <c r="J35" s="204" t="s">
        <v>203</v>
      </c>
      <c r="K35" s="105">
        <v>45103</v>
      </c>
      <c r="L35" s="105">
        <v>45154</v>
      </c>
      <c r="N35" s="204"/>
      <c r="O35" s="204"/>
      <c r="Q35" t="s">
        <v>2190</v>
      </c>
      <c r="R35">
        <v>30717</v>
      </c>
      <c r="S35" s="204" t="s">
        <v>2193</v>
      </c>
      <c r="T35">
        <v>40</v>
      </c>
      <c r="Z35" s="105"/>
    </row>
    <row r="36" spans="1:26" x14ac:dyDescent="0.25">
      <c r="A36">
        <v>32</v>
      </c>
      <c r="B36" s="204" t="s">
        <v>245</v>
      </c>
      <c r="C36">
        <v>11408</v>
      </c>
      <c r="D36" s="204" t="s">
        <v>64</v>
      </c>
      <c r="E36" s="204" t="s">
        <v>220</v>
      </c>
      <c r="F36">
        <v>300</v>
      </c>
      <c r="G36" s="105">
        <v>45139</v>
      </c>
      <c r="H36" s="105">
        <v>45474</v>
      </c>
      <c r="I36" s="105"/>
      <c r="J36" s="204" t="s">
        <v>206</v>
      </c>
      <c r="K36" s="105"/>
      <c r="L36" s="105">
        <v>45774</v>
      </c>
      <c r="M36">
        <v>45224</v>
      </c>
      <c r="N36" s="204" t="s">
        <v>204</v>
      </c>
      <c r="O36" s="204" t="s">
        <v>2294</v>
      </c>
      <c r="Q36" t="s">
        <v>2190</v>
      </c>
      <c r="R36">
        <v>28032</v>
      </c>
      <c r="S36" s="204" t="s">
        <v>2191</v>
      </c>
      <c r="T36">
        <v>48</v>
      </c>
      <c r="U36">
        <v>664736353</v>
      </c>
      <c r="V36" t="s">
        <v>2295</v>
      </c>
      <c r="W36" t="s">
        <v>2296</v>
      </c>
      <c r="X36" t="s">
        <v>2198</v>
      </c>
      <c r="Y36">
        <v>3205</v>
      </c>
      <c r="Z36" s="105"/>
    </row>
    <row r="37" spans="1:26" x14ac:dyDescent="0.25">
      <c r="A37">
        <v>33</v>
      </c>
      <c r="B37" s="204" t="s">
        <v>246</v>
      </c>
      <c r="C37">
        <v>11428</v>
      </c>
      <c r="D37" s="204" t="s">
        <v>170</v>
      </c>
      <c r="E37" s="204" t="s">
        <v>220</v>
      </c>
      <c r="F37">
        <v>300</v>
      </c>
      <c r="G37" s="105">
        <v>45159</v>
      </c>
      <c r="H37" s="105">
        <v>45474</v>
      </c>
      <c r="I37" s="105"/>
      <c r="J37" s="204" t="s">
        <v>206</v>
      </c>
      <c r="K37" s="105"/>
      <c r="L37" s="105">
        <v>45774</v>
      </c>
      <c r="M37">
        <v>45224</v>
      </c>
      <c r="N37" s="204" t="s">
        <v>204</v>
      </c>
      <c r="O37" s="204" t="s">
        <v>2297</v>
      </c>
      <c r="P37">
        <v>47211</v>
      </c>
      <c r="Q37" t="s">
        <v>2190</v>
      </c>
      <c r="R37">
        <v>34344</v>
      </c>
      <c r="S37" s="204" t="s">
        <v>2191</v>
      </c>
      <c r="T37">
        <v>30</v>
      </c>
      <c r="U37">
        <v>610945855</v>
      </c>
      <c r="V37" t="s">
        <v>2298</v>
      </c>
      <c r="W37" t="s">
        <v>2299</v>
      </c>
      <c r="X37" t="s">
        <v>2213</v>
      </c>
      <c r="Y37">
        <v>3014</v>
      </c>
      <c r="Z37" s="105"/>
    </row>
    <row r="38" spans="1:26" x14ac:dyDescent="0.25">
      <c r="A38">
        <v>46</v>
      </c>
      <c r="B38" s="204" t="s">
        <v>264</v>
      </c>
      <c r="C38">
        <v>11478</v>
      </c>
      <c r="D38" s="204" t="s">
        <v>2300</v>
      </c>
      <c r="E38" s="204" t="s">
        <v>220</v>
      </c>
      <c r="F38">
        <v>300</v>
      </c>
      <c r="G38" s="105">
        <v>45363</v>
      </c>
      <c r="H38" s="105">
        <v>45518</v>
      </c>
      <c r="I38" s="105"/>
      <c r="J38" s="204" t="s">
        <v>206</v>
      </c>
      <c r="K38" s="105"/>
      <c r="L38" s="105">
        <v>45818</v>
      </c>
      <c r="M38" t="s">
        <v>208</v>
      </c>
      <c r="N38" s="204" t="s">
        <v>208</v>
      </c>
      <c r="O38" s="204" t="s">
        <v>2301</v>
      </c>
      <c r="P38">
        <v>45808</v>
      </c>
      <c r="Q38" t="s">
        <v>2190</v>
      </c>
      <c r="R38">
        <v>32462</v>
      </c>
      <c r="S38" s="204" t="s">
        <v>2191</v>
      </c>
      <c r="T38">
        <v>35</v>
      </c>
      <c r="W38" t="s">
        <v>2302</v>
      </c>
      <c r="X38" t="s">
        <v>2273</v>
      </c>
      <c r="Y38">
        <v>3000</v>
      </c>
      <c r="Z38" s="105"/>
    </row>
    <row r="39" spans="1:26" x14ac:dyDescent="0.25">
      <c r="A39">
        <v>113</v>
      </c>
      <c r="B39" s="204" t="s">
        <v>265</v>
      </c>
      <c r="C39">
        <v>11534</v>
      </c>
      <c r="D39" s="204" t="s">
        <v>266</v>
      </c>
      <c r="E39" s="204" t="s">
        <v>220</v>
      </c>
      <c r="F39">
        <v>300</v>
      </c>
      <c r="G39" s="105">
        <v>45544</v>
      </c>
      <c r="H39" s="105">
        <v>45544</v>
      </c>
      <c r="I39" s="105"/>
      <c r="J39" s="204" t="s">
        <v>206</v>
      </c>
      <c r="K39" s="105"/>
      <c r="L39" s="105"/>
      <c r="N39" s="204" t="s">
        <v>204</v>
      </c>
      <c r="O39" s="204" t="s">
        <v>2303</v>
      </c>
      <c r="P39">
        <v>46697</v>
      </c>
      <c r="Q39" t="s">
        <v>2190</v>
      </c>
      <c r="R39">
        <v>31185</v>
      </c>
      <c r="S39" s="204" t="s">
        <v>2191</v>
      </c>
      <c r="T39">
        <v>39</v>
      </c>
      <c r="U39">
        <v>622394736</v>
      </c>
      <c r="W39" t="s">
        <v>2304</v>
      </c>
      <c r="Z39" s="105">
        <v>45605</v>
      </c>
    </row>
    <row r="40" spans="1:26" x14ac:dyDescent="0.25">
      <c r="A40">
        <v>29</v>
      </c>
      <c r="B40" s="204" t="s">
        <v>241</v>
      </c>
      <c r="C40">
        <v>11429</v>
      </c>
      <c r="D40" s="204" t="s">
        <v>242</v>
      </c>
      <c r="E40" s="204" t="s">
        <v>220</v>
      </c>
      <c r="F40">
        <v>300</v>
      </c>
      <c r="G40" s="105">
        <v>45159</v>
      </c>
      <c r="H40" s="105">
        <v>45159</v>
      </c>
      <c r="I40" s="105">
        <v>45254</v>
      </c>
      <c r="J40" s="204" t="s">
        <v>203</v>
      </c>
      <c r="K40" s="105">
        <v>45299</v>
      </c>
      <c r="L40" s="105">
        <v>45459</v>
      </c>
      <c r="M40">
        <v>45224</v>
      </c>
      <c r="N40" s="204" t="s">
        <v>208</v>
      </c>
      <c r="O40" s="204"/>
      <c r="Q40" t="s">
        <v>2190</v>
      </c>
      <c r="R40">
        <v>28673</v>
      </c>
      <c r="S40" s="204" t="s">
        <v>2191</v>
      </c>
      <c r="T40">
        <v>46</v>
      </c>
      <c r="Z40" s="105"/>
    </row>
    <row r="41" spans="1:26" x14ac:dyDescent="0.25">
      <c r="A41">
        <v>45</v>
      </c>
      <c r="B41" s="204" t="s">
        <v>262</v>
      </c>
      <c r="C41">
        <v>11514</v>
      </c>
      <c r="D41" s="204" t="s">
        <v>263</v>
      </c>
      <c r="E41" s="204" t="s">
        <v>220</v>
      </c>
      <c r="F41">
        <v>300</v>
      </c>
      <c r="G41" s="105">
        <v>45461</v>
      </c>
      <c r="H41" s="105">
        <v>45461</v>
      </c>
      <c r="I41" s="105"/>
      <c r="J41" s="204" t="s">
        <v>206</v>
      </c>
      <c r="K41" s="105"/>
      <c r="L41" s="105">
        <v>45761</v>
      </c>
      <c r="M41">
        <v>45224</v>
      </c>
      <c r="N41" s="204" t="s">
        <v>208</v>
      </c>
      <c r="O41" s="204" t="s">
        <v>2305</v>
      </c>
      <c r="Q41" t="s">
        <v>2190</v>
      </c>
      <c r="R41">
        <v>34375</v>
      </c>
      <c r="S41" s="204" t="s">
        <v>2191</v>
      </c>
      <c r="T41">
        <v>30</v>
      </c>
      <c r="U41">
        <v>603612678</v>
      </c>
      <c r="W41" t="s">
        <v>2306</v>
      </c>
      <c r="X41" t="s">
        <v>2288</v>
      </c>
      <c r="Y41">
        <v>3014</v>
      </c>
      <c r="Z41" s="105"/>
    </row>
    <row r="42" spans="1:26" x14ac:dyDescent="0.25">
      <c r="A42">
        <v>18</v>
      </c>
      <c r="B42" s="204" t="s">
        <v>224</v>
      </c>
      <c r="C42">
        <v>11500</v>
      </c>
      <c r="D42" s="204" t="s">
        <v>90</v>
      </c>
      <c r="E42" s="204" t="s">
        <v>220</v>
      </c>
      <c r="F42">
        <v>300</v>
      </c>
      <c r="G42" s="105">
        <v>45104</v>
      </c>
      <c r="H42" s="105">
        <v>45397</v>
      </c>
      <c r="I42" s="105"/>
      <c r="J42" s="204" t="s">
        <v>206</v>
      </c>
      <c r="K42" s="105"/>
      <c r="L42" s="105">
        <v>45697</v>
      </c>
      <c r="M42">
        <v>45224</v>
      </c>
      <c r="N42" s="204" t="s">
        <v>204</v>
      </c>
      <c r="O42" s="204" t="s">
        <v>2307</v>
      </c>
      <c r="Q42" t="s">
        <v>2190</v>
      </c>
      <c r="R42">
        <v>29080</v>
      </c>
      <c r="S42" s="204" t="s">
        <v>2191</v>
      </c>
      <c r="T42">
        <v>45</v>
      </c>
      <c r="U42">
        <v>642540412</v>
      </c>
      <c r="V42" t="s">
        <v>2308</v>
      </c>
      <c r="W42" t="s">
        <v>2309</v>
      </c>
      <c r="Z42" s="105"/>
    </row>
    <row r="43" spans="1:26" x14ac:dyDescent="0.25">
      <c r="A43">
        <v>31</v>
      </c>
      <c r="B43" s="204" t="s">
        <v>244</v>
      </c>
      <c r="C43">
        <v>11501</v>
      </c>
      <c r="D43" s="204" t="s">
        <v>85</v>
      </c>
      <c r="E43" s="204" t="s">
        <v>220</v>
      </c>
      <c r="F43">
        <v>300</v>
      </c>
      <c r="G43" s="105">
        <v>45071</v>
      </c>
      <c r="H43" s="105">
        <v>45397</v>
      </c>
      <c r="I43" s="105"/>
      <c r="J43" s="204" t="s">
        <v>206</v>
      </c>
      <c r="K43" s="105"/>
      <c r="L43" s="105">
        <v>45697</v>
      </c>
      <c r="M43">
        <v>45224</v>
      </c>
      <c r="N43" s="204" t="s">
        <v>204</v>
      </c>
      <c r="O43" s="204" t="s">
        <v>2310</v>
      </c>
      <c r="Q43" t="s">
        <v>2190</v>
      </c>
      <c r="R43">
        <v>26538</v>
      </c>
      <c r="S43" s="204" t="s">
        <v>2191</v>
      </c>
      <c r="T43">
        <v>52</v>
      </c>
      <c r="U43">
        <v>615520135</v>
      </c>
      <c r="V43" t="s">
        <v>2311</v>
      </c>
      <c r="W43" t="s">
        <v>2312</v>
      </c>
      <c r="X43" t="s">
        <v>2313</v>
      </c>
      <c r="Y43">
        <v>30003</v>
      </c>
      <c r="Z43" s="105"/>
    </row>
    <row r="44" spans="1:26" x14ac:dyDescent="0.25">
      <c r="A44">
        <v>19</v>
      </c>
      <c r="B44" s="204" t="s">
        <v>225</v>
      </c>
      <c r="C44">
        <v>11495</v>
      </c>
      <c r="D44" s="204" t="s">
        <v>92</v>
      </c>
      <c r="E44" s="204" t="s">
        <v>220</v>
      </c>
      <c r="F44">
        <v>300</v>
      </c>
      <c r="G44" s="105">
        <v>45076</v>
      </c>
      <c r="H44" s="105">
        <v>45397</v>
      </c>
      <c r="I44" s="105"/>
      <c r="J44" s="204" t="s">
        <v>206</v>
      </c>
      <c r="K44" s="105"/>
      <c r="L44" s="105">
        <v>45697</v>
      </c>
      <c r="M44">
        <v>45224</v>
      </c>
      <c r="N44" s="204" t="s">
        <v>204</v>
      </c>
      <c r="O44" s="204" t="s">
        <v>2314</v>
      </c>
      <c r="Q44" t="s">
        <v>2190</v>
      </c>
      <c r="R44">
        <v>29801</v>
      </c>
      <c r="S44" s="204" t="s">
        <v>2191</v>
      </c>
      <c r="T44">
        <v>43</v>
      </c>
      <c r="U44">
        <v>688794270</v>
      </c>
      <c r="V44" t="s">
        <v>2315</v>
      </c>
      <c r="W44" t="s">
        <v>2316</v>
      </c>
      <c r="X44" t="s">
        <v>2198</v>
      </c>
      <c r="Y44">
        <v>3206</v>
      </c>
      <c r="Z44" s="105"/>
    </row>
    <row r="45" spans="1:26" x14ac:dyDescent="0.25">
      <c r="A45">
        <v>20</v>
      </c>
      <c r="B45" s="204" t="s">
        <v>226</v>
      </c>
      <c r="C45">
        <v>11496</v>
      </c>
      <c r="D45" s="204" t="s">
        <v>86</v>
      </c>
      <c r="E45" s="204" t="s">
        <v>220</v>
      </c>
      <c r="F45">
        <v>300</v>
      </c>
      <c r="G45" s="105">
        <v>45071</v>
      </c>
      <c r="H45" s="105">
        <v>45397</v>
      </c>
      <c r="I45" s="105"/>
      <c r="J45" s="204" t="s">
        <v>206</v>
      </c>
      <c r="K45" s="105"/>
      <c r="L45" s="105">
        <v>45697</v>
      </c>
      <c r="M45">
        <v>45224</v>
      </c>
      <c r="N45" s="204" t="s">
        <v>204</v>
      </c>
      <c r="O45" s="204" t="s">
        <v>2317</v>
      </c>
      <c r="Q45" t="s">
        <v>2190</v>
      </c>
      <c r="R45">
        <v>29458</v>
      </c>
      <c r="S45" s="204" t="s">
        <v>2191</v>
      </c>
      <c r="T45">
        <v>44</v>
      </c>
      <c r="U45">
        <v>615399254</v>
      </c>
      <c r="V45" t="s">
        <v>2318</v>
      </c>
      <c r="W45" t="s">
        <v>2319</v>
      </c>
      <c r="X45" t="s">
        <v>2213</v>
      </c>
      <c r="Y45">
        <v>3014</v>
      </c>
      <c r="Z45" s="105"/>
    </row>
    <row r="46" spans="1:26" x14ac:dyDescent="0.25">
      <c r="A46">
        <v>21</v>
      </c>
      <c r="B46" s="204" t="s">
        <v>227</v>
      </c>
      <c r="C46">
        <v>11493</v>
      </c>
      <c r="D46" s="204" t="s">
        <v>83</v>
      </c>
      <c r="E46" s="204" t="s">
        <v>220</v>
      </c>
      <c r="F46">
        <v>300</v>
      </c>
      <c r="G46" s="105">
        <v>45092</v>
      </c>
      <c r="H46" s="105">
        <v>45397</v>
      </c>
      <c r="I46" s="105"/>
      <c r="J46" s="204" t="s">
        <v>206</v>
      </c>
      <c r="K46" s="105"/>
      <c r="L46" s="105">
        <v>45697</v>
      </c>
      <c r="M46">
        <v>45224</v>
      </c>
      <c r="N46" s="204" t="s">
        <v>204</v>
      </c>
      <c r="O46" s="204" t="s">
        <v>2320</v>
      </c>
      <c r="Q46" t="s">
        <v>2190</v>
      </c>
      <c r="R46">
        <v>31452</v>
      </c>
      <c r="S46" s="204" t="s">
        <v>2191</v>
      </c>
      <c r="T46">
        <v>38</v>
      </c>
      <c r="U46">
        <v>674445220</v>
      </c>
      <c r="V46" t="s">
        <v>2321</v>
      </c>
      <c r="W46" t="s">
        <v>2322</v>
      </c>
      <c r="X46" t="s">
        <v>2213</v>
      </c>
      <c r="Y46">
        <v>3112</v>
      </c>
      <c r="Z46" s="105"/>
    </row>
    <row r="47" spans="1:26" x14ac:dyDescent="0.25">
      <c r="A47">
        <v>34</v>
      </c>
      <c r="B47" s="204" t="s">
        <v>247</v>
      </c>
      <c r="C47">
        <v>11406</v>
      </c>
      <c r="D47" s="204" t="s">
        <v>172</v>
      </c>
      <c r="E47" s="204" t="s">
        <v>220</v>
      </c>
      <c r="F47">
        <v>300</v>
      </c>
      <c r="G47" s="105">
        <v>45139</v>
      </c>
      <c r="H47" s="105">
        <v>45474</v>
      </c>
      <c r="I47" s="105"/>
      <c r="J47" s="204" t="s">
        <v>206</v>
      </c>
      <c r="K47" s="105"/>
      <c r="L47" s="105">
        <v>45774</v>
      </c>
      <c r="M47">
        <v>45224</v>
      </c>
      <c r="N47" s="204" t="s">
        <v>204</v>
      </c>
      <c r="O47" s="204" t="s">
        <v>2323</v>
      </c>
      <c r="Q47" t="s">
        <v>2190</v>
      </c>
      <c r="R47">
        <v>31323</v>
      </c>
      <c r="S47" s="204" t="s">
        <v>2191</v>
      </c>
      <c r="T47">
        <v>39</v>
      </c>
      <c r="U47">
        <v>622584557</v>
      </c>
      <c r="V47" t="s">
        <v>2324</v>
      </c>
      <c r="W47" t="s">
        <v>2325</v>
      </c>
      <c r="X47" t="s">
        <v>2326</v>
      </c>
      <c r="Y47">
        <v>3690</v>
      </c>
      <c r="Z47" s="105"/>
    </row>
    <row r="48" spans="1:26" x14ac:dyDescent="0.25">
      <c r="A48">
        <v>22</v>
      </c>
      <c r="B48" s="204" t="s">
        <v>228</v>
      </c>
      <c r="C48">
        <v>11497</v>
      </c>
      <c r="D48" s="204" t="s">
        <v>87</v>
      </c>
      <c r="E48" s="204" t="s">
        <v>220</v>
      </c>
      <c r="F48">
        <v>300</v>
      </c>
      <c r="G48" s="105">
        <v>45091</v>
      </c>
      <c r="H48" s="105">
        <v>45397</v>
      </c>
      <c r="I48" s="105"/>
      <c r="J48" s="204" t="s">
        <v>206</v>
      </c>
      <c r="K48" s="105"/>
      <c r="L48" s="105">
        <v>45697</v>
      </c>
      <c r="M48">
        <v>45224</v>
      </c>
      <c r="N48" s="204" t="s">
        <v>204</v>
      </c>
      <c r="O48" s="204" t="s">
        <v>2327</v>
      </c>
      <c r="Q48" t="s">
        <v>2190</v>
      </c>
      <c r="R48">
        <v>34602</v>
      </c>
      <c r="S48" s="204" t="s">
        <v>2191</v>
      </c>
      <c r="T48">
        <v>30</v>
      </c>
      <c r="U48">
        <v>698507329</v>
      </c>
      <c r="V48" t="s">
        <v>2328</v>
      </c>
      <c r="W48" t="s">
        <v>2329</v>
      </c>
      <c r="X48" t="s">
        <v>2273</v>
      </c>
      <c r="Y48">
        <v>3340</v>
      </c>
      <c r="Z48" s="105"/>
    </row>
    <row r="49" spans="1:26" x14ac:dyDescent="0.25">
      <c r="A49">
        <v>14</v>
      </c>
      <c r="B49" s="204" t="s">
        <v>704</v>
      </c>
      <c r="C49">
        <v>11531</v>
      </c>
      <c r="D49" s="204" t="s">
        <v>122</v>
      </c>
      <c r="E49" s="204" t="s">
        <v>220</v>
      </c>
      <c r="F49">
        <v>300</v>
      </c>
      <c r="G49" s="105">
        <v>45496</v>
      </c>
      <c r="H49" s="105">
        <v>45496</v>
      </c>
      <c r="I49" s="105"/>
      <c r="J49" s="204" t="s">
        <v>206</v>
      </c>
      <c r="K49" s="105"/>
      <c r="L49" s="105">
        <v>45796</v>
      </c>
      <c r="M49" t="s">
        <v>208</v>
      </c>
      <c r="N49" s="204"/>
      <c r="O49" s="204" t="s">
        <v>2330</v>
      </c>
      <c r="P49">
        <v>46807</v>
      </c>
      <c r="Q49" t="s">
        <v>2190</v>
      </c>
      <c r="R49">
        <v>34940</v>
      </c>
      <c r="S49" s="204" t="s">
        <v>2191</v>
      </c>
      <c r="T49">
        <v>29</v>
      </c>
      <c r="U49">
        <v>695488858</v>
      </c>
      <c r="W49" t="s">
        <v>2331</v>
      </c>
      <c r="X49" t="s">
        <v>2332</v>
      </c>
      <c r="Z49" s="105"/>
    </row>
    <row r="50" spans="1:26" x14ac:dyDescent="0.25">
      <c r="A50">
        <v>24</v>
      </c>
      <c r="B50" s="204" t="s">
        <v>231</v>
      </c>
      <c r="C50">
        <v>11469</v>
      </c>
      <c r="D50" s="204" t="s">
        <v>232</v>
      </c>
      <c r="E50" s="204" t="s">
        <v>220</v>
      </c>
      <c r="F50">
        <v>300</v>
      </c>
      <c r="G50" s="105">
        <v>45323</v>
      </c>
      <c r="H50" s="105">
        <v>45323</v>
      </c>
      <c r="I50" s="105"/>
      <c r="J50" s="204" t="s">
        <v>206</v>
      </c>
      <c r="K50" s="105"/>
      <c r="L50" s="105">
        <v>45623</v>
      </c>
      <c r="M50" t="s">
        <v>208</v>
      </c>
      <c r="N50" s="204" t="s">
        <v>233</v>
      </c>
      <c r="O50" s="204" t="s">
        <v>2333</v>
      </c>
      <c r="Q50" t="s">
        <v>2250</v>
      </c>
      <c r="R50">
        <v>28189</v>
      </c>
      <c r="S50" s="204" t="s">
        <v>2193</v>
      </c>
      <c r="T50">
        <v>47</v>
      </c>
      <c r="U50">
        <v>663912772</v>
      </c>
      <c r="V50" t="s">
        <v>2334</v>
      </c>
      <c r="W50" t="s">
        <v>2335</v>
      </c>
      <c r="X50" t="s">
        <v>2326</v>
      </c>
      <c r="Y50">
        <v>3102</v>
      </c>
      <c r="Z50" s="105">
        <v>45587</v>
      </c>
    </row>
    <row r="51" spans="1:26" x14ac:dyDescent="0.25">
      <c r="A51">
        <v>23</v>
      </c>
      <c r="B51" s="204" t="s">
        <v>229</v>
      </c>
      <c r="C51">
        <v>11498</v>
      </c>
      <c r="D51" s="204" t="s">
        <v>230</v>
      </c>
      <c r="E51" s="204" t="s">
        <v>220</v>
      </c>
      <c r="F51">
        <v>300</v>
      </c>
      <c r="G51" s="105">
        <v>45071</v>
      </c>
      <c r="H51" s="105">
        <v>45397</v>
      </c>
      <c r="I51" s="105"/>
      <c r="J51" s="204" t="s">
        <v>206</v>
      </c>
      <c r="K51" s="105"/>
      <c r="L51" s="105">
        <v>45697</v>
      </c>
      <c r="M51">
        <v>45224</v>
      </c>
      <c r="N51" s="204" t="s">
        <v>204</v>
      </c>
      <c r="O51" s="204" t="s">
        <v>2336</v>
      </c>
      <c r="Q51" t="s">
        <v>2190</v>
      </c>
      <c r="R51">
        <v>30304</v>
      </c>
      <c r="S51" s="204" t="s">
        <v>2191</v>
      </c>
      <c r="T51">
        <v>41</v>
      </c>
      <c r="U51">
        <v>626396120</v>
      </c>
      <c r="W51" t="s">
        <v>2337</v>
      </c>
      <c r="X51" t="s">
        <v>438</v>
      </c>
      <c r="Y51">
        <v>3560</v>
      </c>
      <c r="Z51" s="105"/>
    </row>
    <row r="52" spans="1:26" x14ac:dyDescent="0.25">
      <c r="A52">
        <v>27</v>
      </c>
      <c r="B52" s="204" t="s">
        <v>237</v>
      </c>
      <c r="C52">
        <v>11443</v>
      </c>
      <c r="D52" s="204" t="s">
        <v>238</v>
      </c>
      <c r="E52" s="204" t="s">
        <v>220</v>
      </c>
      <c r="F52">
        <v>300</v>
      </c>
      <c r="G52" s="105">
        <v>45168</v>
      </c>
      <c r="H52" s="105">
        <v>45168</v>
      </c>
      <c r="I52" s="105">
        <v>45247</v>
      </c>
      <c r="J52" s="204" t="s">
        <v>203</v>
      </c>
      <c r="K52" s="105">
        <v>45292</v>
      </c>
      <c r="L52" s="105">
        <v>45468</v>
      </c>
      <c r="M52">
        <v>45224</v>
      </c>
      <c r="N52" s="204" t="s">
        <v>208</v>
      </c>
      <c r="O52" s="204"/>
      <c r="Q52" t="s">
        <v>2190</v>
      </c>
      <c r="R52">
        <v>26042</v>
      </c>
      <c r="S52" s="204" t="s">
        <v>2191</v>
      </c>
      <c r="T52">
        <v>53</v>
      </c>
      <c r="Z52" s="105"/>
    </row>
    <row r="53" spans="1:26" x14ac:dyDescent="0.25">
      <c r="A53">
        <v>40</v>
      </c>
      <c r="B53" s="204" t="s">
        <v>256</v>
      </c>
      <c r="C53">
        <v>11312</v>
      </c>
      <c r="D53" s="204" t="s">
        <v>257</v>
      </c>
      <c r="E53" s="204" t="s">
        <v>220</v>
      </c>
      <c r="F53">
        <v>300</v>
      </c>
      <c r="G53" s="105">
        <v>44797</v>
      </c>
      <c r="H53" s="105">
        <v>44797</v>
      </c>
      <c r="I53" s="105">
        <v>45058</v>
      </c>
      <c r="J53" s="204" t="s">
        <v>203</v>
      </c>
      <c r="K53" s="105">
        <v>45103</v>
      </c>
      <c r="L53" s="105">
        <v>45097</v>
      </c>
      <c r="N53" s="204"/>
      <c r="O53" s="204"/>
      <c r="Q53" t="s">
        <v>2190</v>
      </c>
      <c r="R53" t="s">
        <v>2338</v>
      </c>
      <c r="S53" s="204" t="s">
        <v>2193</v>
      </c>
      <c r="T53">
        <v>0</v>
      </c>
      <c r="Z53" s="105"/>
    </row>
    <row r="54" spans="1:26" x14ac:dyDescent="0.25">
      <c r="A54">
        <v>114</v>
      </c>
      <c r="B54" s="204" t="s">
        <v>791</v>
      </c>
      <c r="C54">
        <v>11535</v>
      </c>
      <c r="D54" s="204" t="s">
        <v>1059</v>
      </c>
      <c r="E54" s="204" t="s">
        <v>220</v>
      </c>
      <c r="F54">
        <v>300</v>
      </c>
      <c r="G54" s="105">
        <v>45547</v>
      </c>
      <c r="H54" s="105">
        <v>45547</v>
      </c>
      <c r="I54" s="105"/>
      <c r="J54" s="204" t="s">
        <v>206</v>
      </c>
      <c r="K54" s="105"/>
      <c r="L54" s="105"/>
      <c r="M54" t="s">
        <v>208</v>
      </c>
      <c r="N54" s="204"/>
      <c r="O54" s="204" t="s">
        <v>2339</v>
      </c>
      <c r="P54">
        <v>48856</v>
      </c>
      <c r="Q54" t="s">
        <v>2190</v>
      </c>
      <c r="R54">
        <v>29363</v>
      </c>
      <c r="S54" s="204" t="s">
        <v>2191</v>
      </c>
      <c r="T54">
        <v>44</v>
      </c>
      <c r="U54">
        <v>692497261</v>
      </c>
      <c r="W54" t="s">
        <v>2340</v>
      </c>
      <c r="Z54" s="105">
        <v>45608</v>
      </c>
    </row>
    <row r="55" spans="1:26" x14ac:dyDescent="0.25">
      <c r="A55">
        <v>44</v>
      </c>
      <c r="B55" s="204" t="s">
        <v>261</v>
      </c>
      <c r="C55">
        <v>11504</v>
      </c>
      <c r="D55" s="204" t="s">
        <v>78</v>
      </c>
      <c r="E55" s="204" t="s">
        <v>220</v>
      </c>
      <c r="F55">
        <v>100</v>
      </c>
      <c r="G55" s="105">
        <v>45089</v>
      </c>
      <c r="H55" s="105">
        <v>45413</v>
      </c>
      <c r="I55" s="105"/>
      <c r="J55" s="204" t="s">
        <v>206</v>
      </c>
      <c r="K55" s="105"/>
      <c r="L55" s="105">
        <v>45713</v>
      </c>
      <c r="M55">
        <v>45224</v>
      </c>
      <c r="N55" s="204" t="s">
        <v>204</v>
      </c>
      <c r="O55" s="204" t="s">
        <v>2341</v>
      </c>
      <c r="Q55" t="s">
        <v>2244</v>
      </c>
      <c r="R55">
        <v>25431</v>
      </c>
      <c r="S55" s="204" t="s">
        <v>2193</v>
      </c>
      <c r="T55">
        <v>55</v>
      </c>
      <c r="U55">
        <v>661574532</v>
      </c>
      <c r="V55" t="s">
        <v>2342</v>
      </c>
      <c r="W55" t="s">
        <v>2343</v>
      </c>
      <c r="X55" t="s">
        <v>2326</v>
      </c>
      <c r="Y55">
        <v>3014</v>
      </c>
      <c r="Z55" s="105"/>
    </row>
    <row r="56" spans="1:26" x14ac:dyDescent="0.25">
      <c r="A56">
        <v>35</v>
      </c>
      <c r="B56" s="204" t="s">
        <v>248</v>
      </c>
      <c r="C56">
        <v>11407</v>
      </c>
      <c r="D56" s="204" t="s">
        <v>80</v>
      </c>
      <c r="E56" s="204" t="s">
        <v>220</v>
      </c>
      <c r="F56">
        <v>300</v>
      </c>
      <c r="G56" s="105">
        <v>45139</v>
      </c>
      <c r="H56" s="105">
        <v>45474</v>
      </c>
      <c r="I56" s="105"/>
      <c r="J56" s="204" t="s">
        <v>206</v>
      </c>
      <c r="K56" s="105"/>
      <c r="L56" s="105">
        <v>45774</v>
      </c>
      <c r="M56">
        <v>45224</v>
      </c>
      <c r="N56" s="204" t="s">
        <v>204</v>
      </c>
      <c r="O56" s="204" t="s">
        <v>2344</v>
      </c>
      <c r="Q56" t="s">
        <v>2190</v>
      </c>
      <c r="R56">
        <v>35364</v>
      </c>
      <c r="S56" s="204" t="s">
        <v>2191</v>
      </c>
      <c r="T56">
        <v>27</v>
      </c>
      <c r="U56">
        <v>622451279</v>
      </c>
      <c r="V56" t="s">
        <v>2345</v>
      </c>
      <c r="W56" t="s">
        <v>2346</v>
      </c>
      <c r="X56" t="s">
        <v>2347</v>
      </c>
      <c r="Y56">
        <v>3300</v>
      </c>
      <c r="Z56" s="105"/>
    </row>
    <row r="57" spans="1:26" x14ac:dyDescent="0.25">
      <c r="A57">
        <v>55</v>
      </c>
      <c r="B57" s="204" t="s">
        <v>277</v>
      </c>
      <c r="C57">
        <v>11430</v>
      </c>
      <c r="D57" s="204" t="s">
        <v>168</v>
      </c>
      <c r="E57" s="204" t="s">
        <v>269</v>
      </c>
      <c r="F57">
        <v>300</v>
      </c>
      <c r="G57" s="105">
        <v>44893</v>
      </c>
      <c r="H57" s="105">
        <v>45525</v>
      </c>
      <c r="I57" s="105"/>
      <c r="J57" s="204" t="s">
        <v>206</v>
      </c>
      <c r="K57" s="105"/>
      <c r="L57" s="105">
        <v>45825</v>
      </c>
      <c r="M57">
        <v>45224</v>
      </c>
      <c r="N57" s="204" t="s">
        <v>204</v>
      </c>
      <c r="O57" s="204" t="s">
        <v>2348</v>
      </c>
      <c r="Q57" t="s">
        <v>2190</v>
      </c>
      <c r="R57">
        <v>37442</v>
      </c>
      <c r="S57" s="204" t="s">
        <v>2193</v>
      </c>
      <c r="T57">
        <v>22</v>
      </c>
      <c r="U57">
        <v>644362605</v>
      </c>
      <c r="V57" t="s">
        <v>2349</v>
      </c>
      <c r="W57" t="s">
        <v>2350</v>
      </c>
      <c r="X57" t="s">
        <v>2198</v>
      </c>
      <c r="Y57">
        <v>3014</v>
      </c>
      <c r="Z57" s="105"/>
    </row>
    <row r="58" spans="1:26" x14ac:dyDescent="0.25">
      <c r="A58">
        <v>53</v>
      </c>
      <c r="B58" s="204" t="s">
        <v>275</v>
      </c>
      <c r="C58">
        <v>11431</v>
      </c>
      <c r="D58" s="204" t="s">
        <v>54</v>
      </c>
      <c r="E58" s="204" t="s">
        <v>269</v>
      </c>
      <c r="F58">
        <v>300</v>
      </c>
      <c r="G58" s="105">
        <v>44893</v>
      </c>
      <c r="H58" s="105">
        <v>45525</v>
      </c>
      <c r="I58" s="105"/>
      <c r="J58" s="204" t="s">
        <v>206</v>
      </c>
      <c r="K58" s="105"/>
      <c r="L58" s="105">
        <v>45825</v>
      </c>
      <c r="M58">
        <v>45224</v>
      </c>
      <c r="N58" s="204" t="s">
        <v>204</v>
      </c>
      <c r="O58" s="204" t="s">
        <v>2351</v>
      </c>
      <c r="Q58" t="s">
        <v>2190</v>
      </c>
      <c r="R58">
        <v>32110</v>
      </c>
      <c r="S58" s="204" t="s">
        <v>2191</v>
      </c>
      <c r="T58">
        <v>36</v>
      </c>
      <c r="U58">
        <v>632221713</v>
      </c>
      <c r="V58" t="s">
        <v>2352</v>
      </c>
      <c r="W58" t="s">
        <v>2353</v>
      </c>
      <c r="X58" t="s">
        <v>2213</v>
      </c>
      <c r="Y58">
        <v>3014</v>
      </c>
      <c r="Z58" s="105"/>
    </row>
    <row r="59" spans="1:26" x14ac:dyDescent="0.25">
      <c r="A59">
        <v>61</v>
      </c>
      <c r="B59" s="204" t="s">
        <v>284</v>
      </c>
      <c r="C59">
        <v>11448</v>
      </c>
      <c r="D59" s="204" t="s">
        <v>285</v>
      </c>
      <c r="E59" s="204" t="s">
        <v>269</v>
      </c>
      <c r="F59">
        <v>300</v>
      </c>
      <c r="G59" s="105">
        <v>45174</v>
      </c>
      <c r="H59" s="105">
        <v>45525</v>
      </c>
      <c r="I59" s="105"/>
      <c r="J59" s="204" t="s">
        <v>206</v>
      </c>
      <c r="K59" s="105"/>
      <c r="L59" s="105">
        <v>45825</v>
      </c>
      <c r="M59">
        <v>45224</v>
      </c>
      <c r="N59" s="204" t="s">
        <v>204</v>
      </c>
      <c r="O59" s="204" t="s">
        <v>2354</v>
      </c>
      <c r="Q59" t="s">
        <v>2190</v>
      </c>
      <c r="R59">
        <v>37511</v>
      </c>
      <c r="S59" s="204" t="s">
        <v>2191</v>
      </c>
      <c r="T59">
        <v>22</v>
      </c>
      <c r="W59" t="s">
        <v>2355</v>
      </c>
      <c r="X59" t="s">
        <v>2326</v>
      </c>
      <c r="Y59">
        <v>3014</v>
      </c>
      <c r="Z59" s="105"/>
    </row>
    <row r="60" spans="1:26" x14ac:dyDescent="0.25">
      <c r="A60">
        <v>56</v>
      </c>
      <c r="B60" s="204" t="s">
        <v>278</v>
      </c>
      <c r="C60">
        <v>11433</v>
      </c>
      <c r="D60" s="204" t="s">
        <v>279</v>
      </c>
      <c r="E60" s="204" t="s">
        <v>269</v>
      </c>
      <c r="F60">
        <v>300</v>
      </c>
      <c r="G60" s="105">
        <v>44893</v>
      </c>
      <c r="H60" s="105">
        <v>45525</v>
      </c>
      <c r="I60" s="105"/>
      <c r="J60" s="204" t="s">
        <v>206</v>
      </c>
      <c r="K60" s="105"/>
      <c r="L60" s="105">
        <v>45825</v>
      </c>
      <c r="M60">
        <v>45224</v>
      </c>
      <c r="N60" s="204" t="s">
        <v>204</v>
      </c>
      <c r="O60" s="204" t="s">
        <v>2356</v>
      </c>
      <c r="Q60" t="s">
        <v>2190</v>
      </c>
      <c r="R60">
        <v>23240</v>
      </c>
      <c r="S60" s="204" t="s">
        <v>2191</v>
      </c>
      <c r="T60">
        <v>61</v>
      </c>
      <c r="U60">
        <v>632019815</v>
      </c>
      <c r="V60" t="s">
        <v>2357</v>
      </c>
      <c r="W60" t="s">
        <v>2358</v>
      </c>
      <c r="X60" t="s">
        <v>2198</v>
      </c>
      <c r="Y60">
        <v>3202</v>
      </c>
      <c r="Z60" s="105"/>
    </row>
    <row r="61" spans="1:26" x14ac:dyDescent="0.25">
      <c r="A61">
        <v>69</v>
      </c>
      <c r="B61" s="204" t="s">
        <v>292</v>
      </c>
      <c r="C61">
        <v>11511</v>
      </c>
      <c r="D61" s="204" t="s">
        <v>169</v>
      </c>
      <c r="E61" s="204" t="s">
        <v>269</v>
      </c>
      <c r="F61">
        <v>300</v>
      </c>
      <c r="G61" s="105">
        <v>45446</v>
      </c>
      <c r="H61" s="105">
        <v>45446</v>
      </c>
      <c r="I61" s="105">
        <v>45565</v>
      </c>
      <c r="J61" s="204" t="s">
        <v>203</v>
      </c>
      <c r="K61" s="105">
        <v>45610</v>
      </c>
      <c r="L61" s="105"/>
      <c r="M61" t="s">
        <v>208</v>
      </c>
      <c r="N61" s="204"/>
      <c r="O61" s="204" t="s">
        <v>2359</v>
      </c>
      <c r="Q61" t="s">
        <v>2190</v>
      </c>
      <c r="R61">
        <v>31047</v>
      </c>
      <c r="S61" s="204" t="s">
        <v>2191</v>
      </c>
      <c r="T61">
        <v>39</v>
      </c>
      <c r="U61">
        <v>603151585</v>
      </c>
      <c r="W61" t="s">
        <v>2360</v>
      </c>
      <c r="X61" t="s">
        <v>2198</v>
      </c>
      <c r="Y61">
        <v>3206</v>
      </c>
      <c r="Z61" s="105">
        <v>45506</v>
      </c>
    </row>
    <row r="62" spans="1:26" x14ac:dyDescent="0.25">
      <c r="A62">
        <v>67</v>
      </c>
      <c r="B62" s="204" t="s">
        <v>291</v>
      </c>
      <c r="C62">
        <v>11485</v>
      </c>
      <c r="D62" s="204" t="s">
        <v>2361</v>
      </c>
      <c r="E62" s="204" t="s">
        <v>269</v>
      </c>
      <c r="F62">
        <v>300</v>
      </c>
      <c r="G62" s="105">
        <v>45372</v>
      </c>
      <c r="H62" s="105">
        <v>45372</v>
      </c>
      <c r="I62" s="105">
        <v>45565</v>
      </c>
      <c r="J62" s="204" t="s">
        <v>203</v>
      </c>
      <c r="K62" s="105">
        <v>45610</v>
      </c>
      <c r="L62" s="105"/>
      <c r="M62" t="s">
        <v>208</v>
      </c>
      <c r="N62" s="204" t="s">
        <v>208</v>
      </c>
      <c r="O62" s="204" t="s">
        <v>2362</v>
      </c>
      <c r="P62">
        <v>45793</v>
      </c>
      <c r="Q62" t="s">
        <v>2190</v>
      </c>
      <c r="R62">
        <v>26466</v>
      </c>
      <c r="S62" s="204" t="s">
        <v>2191</v>
      </c>
      <c r="T62">
        <v>52</v>
      </c>
      <c r="Z62" s="105">
        <v>45432</v>
      </c>
    </row>
    <row r="63" spans="1:26" x14ac:dyDescent="0.25">
      <c r="A63">
        <v>58</v>
      </c>
      <c r="B63" s="204" t="s">
        <v>281</v>
      </c>
      <c r="C63">
        <v>11458</v>
      </c>
      <c r="D63" s="204" t="s">
        <v>60</v>
      </c>
      <c r="E63" s="204" t="s">
        <v>269</v>
      </c>
      <c r="F63">
        <v>300</v>
      </c>
      <c r="G63" s="105">
        <v>44902</v>
      </c>
      <c r="H63" s="105">
        <v>45579</v>
      </c>
      <c r="I63" s="105"/>
      <c r="J63" s="204" t="s">
        <v>206</v>
      </c>
      <c r="K63" s="105"/>
      <c r="L63" s="105">
        <v>45879</v>
      </c>
      <c r="M63">
        <v>45259</v>
      </c>
      <c r="N63" s="204" t="s">
        <v>204</v>
      </c>
      <c r="O63" s="204"/>
      <c r="Q63" t="s">
        <v>2190</v>
      </c>
      <c r="R63">
        <v>33380</v>
      </c>
      <c r="S63" s="204" t="s">
        <v>2193</v>
      </c>
      <c r="T63">
        <v>33</v>
      </c>
      <c r="U63">
        <v>637059052</v>
      </c>
      <c r="V63" t="s">
        <v>2363</v>
      </c>
      <c r="W63" t="s">
        <v>2364</v>
      </c>
      <c r="Z63" s="105"/>
    </row>
    <row r="64" spans="1:26" x14ac:dyDescent="0.25">
      <c r="A64">
        <v>52</v>
      </c>
      <c r="B64" s="204" t="s">
        <v>274</v>
      </c>
      <c r="C64">
        <v>11457</v>
      </c>
      <c r="D64" s="204" t="s">
        <v>61</v>
      </c>
      <c r="E64" s="204" t="s">
        <v>269</v>
      </c>
      <c r="F64">
        <v>300</v>
      </c>
      <c r="G64" s="105">
        <v>44854</v>
      </c>
      <c r="H64" s="105">
        <v>45579</v>
      </c>
      <c r="I64" s="105"/>
      <c r="J64" s="204" t="s">
        <v>206</v>
      </c>
      <c r="K64" s="105"/>
      <c r="L64" s="105">
        <v>45879</v>
      </c>
      <c r="M64">
        <v>45224</v>
      </c>
      <c r="N64" s="204" t="s">
        <v>204</v>
      </c>
      <c r="O64" s="204"/>
      <c r="Q64" t="s">
        <v>2190</v>
      </c>
      <c r="R64">
        <v>27921</v>
      </c>
      <c r="S64" s="204" t="s">
        <v>2193</v>
      </c>
      <c r="T64">
        <v>48</v>
      </c>
      <c r="U64">
        <v>631932939</v>
      </c>
      <c r="V64" t="s">
        <v>2365</v>
      </c>
      <c r="W64" t="s">
        <v>2366</v>
      </c>
      <c r="Z64" s="105"/>
    </row>
    <row r="65" spans="1:26" x14ac:dyDescent="0.25">
      <c r="A65">
        <v>50</v>
      </c>
      <c r="B65" s="204" t="s">
        <v>272</v>
      </c>
      <c r="C65">
        <v>11421</v>
      </c>
      <c r="D65" s="204" t="s">
        <v>62</v>
      </c>
      <c r="E65" s="204" t="s">
        <v>269</v>
      </c>
      <c r="F65">
        <v>300</v>
      </c>
      <c r="G65" s="105">
        <v>44797</v>
      </c>
      <c r="H65" s="105">
        <v>45525</v>
      </c>
      <c r="I65" s="105"/>
      <c r="J65" s="204" t="s">
        <v>206</v>
      </c>
      <c r="K65" s="105"/>
      <c r="L65" s="105">
        <v>45825</v>
      </c>
      <c r="M65">
        <v>45224</v>
      </c>
      <c r="N65" s="204" t="s">
        <v>204</v>
      </c>
      <c r="O65" s="204" t="s">
        <v>2367</v>
      </c>
      <c r="Q65" t="s">
        <v>2218</v>
      </c>
      <c r="R65">
        <v>36723</v>
      </c>
      <c r="S65" s="204" t="s">
        <v>2193</v>
      </c>
      <c r="T65">
        <v>24</v>
      </c>
      <c r="U65">
        <v>695250976</v>
      </c>
      <c r="V65" t="s">
        <v>2368</v>
      </c>
      <c r="W65" t="s">
        <v>2369</v>
      </c>
      <c r="X65" t="s">
        <v>2198</v>
      </c>
      <c r="Y65">
        <v>3014</v>
      </c>
      <c r="Z65" s="105"/>
    </row>
    <row r="66" spans="1:26" x14ac:dyDescent="0.25">
      <c r="A66">
        <v>66</v>
      </c>
      <c r="B66" s="204" t="s">
        <v>290</v>
      </c>
      <c r="C66">
        <v>11484</v>
      </c>
      <c r="D66" s="204" t="s">
        <v>63</v>
      </c>
      <c r="E66" s="204" t="s">
        <v>269</v>
      </c>
      <c r="F66">
        <v>300</v>
      </c>
      <c r="G66" s="105">
        <v>45372</v>
      </c>
      <c r="H66" s="105">
        <v>45372</v>
      </c>
      <c r="I66" s="105">
        <v>45565</v>
      </c>
      <c r="J66" s="204" t="s">
        <v>203</v>
      </c>
      <c r="K66" s="105">
        <v>45610</v>
      </c>
      <c r="L66" s="105"/>
      <c r="M66" t="s">
        <v>208</v>
      </c>
      <c r="N66" s="204" t="s">
        <v>208</v>
      </c>
      <c r="O66" s="204" t="s">
        <v>2370</v>
      </c>
      <c r="Q66" t="s">
        <v>2190</v>
      </c>
      <c r="R66">
        <v>26465</v>
      </c>
      <c r="S66" s="204" t="s">
        <v>2191</v>
      </c>
      <c r="T66">
        <v>52</v>
      </c>
      <c r="W66" t="s">
        <v>2371</v>
      </c>
      <c r="X66" t="s">
        <v>2273</v>
      </c>
      <c r="Y66">
        <v>3340</v>
      </c>
      <c r="Z66" s="105">
        <v>45432</v>
      </c>
    </row>
    <row r="67" spans="1:26" x14ac:dyDescent="0.25">
      <c r="A67">
        <v>60</v>
      </c>
      <c r="B67" s="204" t="s">
        <v>283</v>
      </c>
      <c r="C67">
        <v>11445</v>
      </c>
      <c r="D67" s="204" t="s">
        <v>67</v>
      </c>
      <c r="E67" s="204" t="s">
        <v>269</v>
      </c>
      <c r="F67">
        <v>300</v>
      </c>
      <c r="G67" s="105">
        <v>45008</v>
      </c>
      <c r="H67" s="105">
        <v>45525</v>
      </c>
      <c r="I67" s="105"/>
      <c r="J67" s="204" t="s">
        <v>206</v>
      </c>
      <c r="K67" s="105"/>
      <c r="L67" s="105">
        <v>45825</v>
      </c>
      <c r="M67">
        <v>45224</v>
      </c>
      <c r="N67" s="204" t="s">
        <v>204</v>
      </c>
      <c r="O67" s="204" t="s">
        <v>2372</v>
      </c>
      <c r="Q67" t="s">
        <v>2190</v>
      </c>
      <c r="R67">
        <v>26665</v>
      </c>
      <c r="S67" s="204" t="s">
        <v>2191</v>
      </c>
      <c r="T67">
        <v>51</v>
      </c>
      <c r="W67" t="s">
        <v>2373</v>
      </c>
      <c r="X67" t="s">
        <v>2374</v>
      </c>
      <c r="Y67">
        <v>3014</v>
      </c>
      <c r="Z67" s="105"/>
    </row>
    <row r="68" spans="1:26" x14ac:dyDescent="0.25">
      <c r="A68">
        <v>54</v>
      </c>
      <c r="B68" s="204" t="s">
        <v>276</v>
      </c>
      <c r="C68">
        <v>11432</v>
      </c>
      <c r="D68" s="204" t="s">
        <v>171</v>
      </c>
      <c r="E68" s="204" t="s">
        <v>269</v>
      </c>
      <c r="F68">
        <v>300</v>
      </c>
      <c r="G68" s="105">
        <v>44893</v>
      </c>
      <c r="H68" s="105">
        <v>45525</v>
      </c>
      <c r="I68" s="105"/>
      <c r="J68" s="204" t="s">
        <v>206</v>
      </c>
      <c r="K68" s="105"/>
      <c r="L68" s="105">
        <v>45825</v>
      </c>
      <c r="M68">
        <v>45224</v>
      </c>
      <c r="N68" s="204" t="s">
        <v>204</v>
      </c>
      <c r="O68" s="204" t="s">
        <v>2375</v>
      </c>
      <c r="Q68" t="s">
        <v>2190</v>
      </c>
      <c r="R68">
        <v>29129</v>
      </c>
      <c r="S68" s="204" t="s">
        <v>2191</v>
      </c>
      <c r="T68">
        <v>45</v>
      </c>
      <c r="U68">
        <v>661483946</v>
      </c>
      <c r="V68" t="s">
        <v>2376</v>
      </c>
      <c r="W68" t="s">
        <v>2377</v>
      </c>
      <c r="X68" t="s">
        <v>438</v>
      </c>
      <c r="Y68">
        <v>3560</v>
      </c>
      <c r="Z68" s="105"/>
    </row>
    <row r="69" spans="1:26" x14ac:dyDescent="0.25">
      <c r="A69">
        <v>51</v>
      </c>
      <c r="B69" s="204" t="s">
        <v>273</v>
      </c>
      <c r="C69">
        <v>11422</v>
      </c>
      <c r="D69" s="204" t="s">
        <v>69</v>
      </c>
      <c r="E69" s="204" t="s">
        <v>269</v>
      </c>
      <c r="F69">
        <v>300</v>
      </c>
      <c r="G69" s="105">
        <v>44797</v>
      </c>
      <c r="H69" s="105">
        <v>45154</v>
      </c>
      <c r="I69" s="105"/>
      <c r="J69" s="204" t="s">
        <v>206</v>
      </c>
      <c r="K69" s="105"/>
      <c r="L69" s="105">
        <v>45454</v>
      </c>
      <c r="M69">
        <v>45224</v>
      </c>
      <c r="N69" s="204" t="s">
        <v>204</v>
      </c>
      <c r="O69" s="204" t="s">
        <v>2378</v>
      </c>
      <c r="Q69" t="s">
        <v>2218</v>
      </c>
      <c r="R69">
        <v>27030</v>
      </c>
      <c r="S69" s="204" t="s">
        <v>2193</v>
      </c>
      <c r="T69">
        <v>50</v>
      </c>
      <c r="U69">
        <v>632530592</v>
      </c>
      <c r="V69" t="s">
        <v>2379</v>
      </c>
      <c r="W69" t="s">
        <v>2380</v>
      </c>
      <c r="Z69" s="105"/>
    </row>
    <row r="70" spans="1:26" x14ac:dyDescent="0.25">
      <c r="A70">
        <v>70</v>
      </c>
      <c r="B70" s="204" t="s">
        <v>293</v>
      </c>
      <c r="C70">
        <v>11506</v>
      </c>
      <c r="D70" s="204" t="s">
        <v>100</v>
      </c>
      <c r="E70" s="204" t="s">
        <v>269</v>
      </c>
      <c r="F70">
        <v>300</v>
      </c>
      <c r="G70" s="105">
        <v>45441</v>
      </c>
      <c r="H70" s="105">
        <v>45441</v>
      </c>
      <c r="I70" s="105">
        <v>45565</v>
      </c>
      <c r="J70" s="204" t="s">
        <v>203</v>
      </c>
      <c r="K70" s="105">
        <v>45610</v>
      </c>
      <c r="L70" s="105"/>
      <c r="M70" t="s">
        <v>208</v>
      </c>
      <c r="N70" s="204" t="s">
        <v>208</v>
      </c>
      <c r="O70" s="204" t="s">
        <v>2381</v>
      </c>
      <c r="Q70" t="s">
        <v>2190</v>
      </c>
      <c r="R70">
        <v>30529</v>
      </c>
      <c r="S70" s="204" t="s">
        <v>2191</v>
      </c>
      <c r="T70">
        <v>41</v>
      </c>
      <c r="W70" t="s">
        <v>2382</v>
      </c>
      <c r="X70" t="s">
        <v>2273</v>
      </c>
      <c r="Y70">
        <v>3340</v>
      </c>
      <c r="Z70" s="105">
        <v>45501</v>
      </c>
    </row>
    <row r="71" spans="1:26" x14ac:dyDescent="0.25">
      <c r="A71">
        <v>65</v>
      </c>
      <c r="B71" s="204" t="s">
        <v>289</v>
      </c>
      <c r="C71">
        <v>11477</v>
      </c>
      <c r="D71" s="204" t="s">
        <v>71</v>
      </c>
      <c r="E71" s="204" t="s">
        <v>269</v>
      </c>
      <c r="F71">
        <v>300</v>
      </c>
      <c r="G71" s="105">
        <v>45363</v>
      </c>
      <c r="H71" s="105">
        <v>45363</v>
      </c>
      <c r="I71" s="105">
        <v>45565</v>
      </c>
      <c r="J71" s="204" t="s">
        <v>203</v>
      </c>
      <c r="K71" s="105">
        <v>45610</v>
      </c>
      <c r="L71" s="105"/>
      <c r="M71" t="s">
        <v>208</v>
      </c>
      <c r="N71" s="204" t="s">
        <v>208</v>
      </c>
      <c r="O71" s="204" t="s">
        <v>2383</v>
      </c>
      <c r="Q71" t="s">
        <v>2190</v>
      </c>
      <c r="R71">
        <v>32766</v>
      </c>
      <c r="S71" s="204" t="s">
        <v>2191</v>
      </c>
      <c r="T71">
        <v>35</v>
      </c>
      <c r="W71" t="s">
        <v>2384</v>
      </c>
      <c r="X71" t="s">
        <v>2347</v>
      </c>
      <c r="Y71">
        <v>3000</v>
      </c>
      <c r="Z71" s="105">
        <v>45423</v>
      </c>
    </row>
    <row r="72" spans="1:26" x14ac:dyDescent="0.25">
      <c r="A72">
        <v>62</v>
      </c>
      <c r="B72" s="204" t="s">
        <v>286</v>
      </c>
      <c r="C72">
        <v>11456</v>
      </c>
      <c r="D72" s="204" t="s">
        <v>72</v>
      </c>
      <c r="E72" s="204" t="s">
        <v>269</v>
      </c>
      <c r="F72">
        <v>300</v>
      </c>
      <c r="G72" s="105">
        <v>45209</v>
      </c>
      <c r="H72" s="105">
        <v>45525</v>
      </c>
      <c r="I72" s="105"/>
      <c r="J72" s="204" t="s">
        <v>206</v>
      </c>
      <c r="K72" s="105"/>
      <c r="L72" s="105">
        <v>45825</v>
      </c>
      <c r="M72">
        <v>45224</v>
      </c>
      <c r="N72" s="204" t="s">
        <v>204</v>
      </c>
      <c r="O72" s="204" t="s">
        <v>2385</v>
      </c>
      <c r="Q72" t="s">
        <v>2190</v>
      </c>
      <c r="R72">
        <v>29196</v>
      </c>
      <c r="S72" s="204" t="s">
        <v>2191</v>
      </c>
      <c r="T72">
        <v>44</v>
      </c>
      <c r="U72">
        <v>602008936</v>
      </c>
      <c r="V72" t="s">
        <v>2386</v>
      </c>
      <c r="W72" t="s">
        <v>2387</v>
      </c>
      <c r="X72" t="s">
        <v>2273</v>
      </c>
      <c r="Y72">
        <v>3340</v>
      </c>
      <c r="Z72" s="105"/>
    </row>
    <row r="73" spans="1:26" x14ac:dyDescent="0.25">
      <c r="A73">
        <v>47</v>
      </c>
      <c r="B73" s="204" t="s">
        <v>267</v>
      </c>
      <c r="C73">
        <v>11533</v>
      </c>
      <c r="D73" s="204" t="s">
        <v>268</v>
      </c>
      <c r="E73" s="204" t="s">
        <v>269</v>
      </c>
      <c r="F73">
        <v>100</v>
      </c>
      <c r="G73" s="105">
        <v>45526</v>
      </c>
      <c r="H73" s="105">
        <v>45526</v>
      </c>
      <c r="I73" s="105"/>
      <c r="J73" s="204" t="s">
        <v>206</v>
      </c>
      <c r="K73" s="105"/>
      <c r="L73" s="105"/>
      <c r="M73" t="s">
        <v>208</v>
      </c>
      <c r="N73" s="204" t="s">
        <v>204</v>
      </c>
      <c r="O73" s="204"/>
      <c r="Q73" t="s">
        <v>2278</v>
      </c>
      <c r="R73">
        <v>30688</v>
      </c>
      <c r="S73" s="204" t="s">
        <v>2193</v>
      </c>
      <c r="T73">
        <v>40</v>
      </c>
      <c r="U73">
        <v>677735184</v>
      </c>
      <c r="V73" t="s">
        <v>781</v>
      </c>
      <c r="W73" t="s">
        <v>2388</v>
      </c>
      <c r="Z73" s="105">
        <v>45587</v>
      </c>
    </row>
    <row r="74" spans="1:26" x14ac:dyDescent="0.25">
      <c r="A74">
        <v>59</v>
      </c>
      <c r="B74" s="204" t="s">
        <v>282</v>
      </c>
      <c r="C74">
        <v>11444</v>
      </c>
      <c r="D74" s="204" t="s">
        <v>75</v>
      </c>
      <c r="E74" s="204" t="s">
        <v>269</v>
      </c>
      <c r="F74">
        <v>300</v>
      </c>
      <c r="G74" s="105">
        <v>45007</v>
      </c>
      <c r="H74" s="105">
        <v>45525</v>
      </c>
      <c r="I74" s="105"/>
      <c r="J74" s="204" t="s">
        <v>206</v>
      </c>
      <c r="K74" s="105"/>
      <c r="L74" s="105">
        <v>45825</v>
      </c>
      <c r="M74">
        <v>45224</v>
      </c>
      <c r="N74" s="204" t="s">
        <v>204</v>
      </c>
      <c r="O74" s="204" t="s">
        <v>2389</v>
      </c>
      <c r="Q74" t="s">
        <v>2190</v>
      </c>
      <c r="R74">
        <v>29380</v>
      </c>
      <c r="S74" s="204" t="s">
        <v>2191</v>
      </c>
      <c r="T74">
        <v>44</v>
      </c>
      <c r="U74">
        <v>667897653</v>
      </c>
      <c r="V74" t="s">
        <v>2390</v>
      </c>
      <c r="W74" t="s">
        <v>2391</v>
      </c>
      <c r="X74" t="s">
        <v>438</v>
      </c>
      <c r="Y74">
        <v>3014</v>
      </c>
      <c r="Z74" s="105"/>
    </row>
    <row r="75" spans="1:26" x14ac:dyDescent="0.25">
      <c r="A75">
        <v>57</v>
      </c>
      <c r="B75" s="204" t="s">
        <v>280</v>
      </c>
      <c r="C75">
        <v>11434</v>
      </c>
      <c r="D75" s="204" t="s">
        <v>76</v>
      </c>
      <c r="E75" s="204" t="s">
        <v>269</v>
      </c>
      <c r="F75">
        <v>300</v>
      </c>
      <c r="G75" s="105">
        <v>44893</v>
      </c>
      <c r="H75" s="105">
        <v>45525</v>
      </c>
      <c r="I75" s="105"/>
      <c r="J75" s="204" t="s">
        <v>206</v>
      </c>
      <c r="K75" s="105"/>
      <c r="L75" s="105">
        <v>45825</v>
      </c>
      <c r="M75">
        <v>45224</v>
      </c>
      <c r="N75" s="204" t="s">
        <v>204</v>
      </c>
      <c r="O75" s="204" t="s">
        <v>2392</v>
      </c>
      <c r="Q75" t="s">
        <v>2190</v>
      </c>
      <c r="R75">
        <v>29070</v>
      </c>
      <c r="S75" s="204" t="s">
        <v>2191</v>
      </c>
      <c r="T75">
        <v>45</v>
      </c>
      <c r="U75">
        <v>617827638</v>
      </c>
      <c r="V75" t="s">
        <v>2393</v>
      </c>
      <c r="W75" t="s">
        <v>2394</v>
      </c>
      <c r="Z75" s="105"/>
    </row>
    <row r="76" spans="1:26" x14ac:dyDescent="0.25">
      <c r="A76">
        <v>63</v>
      </c>
      <c r="B76" s="204" t="s">
        <v>287</v>
      </c>
      <c r="C76">
        <v>11455</v>
      </c>
      <c r="D76" s="204" t="s">
        <v>173</v>
      </c>
      <c r="E76" s="204" t="s">
        <v>269</v>
      </c>
      <c r="F76">
        <v>300</v>
      </c>
      <c r="G76" s="105">
        <v>45209</v>
      </c>
      <c r="H76" s="105">
        <v>45525</v>
      </c>
      <c r="I76" s="105"/>
      <c r="J76" s="204" t="s">
        <v>206</v>
      </c>
      <c r="K76" s="105"/>
      <c r="L76" s="105">
        <v>45825</v>
      </c>
      <c r="M76">
        <v>45224</v>
      </c>
      <c r="N76" s="204" t="s">
        <v>204</v>
      </c>
      <c r="O76" s="204" t="s">
        <v>2395</v>
      </c>
      <c r="Q76" t="s">
        <v>2190</v>
      </c>
      <c r="R76">
        <v>29710</v>
      </c>
      <c r="S76" s="204" t="s">
        <v>2191</v>
      </c>
      <c r="T76">
        <v>43</v>
      </c>
      <c r="U76">
        <v>631507527</v>
      </c>
      <c r="V76" t="s">
        <v>2396</v>
      </c>
      <c r="W76" t="s">
        <v>2397</v>
      </c>
      <c r="X76" t="s">
        <v>2273</v>
      </c>
      <c r="Y76">
        <v>3340</v>
      </c>
      <c r="Z76" s="105"/>
    </row>
    <row r="77" spans="1:26" x14ac:dyDescent="0.25">
      <c r="A77">
        <v>64</v>
      </c>
      <c r="B77" s="204" t="s">
        <v>288</v>
      </c>
      <c r="C77">
        <v>11463</v>
      </c>
      <c r="D77" s="204" t="s">
        <v>174</v>
      </c>
      <c r="E77" s="204" t="s">
        <v>269</v>
      </c>
      <c r="F77">
        <v>300</v>
      </c>
      <c r="G77" s="105">
        <v>45224</v>
      </c>
      <c r="H77" s="105">
        <v>45525</v>
      </c>
      <c r="I77" s="105"/>
      <c r="J77" s="204" t="s">
        <v>206</v>
      </c>
      <c r="K77" s="105"/>
      <c r="L77" s="105">
        <v>45825</v>
      </c>
      <c r="M77" t="s">
        <v>204</v>
      </c>
      <c r="N77" s="204" t="s">
        <v>208</v>
      </c>
      <c r="O77" s="204" t="s">
        <v>2398</v>
      </c>
      <c r="P77">
        <v>46118</v>
      </c>
      <c r="Q77" t="s">
        <v>2190</v>
      </c>
      <c r="R77">
        <v>26983</v>
      </c>
      <c r="S77" s="204" t="s">
        <v>2191</v>
      </c>
      <c r="T77">
        <v>50</v>
      </c>
      <c r="U77">
        <v>602322736</v>
      </c>
      <c r="Z77" s="105"/>
    </row>
    <row r="78" spans="1:26" x14ac:dyDescent="0.25">
      <c r="A78">
        <v>48</v>
      </c>
      <c r="B78" s="204" t="s">
        <v>270</v>
      </c>
      <c r="C78">
        <v>11528</v>
      </c>
      <c r="D78" s="204" t="s">
        <v>121</v>
      </c>
      <c r="E78" s="204" t="s">
        <v>269</v>
      </c>
      <c r="F78">
        <v>300</v>
      </c>
      <c r="G78" s="105">
        <v>45488</v>
      </c>
      <c r="H78" s="105">
        <v>45488</v>
      </c>
      <c r="I78" s="105"/>
      <c r="J78" s="204" t="s">
        <v>206</v>
      </c>
      <c r="K78" s="105"/>
      <c r="L78" s="105">
        <v>45788</v>
      </c>
      <c r="M78" t="s">
        <v>208</v>
      </c>
      <c r="N78" s="204"/>
      <c r="O78" s="204" t="s">
        <v>2399</v>
      </c>
      <c r="P78">
        <v>45889</v>
      </c>
      <c r="Q78" t="s">
        <v>2190</v>
      </c>
      <c r="R78">
        <v>28855</v>
      </c>
      <c r="S78" s="204" t="s">
        <v>2193</v>
      </c>
      <c r="T78">
        <v>45</v>
      </c>
      <c r="W78" t="s">
        <v>2400</v>
      </c>
      <c r="X78" t="s">
        <v>2198</v>
      </c>
      <c r="Y78">
        <v>3205</v>
      </c>
      <c r="Z78" s="105"/>
    </row>
    <row r="79" spans="1:26" x14ac:dyDescent="0.25">
      <c r="A79">
        <v>49</v>
      </c>
      <c r="B79" s="204" t="s">
        <v>271</v>
      </c>
      <c r="C79">
        <v>11526</v>
      </c>
      <c r="D79" s="204" t="s">
        <v>175</v>
      </c>
      <c r="E79" s="204" t="s">
        <v>269</v>
      </c>
      <c r="F79">
        <v>300</v>
      </c>
      <c r="G79" s="105">
        <v>45485</v>
      </c>
      <c r="H79" s="105">
        <v>45485</v>
      </c>
      <c r="I79" s="105"/>
      <c r="J79" s="204" t="s">
        <v>206</v>
      </c>
      <c r="K79" s="105"/>
      <c r="L79" s="105">
        <v>45785</v>
      </c>
      <c r="M79" t="s">
        <v>208</v>
      </c>
      <c r="N79" s="204"/>
      <c r="O79" s="204" t="s">
        <v>2401</v>
      </c>
      <c r="P79">
        <v>45872</v>
      </c>
      <c r="Q79" t="s">
        <v>2190</v>
      </c>
      <c r="R79">
        <v>27751</v>
      </c>
      <c r="S79" s="204" t="s">
        <v>2191</v>
      </c>
      <c r="T79">
        <v>48</v>
      </c>
      <c r="W79" t="s">
        <v>2402</v>
      </c>
      <c r="X79" t="s">
        <v>2347</v>
      </c>
      <c r="Y79">
        <v>3315</v>
      </c>
      <c r="Z79" s="105"/>
    </row>
    <row r="80" spans="1:26" x14ac:dyDescent="0.25">
      <c r="A80">
        <v>72</v>
      </c>
      <c r="B80" s="204" t="s">
        <v>297</v>
      </c>
      <c r="C80">
        <v>11278</v>
      </c>
      <c r="D80" s="204" t="s">
        <v>298</v>
      </c>
      <c r="E80" s="204" t="s">
        <v>296</v>
      </c>
      <c r="F80">
        <v>189</v>
      </c>
      <c r="G80" s="105">
        <v>41163</v>
      </c>
      <c r="H80" s="105">
        <v>44621</v>
      </c>
      <c r="I80" s="105"/>
      <c r="J80" s="204" t="s">
        <v>206</v>
      </c>
      <c r="K80" s="105"/>
      <c r="L80" s="105"/>
      <c r="N80" s="204"/>
      <c r="O80" s="204" t="s">
        <v>2403</v>
      </c>
      <c r="Q80" t="s">
        <v>2200</v>
      </c>
      <c r="R80">
        <v>28863</v>
      </c>
      <c r="S80" s="204" t="s">
        <v>2191</v>
      </c>
      <c r="T80">
        <v>45</v>
      </c>
      <c r="X80" t="s">
        <v>2198</v>
      </c>
      <c r="Y80">
        <v>3000</v>
      </c>
      <c r="Z80" s="105"/>
    </row>
    <row r="81" spans="1:26" x14ac:dyDescent="0.25">
      <c r="A81">
        <v>73</v>
      </c>
      <c r="B81" s="204" t="s">
        <v>299</v>
      </c>
      <c r="C81">
        <v>11486</v>
      </c>
      <c r="D81" s="204" t="s">
        <v>300</v>
      </c>
      <c r="E81" s="204" t="s">
        <v>296</v>
      </c>
      <c r="F81">
        <v>100</v>
      </c>
      <c r="G81" s="105">
        <v>45369</v>
      </c>
      <c r="H81" s="105">
        <v>45369</v>
      </c>
      <c r="I81" s="105"/>
      <c r="J81" s="204" t="s">
        <v>206</v>
      </c>
      <c r="K81" s="105"/>
      <c r="L81" s="105"/>
      <c r="M81" t="s">
        <v>208</v>
      </c>
      <c r="N81" s="204"/>
      <c r="O81" s="204"/>
      <c r="Q81" t="s">
        <v>2404</v>
      </c>
      <c r="R81">
        <v>28185</v>
      </c>
      <c r="S81" s="204" t="s">
        <v>2193</v>
      </c>
      <c r="T81">
        <v>47</v>
      </c>
      <c r="Z81" s="105"/>
    </row>
    <row r="82" spans="1:26" x14ac:dyDescent="0.25">
      <c r="A82">
        <v>74</v>
      </c>
      <c r="B82" s="204" t="s">
        <v>219</v>
      </c>
      <c r="C82">
        <v>11277</v>
      </c>
      <c r="D82" s="204" t="s">
        <v>301</v>
      </c>
      <c r="E82" s="204" t="s">
        <v>296</v>
      </c>
      <c r="F82">
        <v>100</v>
      </c>
      <c r="G82" s="105">
        <v>41275</v>
      </c>
      <c r="H82" s="105">
        <v>44621</v>
      </c>
      <c r="I82" s="105"/>
      <c r="J82" s="204" t="s">
        <v>206</v>
      </c>
      <c r="K82" s="105"/>
      <c r="L82" s="105"/>
      <c r="M82" t="s">
        <v>208</v>
      </c>
      <c r="N82" s="204"/>
      <c r="O82" s="204" t="s">
        <v>2405</v>
      </c>
      <c r="Q82" t="s">
        <v>2406</v>
      </c>
      <c r="R82">
        <v>24318</v>
      </c>
      <c r="S82" s="204" t="s">
        <v>2193</v>
      </c>
      <c r="T82">
        <v>58</v>
      </c>
      <c r="Z82" s="105"/>
    </row>
    <row r="83" spans="1:26" x14ac:dyDescent="0.25">
      <c r="A83">
        <v>75</v>
      </c>
      <c r="B83" s="204" t="s">
        <v>302</v>
      </c>
      <c r="C83">
        <v>11279</v>
      </c>
      <c r="D83" s="204" t="s">
        <v>303</v>
      </c>
      <c r="E83" s="204" t="s">
        <v>296</v>
      </c>
      <c r="F83">
        <v>100</v>
      </c>
      <c r="G83" s="105">
        <v>42949</v>
      </c>
      <c r="H83" s="105">
        <v>44621</v>
      </c>
      <c r="I83" s="105"/>
      <c r="J83" s="204" t="s">
        <v>206</v>
      </c>
      <c r="K83" s="105"/>
      <c r="L83" s="105"/>
      <c r="N83" s="204"/>
      <c r="O83" s="204" t="s">
        <v>2407</v>
      </c>
      <c r="Q83" t="s">
        <v>2408</v>
      </c>
      <c r="R83">
        <v>31366</v>
      </c>
      <c r="S83" s="204" t="s">
        <v>2193</v>
      </c>
      <c r="T83">
        <v>38</v>
      </c>
      <c r="W83" t="s">
        <v>2409</v>
      </c>
      <c r="X83" t="s">
        <v>2213</v>
      </c>
      <c r="Y83">
        <v>3000</v>
      </c>
      <c r="Z83" s="105"/>
    </row>
    <row r="84" spans="1:26" x14ac:dyDescent="0.25">
      <c r="A84">
        <v>76</v>
      </c>
      <c r="B84" s="204" t="s">
        <v>304</v>
      </c>
      <c r="C84">
        <v>11294</v>
      </c>
      <c r="D84" s="204" t="s">
        <v>305</v>
      </c>
      <c r="E84" s="204" t="s">
        <v>296</v>
      </c>
      <c r="F84">
        <v>100</v>
      </c>
      <c r="G84" s="105">
        <v>44774</v>
      </c>
      <c r="H84" s="105">
        <v>44774</v>
      </c>
      <c r="I84" s="105"/>
      <c r="J84" s="204" t="s">
        <v>206</v>
      </c>
      <c r="K84" s="105"/>
      <c r="L84" s="105"/>
      <c r="N84" s="204"/>
      <c r="O84" s="204" t="s">
        <v>2410</v>
      </c>
      <c r="Q84" t="s">
        <v>2411</v>
      </c>
      <c r="R84">
        <v>29885</v>
      </c>
      <c r="S84" s="204" t="s">
        <v>2193</v>
      </c>
      <c r="T84">
        <v>42</v>
      </c>
      <c r="X84" t="s">
        <v>2213</v>
      </c>
      <c r="Y84">
        <v>3000</v>
      </c>
      <c r="Z84" s="105"/>
    </row>
    <row r="85" spans="1:26" x14ac:dyDescent="0.25">
      <c r="A85">
        <v>71</v>
      </c>
      <c r="B85" s="204" t="s">
        <v>294</v>
      </c>
      <c r="C85">
        <v>11532</v>
      </c>
      <c r="D85" s="204" t="s">
        <v>295</v>
      </c>
      <c r="E85" s="204" t="s">
        <v>296</v>
      </c>
      <c r="F85">
        <v>100</v>
      </c>
      <c r="G85" s="105">
        <v>45505</v>
      </c>
      <c r="H85" s="105">
        <v>45505</v>
      </c>
      <c r="I85" s="105"/>
      <c r="J85" s="204" t="s">
        <v>206</v>
      </c>
      <c r="K85" s="105"/>
      <c r="L85" s="105"/>
      <c r="N85" s="204" t="s">
        <v>208</v>
      </c>
      <c r="O85" s="204"/>
      <c r="Q85" t="s">
        <v>2412</v>
      </c>
      <c r="R85">
        <v>27208</v>
      </c>
      <c r="S85" s="204" t="s">
        <v>2191</v>
      </c>
      <c r="T85">
        <v>50</v>
      </c>
      <c r="U85">
        <v>652763705</v>
      </c>
      <c r="V85" t="s">
        <v>2413</v>
      </c>
      <c r="W85" t="s">
        <v>2414</v>
      </c>
      <c r="X85" t="s">
        <v>2213</v>
      </c>
      <c r="Y85">
        <v>3016</v>
      </c>
      <c r="Z85" s="105">
        <v>45627</v>
      </c>
    </row>
    <row r="86" spans="1:26" x14ac:dyDescent="0.25">
      <c r="B86" s="204"/>
      <c r="D86" s="204"/>
      <c r="E86" s="204" t="s">
        <v>2417</v>
      </c>
      <c r="G86" s="105"/>
      <c r="H86" s="105"/>
      <c r="I86" s="105"/>
      <c r="J86" s="204"/>
      <c r="K86" s="105"/>
      <c r="L86" s="105"/>
      <c r="N86" s="204"/>
      <c r="O86" s="204"/>
      <c r="S86" s="204"/>
      <c r="Z86" s="105"/>
    </row>
    <row r="87" spans="1:26" x14ac:dyDescent="0.25">
      <c r="A87">
        <v>99</v>
      </c>
      <c r="B87" s="204" t="s">
        <v>331</v>
      </c>
      <c r="C87">
        <v>11411</v>
      </c>
      <c r="D87" s="204" t="s">
        <v>21</v>
      </c>
      <c r="E87" s="204" t="s">
        <v>308</v>
      </c>
      <c r="F87">
        <v>389</v>
      </c>
      <c r="G87" s="105">
        <v>44105</v>
      </c>
      <c r="H87" s="105">
        <v>45505</v>
      </c>
      <c r="I87" s="105"/>
      <c r="J87" s="204" t="s">
        <v>206</v>
      </c>
      <c r="K87" s="105"/>
      <c r="L87" s="105">
        <v>45805</v>
      </c>
      <c r="M87">
        <v>45259</v>
      </c>
      <c r="N87" s="204" t="s">
        <v>204</v>
      </c>
      <c r="O87" s="204"/>
      <c r="Q87" t="s">
        <v>2218</v>
      </c>
      <c r="R87">
        <v>22311</v>
      </c>
      <c r="S87" s="204" t="s">
        <v>2193</v>
      </c>
      <c r="T87">
        <v>63</v>
      </c>
      <c r="U87">
        <v>618531701</v>
      </c>
      <c r="W87" t="s">
        <v>2219</v>
      </c>
      <c r="Z87" s="105"/>
    </row>
    <row r="88" spans="1:26" x14ac:dyDescent="0.25">
      <c r="A88">
        <v>96</v>
      </c>
      <c r="B88" s="204" t="s">
        <v>328</v>
      </c>
      <c r="C88">
        <v>11414</v>
      </c>
      <c r="D88" s="204" t="s">
        <v>22</v>
      </c>
      <c r="E88" s="204" t="s">
        <v>308</v>
      </c>
      <c r="F88">
        <v>389</v>
      </c>
      <c r="G88" s="105">
        <v>44417</v>
      </c>
      <c r="H88" s="105">
        <v>45505</v>
      </c>
      <c r="I88" s="105"/>
      <c r="J88" s="204" t="s">
        <v>206</v>
      </c>
      <c r="K88" s="105"/>
      <c r="L88" s="105">
        <v>45805</v>
      </c>
      <c r="M88">
        <v>45259</v>
      </c>
      <c r="N88" s="204" t="s">
        <v>204</v>
      </c>
      <c r="O88" s="204" t="s">
        <v>2220</v>
      </c>
      <c r="Q88" t="s">
        <v>2190</v>
      </c>
      <c r="R88">
        <v>26355</v>
      </c>
      <c r="S88" s="204" t="s">
        <v>2193</v>
      </c>
      <c r="T88">
        <v>52</v>
      </c>
      <c r="U88">
        <v>632488407</v>
      </c>
      <c r="W88" t="s">
        <v>2221</v>
      </c>
      <c r="X88" t="s">
        <v>2198</v>
      </c>
      <c r="Y88">
        <v>3000</v>
      </c>
      <c r="Z88" s="105"/>
    </row>
    <row r="89" spans="1:26" x14ac:dyDescent="0.25">
      <c r="A89">
        <v>85</v>
      </c>
      <c r="B89" s="204" t="s">
        <v>316</v>
      </c>
      <c r="C89">
        <v>11453</v>
      </c>
      <c r="D89" s="204" t="s">
        <v>23</v>
      </c>
      <c r="E89" s="204" t="s">
        <v>308</v>
      </c>
      <c r="F89">
        <v>300</v>
      </c>
      <c r="G89" s="105">
        <v>44652</v>
      </c>
      <c r="H89" s="105">
        <v>45505</v>
      </c>
      <c r="I89" s="105"/>
      <c r="J89" s="204" t="s">
        <v>206</v>
      </c>
      <c r="K89" s="105"/>
      <c r="L89" s="105">
        <v>45805</v>
      </c>
      <c r="M89" t="s">
        <v>204</v>
      </c>
      <c r="N89" s="204" t="s">
        <v>204</v>
      </c>
      <c r="O89" s="204"/>
      <c r="Q89" t="s">
        <v>2190</v>
      </c>
      <c r="R89">
        <v>27760</v>
      </c>
      <c r="S89" s="204" t="s">
        <v>2193</v>
      </c>
      <c r="T89">
        <v>48</v>
      </c>
      <c r="U89">
        <v>632331217</v>
      </c>
      <c r="V89" t="s">
        <v>2222</v>
      </c>
      <c r="W89" t="s">
        <v>2223</v>
      </c>
      <c r="Z89" s="105"/>
    </row>
    <row r="90" spans="1:26" x14ac:dyDescent="0.25">
      <c r="A90">
        <v>83</v>
      </c>
      <c r="B90" s="204" t="s">
        <v>333</v>
      </c>
      <c r="C90">
        <v>11451</v>
      </c>
      <c r="D90" s="204" t="s">
        <v>334</v>
      </c>
      <c r="E90" s="204" t="s">
        <v>308</v>
      </c>
      <c r="F90">
        <v>300</v>
      </c>
      <c r="G90" s="105">
        <v>32005</v>
      </c>
      <c r="H90" s="105">
        <v>45566</v>
      </c>
      <c r="I90" s="105"/>
      <c r="J90" s="204" t="s">
        <v>206</v>
      </c>
      <c r="K90" s="105"/>
      <c r="L90" s="105">
        <v>45866</v>
      </c>
      <c r="M90">
        <v>45259</v>
      </c>
      <c r="N90" s="204" t="s">
        <v>204</v>
      </c>
      <c r="O90" s="204"/>
      <c r="Q90" t="s">
        <v>2190</v>
      </c>
      <c r="R90">
        <v>23019</v>
      </c>
      <c r="S90" s="204" t="s">
        <v>2191</v>
      </c>
      <c r="T90">
        <v>61</v>
      </c>
      <c r="U90">
        <v>646442809</v>
      </c>
      <c r="W90" t="s">
        <v>2224</v>
      </c>
      <c r="Z90" s="105"/>
    </row>
    <row r="91" spans="1:26" x14ac:dyDescent="0.25">
      <c r="A91">
        <v>97</v>
      </c>
      <c r="B91" s="204" t="s">
        <v>329</v>
      </c>
      <c r="C91">
        <v>11415</v>
      </c>
      <c r="D91" s="204" t="s">
        <v>25</v>
      </c>
      <c r="E91" s="204" t="s">
        <v>308</v>
      </c>
      <c r="F91">
        <v>300</v>
      </c>
      <c r="G91" s="105">
        <v>44774</v>
      </c>
      <c r="H91" s="105">
        <v>45505</v>
      </c>
      <c r="I91" s="105"/>
      <c r="J91" s="204" t="s">
        <v>206</v>
      </c>
      <c r="K91" s="105"/>
      <c r="L91" s="105">
        <v>45805</v>
      </c>
      <c r="M91">
        <v>45259</v>
      </c>
      <c r="N91" s="204" t="s">
        <v>204</v>
      </c>
      <c r="O91" s="204" t="s">
        <v>2225</v>
      </c>
      <c r="Q91" t="s">
        <v>2190</v>
      </c>
      <c r="R91">
        <v>29952</v>
      </c>
      <c r="S91" s="204" t="s">
        <v>2193</v>
      </c>
      <c r="T91">
        <v>42</v>
      </c>
      <c r="U91">
        <v>612572316</v>
      </c>
      <c r="V91" t="s">
        <v>736</v>
      </c>
      <c r="W91" t="s">
        <v>2226</v>
      </c>
      <c r="Z91" s="105"/>
    </row>
    <row r="92" spans="1:26" x14ac:dyDescent="0.25">
      <c r="A92">
        <v>108</v>
      </c>
      <c r="B92" s="204" t="s">
        <v>306</v>
      </c>
      <c r="C92">
        <v>11360</v>
      </c>
      <c r="D92" s="204" t="s">
        <v>307</v>
      </c>
      <c r="E92" s="204" t="s">
        <v>308</v>
      </c>
      <c r="F92">
        <v>300</v>
      </c>
      <c r="G92" s="105">
        <v>44652</v>
      </c>
      <c r="H92" s="105">
        <v>44998</v>
      </c>
      <c r="I92" s="105">
        <v>45352</v>
      </c>
      <c r="J92" s="204" t="s">
        <v>203</v>
      </c>
      <c r="K92" s="105">
        <v>45397</v>
      </c>
      <c r="L92" s="105"/>
      <c r="N92" s="204"/>
      <c r="O92" s="204"/>
      <c r="Q92" t="s">
        <v>2190</v>
      </c>
      <c r="S92" s="204" t="s">
        <v>2193</v>
      </c>
      <c r="T92">
        <v>0</v>
      </c>
      <c r="Z92" s="105"/>
    </row>
    <row r="93" spans="1:26" x14ac:dyDescent="0.25">
      <c r="A93">
        <v>86</v>
      </c>
      <c r="B93" s="204" t="s">
        <v>317</v>
      </c>
      <c r="C93">
        <v>11503</v>
      </c>
      <c r="D93" s="204" t="s">
        <v>16</v>
      </c>
      <c r="E93" s="204" t="s">
        <v>308</v>
      </c>
      <c r="F93">
        <v>300</v>
      </c>
      <c r="G93" s="105">
        <v>37956</v>
      </c>
      <c r="H93" s="105">
        <v>45516</v>
      </c>
      <c r="I93" s="105"/>
      <c r="J93" s="204" t="s">
        <v>206</v>
      </c>
      <c r="K93" s="105"/>
      <c r="L93" s="105">
        <v>45816</v>
      </c>
      <c r="M93">
        <v>45259</v>
      </c>
      <c r="N93" s="204" t="s">
        <v>204</v>
      </c>
      <c r="O93" s="204" t="s">
        <v>2227</v>
      </c>
      <c r="Q93" t="s">
        <v>2190</v>
      </c>
      <c r="R93">
        <v>29407</v>
      </c>
      <c r="S93" s="204" t="s">
        <v>2191</v>
      </c>
      <c r="T93">
        <v>44</v>
      </c>
      <c r="U93">
        <v>619287255</v>
      </c>
      <c r="V93" t="s">
        <v>748</v>
      </c>
      <c r="W93" t="s">
        <v>2228</v>
      </c>
      <c r="Z93" s="105"/>
    </row>
    <row r="94" spans="1:26" x14ac:dyDescent="0.25">
      <c r="A94">
        <v>95</v>
      </c>
      <c r="B94" s="204" t="s">
        <v>327</v>
      </c>
      <c r="C94">
        <v>11413</v>
      </c>
      <c r="D94" s="204" t="s">
        <v>26</v>
      </c>
      <c r="E94" s="204" t="s">
        <v>308</v>
      </c>
      <c r="F94">
        <v>300</v>
      </c>
      <c r="G94" s="105">
        <v>44166</v>
      </c>
      <c r="H94" s="105">
        <v>45505</v>
      </c>
      <c r="I94" s="105"/>
      <c r="J94" s="204" t="s">
        <v>206</v>
      </c>
      <c r="K94" s="105"/>
      <c r="L94" s="105">
        <v>45805</v>
      </c>
      <c r="M94">
        <v>45259</v>
      </c>
      <c r="N94" s="204" t="s">
        <v>204</v>
      </c>
      <c r="O94" s="204" t="s">
        <v>2229</v>
      </c>
      <c r="Q94" t="s">
        <v>2190</v>
      </c>
      <c r="R94">
        <v>29586</v>
      </c>
      <c r="S94" s="204" t="s">
        <v>2193</v>
      </c>
      <c r="T94">
        <v>43</v>
      </c>
      <c r="U94">
        <v>631462118</v>
      </c>
      <c r="W94" t="s">
        <v>2230</v>
      </c>
      <c r="X94" t="s">
        <v>2198</v>
      </c>
      <c r="Y94">
        <v>3000</v>
      </c>
      <c r="Z94" s="105"/>
    </row>
    <row r="95" spans="1:26" x14ac:dyDescent="0.25">
      <c r="A95">
        <v>87</v>
      </c>
      <c r="B95" s="204" t="s">
        <v>318</v>
      </c>
      <c r="C95">
        <v>11450</v>
      </c>
      <c r="D95" s="204" t="s">
        <v>27</v>
      </c>
      <c r="E95" s="204" t="s">
        <v>308</v>
      </c>
      <c r="F95">
        <v>300</v>
      </c>
      <c r="G95" s="105">
        <v>37956</v>
      </c>
      <c r="H95" s="105">
        <v>45524</v>
      </c>
      <c r="I95" s="105"/>
      <c r="J95" s="204" t="s">
        <v>206</v>
      </c>
      <c r="K95" s="105"/>
      <c r="L95" s="105">
        <v>45824</v>
      </c>
      <c r="M95">
        <v>45259</v>
      </c>
      <c r="N95" s="204" t="s">
        <v>204</v>
      </c>
      <c r="O95" s="204" t="s">
        <v>2231</v>
      </c>
      <c r="Q95" t="s">
        <v>2218</v>
      </c>
      <c r="R95">
        <v>25965</v>
      </c>
      <c r="S95" s="204" t="s">
        <v>2193</v>
      </c>
      <c r="T95">
        <v>53</v>
      </c>
      <c r="U95">
        <v>616460839</v>
      </c>
      <c r="W95" t="s">
        <v>2232</v>
      </c>
      <c r="X95" t="s">
        <v>2198</v>
      </c>
      <c r="Y95">
        <v>3000</v>
      </c>
      <c r="Z95" s="105"/>
    </row>
    <row r="96" spans="1:26" x14ac:dyDescent="0.25">
      <c r="A96">
        <v>112</v>
      </c>
      <c r="B96" s="204" t="s">
        <v>345</v>
      </c>
      <c r="C96">
        <v>11473</v>
      </c>
      <c r="D96" s="204" t="s">
        <v>28</v>
      </c>
      <c r="E96" s="204" t="s">
        <v>308</v>
      </c>
      <c r="F96">
        <v>300</v>
      </c>
      <c r="G96" s="105">
        <v>45362</v>
      </c>
      <c r="H96" s="105">
        <v>45505</v>
      </c>
      <c r="I96" s="105"/>
      <c r="J96" s="204" t="s">
        <v>206</v>
      </c>
      <c r="K96" s="105"/>
      <c r="L96" s="105">
        <v>45805</v>
      </c>
      <c r="M96" t="s">
        <v>208</v>
      </c>
      <c r="N96" s="204" t="s">
        <v>208</v>
      </c>
      <c r="O96" s="204" t="s">
        <v>2233</v>
      </c>
      <c r="P96">
        <v>47115</v>
      </c>
      <c r="Q96" t="s">
        <v>2190</v>
      </c>
      <c r="R96">
        <v>28525</v>
      </c>
      <c r="S96" s="204" t="s">
        <v>2193</v>
      </c>
      <c r="T96">
        <v>46</v>
      </c>
      <c r="W96" t="s">
        <v>2234</v>
      </c>
      <c r="Y96">
        <v>3204</v>
      </c>
      <c r="Z96" s="105"/>
    </row>
    <row r="97" spans="1:26" x14ac:dyDescent="0.25">
      <c r="A97">
        <v>107</v>
      </c>
      <c r="B97" s="204" t="s">
        <v>309</v>
      </c>
      <c r="C97">
        <v>11454</v>
      </c>
      <c r="D97" s="204" t="s">
        <v>29</v>
      </c>
      <c r="E97" s="204" t="s">
        <v>308</v>
      </c>
      <c r="F97">
        <v>300</v>
      </c>
      <c r="G97" s="105">
        <v>44844</v>
      </c>
      <c r="H97" s="105">
        <v>45187</v>
      </c>
      <c r="I97" s="105">
        <v>45418</v>
      </c>
      <c r="J97" s="204" t="s">
        <v>203</v>
      </c>
      <c r="K97" s="105">
        <v>45463</v>
      </c>
      <c r="L97" s="105"/>
      <c r="M97">
        <v>45259</v>
      </c>
      <c r="N97" s="204" t="s">
        <v>204</v>
      </c>
      <c r="O97" s="204"/>
      <c r="Q97" t="s">
        <v>2190</v>
      </c>
      <c r="R97">
        <v>24108</v>
      </c>
      <c r="S97" s="204" t="s">
        <v>2193</v>
      </c>
      <c r="T97">
        <v>58</v>
      </c>
      <c r="U97">
        <v>632559062</v>
      </c>
      <c r="V97" t="s">
        <v>2235</v>
      </c>
      <c r="W97" t="s">
        <v>2236</v>
      </c>
      <c r="Z97" s="105"/>
    </row>
    <row r="98" spans="1:26" x14ac:dyDescent="0.25">
      <c r="A98">
        <v>103</v>
      </c>
      <c r="B98" s="204" t="s">
        <v>336</v>
      </c>
      <c r="C98">
        <v>11479</v>
      </c>
      <c r="D98" s="204" t="s">
        <v>30</v>
      </c>
      <c r="E98" s="204" t="s">
        <v>308</v>
      </c>
      <c r="F98">
        <v>300</v>
      </c>
      <c r="G98" s="105">
        <v>44872</v>
      </c>
      <c r="H98" s="105">
        <v>45362</v>
      </c>
      <c r="I98" s="105"/>
      <c r="J98" s="204" t="s">
        <v>206</v>
      </c>
      <c r="K98" s="105"/>
      <c r="L98" s="105">
        <v>45662</v>
      </c>
      <c r="M98">
        <v>45259</v>
      </c>
      <c r="N98" s="204" t="s">
        <v>204</v>
      </c>
      <c r="O98" s="204" t="s">
        <v>2237</v>
      </c>
      <c r="Q98" t="s">
        <v>2190</v>
      </c>
      <c r="R98">
        <v>23377</v>
      </c>
      <c r="S98" s="204" t="s">
        <v>2191</v>
      </c>
      <c r="T98">
        <v>60</v>
      </c>
      <c r="W98" t="s">
        <v>2238</v>
      </c>
      <c r="X98" t="s">
        <v>2213</v>
      </c>
      <c r="Y98">
        <v>3000</v>
      </c>
      <c r="Z98" s="105"/>
    </row>
    <row r="99" spans="1:26" x14ac:dyDescent="0.25">
      <c r="A99">
        <v>105</v>
      </c>
      <c r="B99" s="204" t="s">
        <v>312</v>
      </c>
      <c r="C99">
        <v>11489</v>
      </c>
      <c r="D99" s="204" t="s">
        <v>31</v>
      </c>
      <c r="E99" s="204" t="s">
        <v>308</v>
      </c>
      <c r="F99">
        <v>300</v>
      </c>
      <c r="G99" s="105">
        <v>45378</v>
      </c>
      <c r="H99" s="105">
        <v>45378</v>
      </c>
      <c r="I99" s="105">
        <v>45443</v>
      </c>
      <c r="J99" s="204" t="s">
        <v>203</v>
      </c>
      <c r="K99" s="105">
        <v>45488</v>
      </c>
      <c r="L99" s="105"/>
      <c r="M99" t="s">
        <v>208</v>
      </c>
      <c r="N99" s="204" t="s">
        <v>208</v>
      </c>
      <c r="O99" s="204"/>
      <c r="Q99" t="s">
        <v>2190</v>
      </c>
      <c r="S99" s="204" t="s">
        <v>2193</v>
      </c>
      <c r="T99">
        <v>124</v>
      </c>
      <c r="Z99" s="105"/>
    </row>
    <row r="100" spans="1:26" x14ac:dyDescent="0.25">
      <c r="A100">
        <v>92</v>
      </c>
      <c r="B100" s="204" t="s">
        <v>323</v>
      </c>
      <c r="C100">
        <v>11423</v>
      </c>
      <c r="D100" s="204" t="s">
        <v>32</v>
      </c>
      <c r="E100" s="204" t="s">
        <v>308</v>
      </c>
      <c r="F100">
        <v>389</v>
      </c>
      <c r="G100" s="105">
        <v>44166</v>
      </c>
      <c r="H100" s="105">
        <v>45505</v>
      </c>
      <c r="I100" s="105"/>
      <c r="J100" s="204" t="s">
        <v>206</v>
      </c>
      <c r="K100" s="105"/>
      <c r="L100" s="105">
        <v>45805</v>
      </c>
      <c r="M100">
        <v>45259</v>
      </c>
      <c r="N100" s="204" t="s">
        <v>204</v>
      </c>
      <c r="O100" s="204" t="s">
        <v>2239</v>
      </c>
      <c r="Q100" t="s">
        <v>2190</v>
      </c>
      <c r="R100">
        <v>25569</v>
      </c>
      <c r="S100" s="204" t="s">
        <v>2193</v>
      </c>
      <c r="T100">
        <v>54</v>
      </c>
      <c r="U100">
        <v>625299612</v>
      </c>
      <c r="W100" t="s">
        <v>2240</v>
      </c>
      <c r="X100" t="s">
        <v>2198</v>
      </c>
      <c r="Y100">
        <v>3000</v>
      </c>
      <c r="Z100" s="105"/>
    </row>
    <row r="101" spans="1:26" x14ac:dyDescent="0.25">
      <c r="A101">
        <v>78</v>
      </c>
      <c r="B101" s="204" t="s">
        <v>324</v>
      </c>
      <c r="C101">
        <v>11464</v>
      </c>
      <c r="D101" s="204" t="s">
        <v>325</v>
      </c>
      <c r="E101" s="204" t="s">
        <v>308</v>
      </c>
      <c r="F101">
        <v>300</v>
      </c>
      <c r="G101" s="105">
        <v>44641</v>
      </c>
      <c r="H101" s="105">
        <v>45224</v>
      </c>
      <c r="I101" s="105">
        <v>45476</v>
      </c>
      <c r="J101" s="204" t="s">
        <v>203</v>
      </c>
      <c r="K101" s="105">
        <v>45521</v>
      </c>
      <c r="L101" s="105"/>
      <c r="M101">
        <v>45259</v>
      </c>
      <c r="N101" s="204" t="s">
        <v>204</v>
      </c>
      <c r="O101" s="204"/>
      <c r="Q101" t="s">
        <v>2190</v>
      </c>
      <c r="R101">
        <v>28889</v>
      </c>
      <c r="S101" s="204" t="s">
        <v>2193</v>
      </c>
      <c r="T101">
        <v>45</v>
      </c>
      <c r="U101">
        <v>657038855</v>
      </c>
      <c r="W101" t="s">
        <v>2241</v>
      </c>
      <c r="Z101" s="105"/>
    </row>
    <row r="102" spans="1:26" x14ac:dyDescent="0.25">
      <c r="A102">
        <v>106</v>
      </c>
      <c r="B102" s="204" t="s">
        <v>319</v>
      </c>
      <c r="C102">
        <v>11492</v>
      </c>
      <c r="D102" s="204" t="s">
        <v>94</v>
      </c>
      <c r="E102" s="204" t="s">
        <v>308</v>
      </c>
      <c r="F102">
        <v>300</v>
      </c>
      <c r="G102" s="105">
        <v>45384</v>
      </c>
      <c r="H102" s="105">
        <v>45384</v>
      </c>
      <c r="I102" s="105">
        <v>45450</v>
      </c>
      <c r="J102" s="204" t="s">
        <v>203</v>
      </c>
      <c r="K102" s="105">
        <v>45495</v>
      </c>
      <c r="L102" s="105"/>
      <c r="N102" s="204"/>
      <c r="O102" s="204"/>
      <c r="Q102" t="s">
        <v>2190</v>
      </c>
      <c r="R102">
        <v>29181</v>
      </c>
      <c r="S102" s="204" t="s">
        <v>2193</v>
      </c>
      <c r="T102">
        <v>44</v>
      </c>
      <c r="Z102" s="105"/>
    </row>
    <row r="103" spans="1:26" x14ac:dyDescent="0.25">
      <c r="A103">
        <v>77</v>
      </c>
      <c r="B103" s="204" t="s">
        <v>344</v>
      </c>
      <c r="C103">
        <v>11465</v>
      </c>
      <c r="D103" s="204" t="s">
        <v>33</v>
      </c>
      <c r="E103" s="204" t="s">
        <v>308</v>
      </c>
      <c r="F103">
        <v>300</v>
      </c>
      <c r="G103" s="105">
        <v>44652</v>
      </c>
      <c r="H103" s="105">
        <v>45229</v>
      </c>
      <c r="I103" s="105">
        <v>45512</v>
      </c>
      <c r="J103" s="204" t="s">
        <v>203</v>
      </c>
      <c r="K103" s="105">
        <v>45557</v>
      </c>
      <c r="L103" s="105"/>
      <c r="M103">
        <v>45259</v>
      </c>
      <c r="N103" s="204" t="s">
        <v>204</v>
      </c>
      <c r="O103" s="204"/>
      <c r="Q103" t="s">
        <v>2218</v>
      </c>
      <c r="R103">
        <v>25542</v>
      </c>
      <c r="S103" s="204" t="s">
        <v>2193</v>
      </c>
      <c r="T103">
        <v>54</v>
      </c>
      <c r="U103">
        <v>631014935</v>
      </c>
      <c r="W103" t="s">
        <v>2242</v>
      </c>
      <c r="Z103" s="105"/>
    </row>
    <row r="104" spans="1:26" x14ac:dyDescent="0.25">
      <c r="A104">
        <v>104</v>
      </c>
      <c r="B104" s="204" t="s">
        <v>315</v>
      </c>
      <c r="C104">
        <v>11474</v>
      </c>
      <c r="D104" s="204" t="s">
        <v>34</v>
      </c>
      <c r="E104" s="204" t="s">
        <v>308</v>
      </c>
      <c r="F104">
        <v>300</v>
      </c>
      <c r="G104" s="105">
        <v>45362</v>
      </c>
      <c r="H104" s="105">
        <v>45362</v>
      </c>
      <c r="I104" s="105">
        <v>45446</v>
      </c>
      <c r="J104" s="204" t="s">
        <v>203</v>
      </c>
      <c r="K104" s="105">
        <v>45491</v>
      </c>
      <c r="L104" s="105"/>
      <c r="M104" t="s">
        <v>208</v>
      </c>
      <c r="N104" s="204" t="s">
        <v>208</v>
      </c>
      <c r="O104" s="204"/>
      <c r="Q104" t="s">
        <v>2190</v>
      </c>
      <c r="R104">
        <v>30233</v>
      </c>
      <c r="S104" s="204" t="s">
        <v>2193</v>
      </c>
      <c r="T104">
        <v>42</v>
      </c>
      <c r="Z104" s="105"/>
    </row>
    <row r="105" spans="1:26" x14ac:dyDescent="0.25">
      <c r="A105">
        <v>109</v>
      </c>
      <c r="B105" s="204" t="s">
        <v>342</v>
      </c>
      <c r="C105">
        <v>11292</v>
      </c>
      <c r="D105" s="204" t="s">
        <v>4</v>
      </c>
      <c r="E105" s="204" t="s">
        <v>308</v>
      </c>
      <c r="F105">
        <v>100</v>
      </c>
      <c r="G105" s="105">
        <v>43318</v>
      </c>
      <c r="H105" s="105">
        <v>44768</v>
      </c>
      <c r="I105" s="105"/>
      <c r="J105" s="204" t="s">
        <v>206</v>
      </c>
      <c r="K105" s="105"/>
      <c r="L105" s="105"/>
      <c r="M105">
        <v>45259</v>
      </c>
      <c r="N105" s="204" t="s">
        <v>204</v>
      </c>
      <c r="O105" s="204" t="s">
        <v>2243</v>
      </c>
      <c r="Q105" t="s">
        <v>2244</v>
      </c>
      <c r="R105">
        <v>30666</v>
      </c>
      <c r="S105" s="204" t="s">
        <v>2193</v>
      </c>
      <c r="T105">
        <v>40</v>
      </c>
      <c r="U105">
        <v>628771861</v>
      </c>
      <c r="V105" t="s">
        <v>764</v>
      </c>
      <c r="W105" t="s">
        <v>2228</v>
      </c>
      <c r="Z105" s="105"/>
    </row>
    <row r="106" spans="1:26" x14ac:dyDescent="0.25">
      <c r="A106">
        <v>79</v>
      </c>
      <c r="B106" s="204" t="s">
        <v>341</v>
      </c>
      <c r="C106">
        <v>11462</v>
      </c>
      <c r="D106" s="204" t="s">
        <v>35</v>
      </c>
      <c r="E106" s="204" t="s">
        <v>308</v>
      </c>
      <c r="F106">
        <v>300</v>
      </c>
      <c r="G106" s="105">
        <v>36404</v>
      </c>
      <c r="H106" s="105">
        <v>45222</v>
      </c>
      <c r="I106" s="105">
        <v>45504</v>
      </c>
      <c r="J106" s="204" t="s">
        <v>203</v>
      </c>
      <c r="K106" s="105">
        <v>45549</v>
      </c>
      <c r="L106" s="105"/>
      <c r="M106">
        <v>45259</v>
      </c>
      <c r="N106" s="204" t="s">
        <v>204</v>
      </c>
      <c r="O106" s="204"/>
      <c r="Q106" t="s">
        <v>2190</v>
      </c>
      <c r="R106">
        <v>27608</v>
      </c>
      <c r="S106" s="204" t="s">
        <v>2191</v>
      </c>
      <c r="T106">
        <v>49</v>
      </c>
      <c r="U106">
        <v>666644240</v>
      </c>
      <c r="W106" t="s">
        <v>2245</v>
      </c>
      <c r="Z106" s="105"/>
    </row>
    <row r="107" spans="1:26" x14ac:dyDescent="0.25">
      <c r="A107">
        <v>89</v>
      </c>
      <c r="B107" s="204" t="s">
        <v>320</v>
      </c>
      <c r="C107">
        <v>11441</v>
      </c>
      <c r="D107" s="204" t="s">
        <v>36</v>
      </c>
      <c r="E107" s="204" t="s">
        <v>308</v>
      </c>
      <c r="F107">
        <v>300</v>
      </c>
      <c r="G107" s="105">
        <v>44623</v>
      </c>
      <c r="H107" s="105">
        <v>45524</v>
      </c>
      <c r="I107" s="105"/>
      <c r="J107" s="204" t="s">
        <v>206</v>
      </c>
      <c r="K107" s="105"/>
      <c r="L107" s="105">
        <v>45824</v>
      </c>
      <c r="M107">
        <v>45259</v>
      </c>
      <c r="N107" s="204" t="s">
        <v>204</v>
      </c>
      <c r="O107" s="204" t="s">
        <v>2246</v>
      </c>
      <c r="Q107" t="s">
        <v>2190</v>
      </c>
      <c r="R107">
        <v>35958</v>
      </c>
      <c r="S107" s="204" t="s">
        <v>2193</v>
      </c>
      <c r="T107">
        <v>26</v>
      </c>
      <c r="U107">
        <v>609465446</v>
      </c>
      <c r="V107" t="s">
        <v>757</v>
      </c>
      <c r="W107" t="s">
        <v>2247</v>
      </c>
      <c r="X107" t="s">
        <v>2248</v>
      </c>
      <c r="Y107">
        <v>3000</v>
      </c>
      <c r="Z107" s="105"/>
    </row>
    <row r="108" spans="1:26" x14ac:dyDescent="0.25">
      <c r="A108">
        <v>110</v>
      </c>
      <c r="B108" s="204" t="s">
        <v>343</v>
      </c>
      <c r="C108">
        <v>11376</v>
      </c>
      <c r="D108" s="204" t="s">
        <v>37</v>
      </c>
      <c r="E108" s="204" t="s">
        <v>308</v>
      </c>
      <c r="F108">
        <v>100</v>
      </c>
      <c r="G108" s="105">
        <v>45048</v>
      </c>
      <c r="H108" s="105">
        <v>45048</v>
      </c>
      <c r="I108" s="105"/>
      <c r="J108" s="204" t="s">
        <v>206</v>
      </c>
      <c r="K108" s="105"/>
      <c r="L108" s="105">
        <v>45348</v>
      </c>
      <c r="M108">
        <v>45259</v>
      </c>
      <c r="N108" s="204" t="s">
        <v>204</v>
      </c>
      <c r="O108" s="204" t="s">
        <v>2249</v>
      </c>
      <c r="Q108" t="s">
        <v>2250</v>
      </c>
      <c r="R108">
        <v>34438</v>
      </c>
      <c r="S108" s="204" t="s">
        <v>2193</v>
      </c>
      <c r="T108">
        <v>30</v>
      </c>
      <c r="U108">
        <v>615349753</v>
      </c>
      <c r="V108" t="s">
        <v>769</v>
      </c>
      <c r="W108" t="s">
        <v>2251</v>
      </c>
      <c r="X108" t="s">
        <v>2198</v>
      </c>
      <c r="Y108">
        <v>3000</v>
      </c>
      <c r="Z108" s="105"/>
    </row>
    <row r="109" spans="1:26" x14ac:dyDescent="0.25">
      <c r="A109">
        <v>91</v>
      </c>
      <c r="B109" s="204" t="s">
        <v>322</v>
      </c>
      <c r="C109">
        <v>11420</v>
      </c>
      <c r="D109" s="204" t="s">
        <v>38</v>
      </c>
      <c r="E109" s="204" t="s">
        <v>308</v>
      </c>
      <c r="F109">
        <v>300</v>
      </c>
      <c r="G109" s="105">
        <v>44795</v>
      </c>
      <c r="H109" s="105">
        <v>45505</v>
      </c>
      <c r="I109" s="105"/>
      <c r="J109" s="204" t="s">
        <v>206</v>
      </c>
      <c r="K109" s="105"/>
      <c r="L109" s="105">
        <v>45805</v>
      </c>
      <c r="M109">
        <v>45259</v>
      </c>
      <c r="N109" s="204" t="s">
        <v>204</v>
      </c>
      <c r="O109" s="204" t="s">
        <v>2252</v>
      </c>
      <c r="Q109" t="s">
        <v>2190</v>
      </c>
      <c r="R109">
        <v>24838</v>
      </c>
      <c r="S109" s="204" t="s">
        <v>2193</v>
      </c>
      <c r="T109">
        <v>56</v>
      </c>
      <c r="V109" t="s">
        <v>719</v>
      </c>
      <c r="W109" t="s">
        <v>2253</v>
      </c>
      <c r="Z109" s="105"/>
    </row>
    <row r="110" spans="1:26" x14ac:dyDescent="0.25">
      <c r="A110">
        <v>88</v>
      </c>
      <c r="B110" s="204" t="s">
        <v>314</v>
      </c>
      <c r="C110">
        <v>11442</v>
      </c>
      <c r="D110" s="204" t="s">
        <v>39</v>
      </c>
      <c r="E110" s="204" t="s">
        <v>308</v>
      </c>
      <c r="F110">
        <v>300</v>
      </c>
      <c r="G110" s="105">
        <v>37956</v>
      </c>
      <c r="H110" s="105">
        <v>45566</v>
      </c>
      <c r="I110" s="105"/>
      <c r="J110" s="204" t="s">
        <v>206</v>
      </c>
      <c r="K110" s="105">
        <v>45</v>
      </c>
      <c r="L110" s="105">
        <v>45866</v>
      </c>
      <c r="M110">
        <v>45259</v>
      </c>
      <c r="N110" s="204" t="s">
        <v>208</v>
      </c>
      <c r="O110" s="204"/>
      <c r="Q110" t="s">
        <v>2190</v>
      </c>
      <c r="R110">
        <v>21287</v>
      </c>
      <c r="S110" s="204" t="s">
        <v>2193</v>
      </c>
      <c r="T110">
        <v>66</v>
      </c>
      <c r="U110">
        <v>658926735</v>
      </c>
      <c r="V110" t="s">
        <v>2254</v>
      </c>
      <c r="W110" t="s">
        <v>2255</v>
      </c>
      <c r="Z110" s="105"/>
    </row>
    <row r="111" spans="1:26" x14ac:dyDescent="0.25">
      <c r="A111">
        <v>101</v>
      </c>
      <c r="B111" s="204" t="s">
        <v>338</v>
      </c>
      <c r="C111">
        <v>11471</v>
      </c>
      <c r="D111" s="204" t="s">
        <v>41</v>
      </c>
      <c r="E111" s="204" t="s">
        <v>308</v>
      </c>
      <c r="F111">
        <v>300</v>
      </c>
      <c r="G111" s="105">
        <v>45054</v>
      </c>
      <c r="H111" s="105">
        <v>45355</v>
      </c>
      <c r="I111" s="105">
        <v>45476</v>
      </c>
      <c r="J111" s="204" t="s">
        <v>203</v>
      </c>
      <c r="K111" s="105">
        <v>45521</v>
      </c>
      <c r="L111" s="105"/>
      <c r="M111">
        <v>45259</v>
      </c>
      <c r="N111" s="204" t="s">
        <v>208</v>
      </c>
      <c r="O111" s="204"/>
      <c r="Q111" t="s">
        <v>2190</v>
      </c>
      <c r="R111">
        <v>31117</v>
      </c>
      <c r="S111" s="204" t="s">
        <v>2193</v>
      </c>
      <c r="T111">
        <v>39</v>
      </c>
      <c r="U111">
        <v>698229394</v>
      </c>
      <c r="V111" t="s">
        <v>2256</v>
      </c>
      <c r="W111" t="s">
        <v>2257</v>
      </c>
      <c r="Z111" s="105"/>
    </row>
    <row r="112" spans="1:26" x14ac:dyDescent="0.25">
      <c r="A112">
        <v>102</v>
      </c>
      <c r="B112" s="204" t="s">
        <v>339</v>
      </c>
      <c r="C112">
        <v>11472</v>
      </c>
      <c r="D112" s="204" t="s">
        <v>42</v>
      </c>
      <c r="E112" s="204" t="s">
        <v>308</v>
      </c>
      <c r="F112">
        <v>300</v>
      </c>
      <c r="G112" s="105">
        <v>44844</v>
      </c>
      <c r="H112" s="105">
        <v>45551</v>
      </c>
      <c r="I112" s="105"/>
      <c r="J112" s="204" t="s">
        <v>206</v>
      </c>
      <c r="K112" s="105"/>
      <c r="L112" s="105"/>
      <c r="M112" t="s">
        <v>204</v>
      </c>
      <c r="N112" s="204" t="s">
        <v>208</v>
      </c>
      <c r="O112" s="204"/>
      <c r="Q112" t="s">
        <v>2190</v>
      </c>
      <c r="R112">
        <v>29587</v>
      </c>
      <c r="S112" s="204" t="s">
        <v>2193</v>
      </c>
      <c r="T112">
        <v>43</v>
      </c>
      <c r="Z112" s="105"/>
    </row>
    <row r="113" spans="1:26" x14ac:dyDescent="0.25">
      <c r="A113">
        <v>81</v>
      </c>
      <c r="B113" s="204" t="s">
        <v>332</v>
      </c>
      <c r="C113">
        <v>11460</v>
      </c>
      <c r="D113" s="204" t="s">
        <v>43</v>
      </c>
      <c r="E113" s="204" t="s">
        <v>308</v>
      </c>
      <c r="F113">
        <v>300</v>
      </c>
      <c r="G113" s="105">
        <v>36404</v>
      </c>
      <c r="H113" s="105">
        <v>45566</v>
      </c>
      <c r="I113" s="105"/>
      <c r="J113" s="204" t="s">
        <v>206</v>
      </c>
      <c r="K113" s="105"/>
      <c r="L113" s="105">
        <v>45866</v>
      </c>
      <c r="M113">
        <v>45259</v>
      </c>
      <c r="N113" s="204" t="s">
        <v>204</v>
      </c>
      <c r="O113" s="204"/>
      <c r="Q113" t="s">
        <v>2190</v>
      </c>
      <c r="R113">
        <v>28589</v>
      </c>
      <c r="S113" s="204" t="s">
        <v>2191</v>
      </c>
      <c r="T113">
        <v>46</v>
      </c>
      <c r="Z113" s="105"/>
    </row>
    <row r="114" spans="1:26" x14ac:dyDescent="0.25">
      <c r="A114">
        <v>90</v>
      </c>
      <c r="B114" s="204" t="s">
        <v>321</v>
      </c>
      <c r="C114">
        <v>11419</v>
      </c>
      <c r="D114" s="204" t="s">
        <v>44</v>
      </c>
      <c r="E114" s="204" t="s">
        <v>308</v>
      </c>
      <c r="F114">
        <v>300</v>
      </c>
      <c r="G114" s="105">
        <v>44105</v>
      </c>
      <c r="H114" s="105">
        <v>45506</v>
      </c>
      <c r="I114" s="105"/>
      <c r="J114" s="204" t="s">
        <v>206</v>
      </c>
      <c r="K114" s="105"/>
      <c r="L114" s="105">
        <v>45806</v>
      </c>
      <c r="M114">
        <v>45259</v>
      </c>
      <c r="N114" s="204" t="s">
        <v>204</v>
      </c>
      <c r="O114" s="204" t="s">
        <v>2258</v>
      </c>
      <c r="Q114" t="s">
        <v>2190</v>
      </c>
      <c r="R114">
        <v>24488</v>
      </c>
      <c r="S114" s="204" t="s">
        <v>2193</v>
      </c>
      <c r="T114">
        <v>57</v>
      </c>
      <c r="U114">
        <v>651751807</v>
      </c>
      <c r="W114" t="s">
        <v>2259</v>
      </c>
      <c r="X114" t="s">
        <v>2213</v>
      </c>
      <c r="Y114">
        <v>3000</v>
      </c>
      <c r="Z114" s="105"/>
    </row>
    <row r="115" spans="1:26" x14ac:dyDescent="0.25">
      <c r="A115">
        <v>98</v>
      </c>
      <c r="B115" s="204" t="s">
        <v>330</v>
      </c>
      <c r="C115">
        <v>11416</v>
      </c>
      <c r="D115" s="204" t="s">
        <v>45</v>
      </c>
      <c r="E115" s="204" t="s">
        <v>308</v>
      </c>
      <c r="F115">
        <v>300</v>
      </c>
      <c r="G115" s="105">
        <v>44774</v>
      </c>
      <c r="H115" s="105">
        <v>45505</v>
      </c>
      <c r="I115" s="105"/>
      <c r="J115" s="204" t="s">
        <v>206</v>
      </c>
      <c r="K115" s="105"/>
      <c r="L115" s="105">
        <v>45805</v>
      </c>
      <c r="M115">
        <v>45259</v>
      </c>
      <c r="N115" s="204" t="s">
        <v>204</v>
      </c>
      <c r="O115" s="204" t="s">
        <v>2260</v>
      </c>
      <c r="Q115" t="s">
        <v>2190</v>
      </c>
      <c r="R115">
        <v>27897</v>
      </c>
      <c r="S115" s="204" t="s">
        <v>2193</v>
      </c>
      <c r="T115">
        <v>48</v>
      </c>
      <c r="W115" t="s">
        <v>2261</v>
      </c>
      <c r="X115" t="s">
        <v>2198</v>
      </c>
      <c r="Y115">
        <v>3201</v>
      </c>
      <c r="Z115" s="105"/>
    </row>
    <row r="116" spans="1:26" x14ac:dyDescent="0.25">
      <c r="A116">
        <v>84</v>
      </c>
      <c r="B116" s="204" t="s">
        <v>335</v>
      </c>
      <c r="C116">
        <v>11452</v>
      </c>
      <c r="D116" s="204" t="s">
        <v>46</v>
      </c>
      <c r="E116" s="204" t="s">
        <v>308</v>
      </c>
      <c r="F116">
        <v>300</v>
      </c>
      <c r="G116" s="105">
        <v>37672</v>
      </c>
      <c r="H116" s="105">
        <v>45566</v>
      </c>
      <c r="I116" s="105"/>
      <c r="J116" s="204" t="s">
        <v>206</v>
      </c>
      <c r="K116" s="105"/>
      <c r="L116" s="105">
        <v>45866</v>
      </c>
      <c r="M116">
        <v>45259</v>
      </c>
      <c r="N116" s="204" t="s">
        <v>204</v>
      </c>
      <c r="O116" s="204"/>
      <c r="Q116" t="s">
        <v>2190</v>
      </c>
      <c r="R116">
        <v>24038</v>
      </c>
      <c r="S116" s="204" t="s">
        <v>2191</v>
      </c>
      <c r="T116">
        <v>58</v>
      </c>
      <c r="U116">
        <v>620788461</v>
      </c>
      <c r="W116" t="s">
        <v>2262</v>
      </c>
      <c r="Z116" s="105"/>
    </row>
    <row r="117" spans="1:26" x14ac:dyDescent="0.25">
      <c r="A117">
        <v>100</v>
      </c>
      <c r="B117" s="204" t="s">
        <v>337</v>
      </c>
      <c r="C117">
        <v>11470</v>
      </c>
      <c r="D117" s="204" t="s">
        <v>48</v>
      </c>
      <c r="E117" s="204" t="s">
        <v>308</v>
      </c>
      <c r="F117">
        <v>300</v>
      </c>
      <c r="G117" s="105">
        <v>44796</v>
      </c>
      <c r="H117" s="105">
        <v>45558</v>
      </c>
      <c r="I117" s="105"/>
      <c r="J117" s="204" t="s">
        <v>206</v>
      </c>
      <c r="K117" s="105"/>
      <c r="L117" s="105">
        <v>45858</v>
      </c>
      <c r="M117">
        <v>45259</v>
      </c>
      <c r="N117" s="204" t="s">
        <v>204</v>
      </c>
      <c r="O117" s="204"/>
      <c r="Q117" t="s">
        <v>2190</v>
      </c>
      <c r="R117">
        <v>29418</v>
      </c>
      <c r="S117" s="204" t="s">
        <v>2193</v>
      </c>
      <c r="T117">
        <v>44</v>
      </c>
      <c r="U117">
        <v>622846149</v>
      </c>
      <c r="W117" t="s">
        <v>2263</v>
      </c>
      <c r="Z117" s="105"/>
    </row>
    <row r="118" spans="1:26" x14ac:dyDescent="0.25">
      <c r="A118">
        <v>111</v>
      </c>
      <c r="B118" s="204" t="s">
        <v>340</v>
      </c>
      <c r="C118">
        <v>11491</v>
      </c>
      <c r="D118" s="204" t="s">
        <v>95</v>
      </c>
      <c r="E118" s="204" t="s">
        <v>308</v>
      </c>
      <c r="F118">
        <v>300</v>
      </c>
      <c r="G118" s="105">
        <v>45384</v>
      </c>
      <c r="H118" s="105">
        <v>45384</v>
      </c>
      <c r="I118" s="105">
        <v>45476</v>
      </c>
      <c r="J118" s="204" t="s">
        <v>203</v>
      </c>
      <c r="K118" s="105">
        <v>45521</v>
      </c>
      <c r="L118" s="105"/>
      <c r="M118" t="s">
        <v>208</v>
      </c>
      <c r="N118" s="204"/>
      <c r="O118" s="204"/>
      <c r="Q118" t="s">
        <v>2190</v>
      </c>
      <c r="R118">
        <v>23351</v>
      </c>
      <c r="S118" s="204" t="s">
        <v>2193</v>
      </c>
      <c r="T118">
        <v>60</v>
      </c>
      <c r="Z118" s="105"/>
    </row>
    <row r="119" spans="1:26" x14ac:dyDescent="0.25">
      <c r="A119">
        <v>93</v>
      </c>
      <c r="B119" s="204" t="s">
        <v>310</v>
      </c>
      <c r="C119">
        <v>11412</v>
      </c>
      <c r="D119" s="204" t="s">
        <v>50</v>
      </c>
      <c r="E119" s="204" t="s">
        <v>308</v>
      </c>
      <c r="F119">
        <v>300</v>
      </c>
      <c r="G119" s="105">
        <v>44013</v>
      </c>
      <c r="H119" s="105">
        <v>45146</v>
      </c>
      <c r="I119" s="105">
        <v>45436</v>
      </c>
      <c r="J119" s="204" t="s">
        <v>203</v>
      </c>
      <c r="K119" s="105">
        <v>45481</v>
      </c>
      <c r="L119" s="105"/>
      <c r="M119">
        <v>45259</v>
      </c>
      <c r="N119" s="204" t="s">
        <v>204</v>
      </c>
      <c r="O119" s="204"/>
      <c r="Q119" t="s">
        <v>2190</v>
      </c>
      <c r="R119">
        <v>28387</v>
      </c>
      <c r="S119" s="204" t="s">
        <v>2193</v>
      </c>
      <c r="T119">
        <v>47</v>
      </c>
      <c r="U119">
        <v>631007873</v>
      </c>
      <c r="V119" t="s">
        <v>2264</v>
      </c>
      <c r="W119" t="s">
        <v>2265</v>
      </c>
      <c r="Z119" s="105"/>
    </row>
    <row r="120" spans="1:26" x14ac:dyDescent="0.25">
      <c r="A120">
        <v>94</v>
      </c>
      <c r="B120" s="204" t="s">
        <v>326</v>
      </c>
      <c r="C120">
        <v>11418</v>
      </c>
      <c r="D120" s="204" t="s">
        <v>51</v>
      </c>
      <c r="E120" s="204" t="s">
        <v>308</v>
      </c>
      <c r="F120">
        <v>300</v>
      </c>
      <c r="G120" s="105">
        <v>44774</v>
      </c>
      <c r="H120" s="105">
        <v>45530</v>
      </c>
      <c r="I120" s="105"/>
      <c r="J120" s="204" t="s">
        <v>206</v>
      </c>
      <c r="K120" s="105"/>
      <c r="L120" s="105">
        <v>45830</v>
      </c>
      <c r="M120">
        <v>45259</v>
      </c>
      <c r="N120" s="204" t="s">
        <v>204</v>
      </c>
      <c r="O120" s="204" t="s">
        <v>2266</v>
      </c>
      <c r="Q120" t="s">
        <v>2190</v>
      </c>
      <c r="R120">
        <v>27809</v>
      </c>
      <c r="S120" s="204" t="s">
        <v>2193</v>
      </c>
      <c r="T120">
        <v>48</v>
      </c>
      <c r="U120">
        <v>678222333</v>
      </c>
      <c r="W120" t="s">
        <v>2267</v>
      </c>
      <c r="X120" t="s">
        <v>2198</v>
      </c>
      <c r="Y120">
        <v>3000</v>
      </c>
      <c r="Z120" s="105"/>
    </row>
    <row r="121" spans="1:26" x14ac:dyDescent="0.25">
      <c r="B121" s="204"/>
      <c r="D121" s="204"/>
      <c r="E121" s="204"/>
      <c r="G121" s="105"/>
      <c r="H121" s="105"/>
      <c r="I121" s="105"/>
      <c r="J121" s="204"/>
      <c r="K121" s="105"/>
      <c r="L121" s="105"/>
      <c r="N121" s="204"/>
      <c r="O121" s="204"/>
      <c r="S121" s="204"/>
      <c r="Z121" s="105"/>
    </row>
    <row r="122" spans="1:26" x14ac:dyDescent="0.25">
      <c r="B122" s="204"/>
      <c r="D122" s="204"/>
      <c r="E122" s="204"/>
      <c r="G122" s="105"/>
      <c r="H122" s="105"/>
      <c r="I122" s="105"/>
      <c r="J122" s="204"/>
      <c r="K122" s="105"/>
      <c r="L122" s="105"/>
      <c r="N122" s="204"/>
      <c r="O122" s="204"/>
      <c r="S122" s="204"/>
      <c r="Z122" s="105"/>
    </row>
    <row r="123" spans="1:26" x14ac:dyDescent="0.25">
      <c r="B123" s="204"/>
      <c r="D123" s="204"/>
      <c r="E123" s="204"/>
      <c r="G123" s="105"/>
      <c r="H123" s="105"/>
      <c r="I123" s="105"/>
      <c r="J123" s="204"/>
      <c r="K123" s="105"/>
      <c r="L123" s="105"/>
      <c r="N123" s="204"/>
      <c r="O123" s="204"/>
      <c r="S123" s="204"/>
      <c r="Z123" s="105"/>
    </row>
    <row r="124" spans="1:26" x14ac:dyDescent="0.25">
      <c r="B124" s="204"/>
      <c r="D124" s="204"/>
      <c r="E124" s="204"/>
      <c r="G124" s="105"/>
      <c r="H124" s="105"/>
      <c r="I124" s="105"/>
      <c r="J124" s="204"/>
      <c r="K124" s="105"/>
      <c r="L124" s="105"/>
      <c r="N124" s="204"/>
      <c r="O124" s="204"/>
      <c r="S124" s="204"/>
      <c r="Z124" s="105"/>
    </row>
    <row r="125" spans="1:26" x14ac:dyDescent="0.25">
      <c r="B125" s="204"/>
      <c r="D125" s="204"/>
      <c r="E125" s="204"/>
      <c r="G125" s="105"/>
      <c r="H125" s="105"/>
      <c r="I125" s="105"/>
      <c r="J125" s="204"/>
      <c r="K125" s="105"/>
      <c r="L125" s="105"/>
      <c r="N125" s="204"/>
      <c r="O125" s="204"/>
      <c r="S125" s="204"/>
      <c r="Z125" s="105"/>
    </row>
    <row r="126" spans="1:26" x14ac:dyDescent="0.25">
      <c r="B126" s="204"/>
      <c r="D126" s="204"/>
      <c r="E126" s="204"/>
      <c r="G126" s="105"/>
      <c r="H126" s="105"/>
      <c r="I126" s="105"/>
      <c r="J126" s="204"/>
      <c r="K126" s="105"/>
      <c r="L126" s="105"/>
      <c r="N126" s="204"/>
      <c r="O126" s="204"/>
      <c r="S126" s="204"/>
      <c r="Z126" s="105"/>
    </row>
    <row r="127" spans="1:26" x14ac:dyDescent="0.25">
      <c r="B127" s="204"/>
      <c r="D127" s="204"/>
      <c r="E127" s="204"/>
      <c r="G127" s="105"/>
      <c r="H127" s="105"/>
      <c r="I127" s="105"/>
      <c r="J127" s="204"/>
      <c r="K127" s="105"/>
      <c r="L127" s="105"/>
      <c r="N127" s="204"/>
      <c r="O127" s="204"/>
      <c r="S127" s="204"/>
      <c r="Z127" s="105"/>
    </row>
    <row r="128" spans="1:26" x14ac:dyDescent="0.25">
      <c r="B128" s="204"/>
      <c r="D128" s="204"/>
      <c r="E128" s="204"/>
      <c r="G128" s="105"/>
      <c r="H128" s="105"/>
      <c r="I128" s="105"/>
      <c r="J128" s="204"/>
      <c r="K128" s="105"/>
      <c r="L128" s="105"/>
      <c r="N128" s="204"/>
      <c r="O128" s="204"/>
      <c r="S128" s="204"/>
      <c r="Z128" s="105"/>
    </row>
    <row r="129" spans="2:26" x14ac:dyDescent="0.25">
      <c r="B129" s="204"/>
      <c r="D129" s="204"/>
      <c r="E129" s="204"/>
      <c r="G129" s="105"/>
      <c r="H129" s="105"/>
      <c r="I129" s="105"/>
      <c r="J129" s="204"/>
      <c r="K129" s="105"/>
      <c r="L129" s="105"/>
      <c r="N129" s="204"/>
      <c r="O129" s="204"/>
      <c r="S129" s="204"/>
      <c r="Z129" s="105"/>
    </row>
    <row r="130" spans="2:26" x14ac:dyDescent="0.25">
      <c r="B130" s="204"/>
      <c r="D130" s="204"/>
      <c r="E130" s="204"/>
      <c r="G130" s="105"/>
      <c r="H130" s="105"/>
      <c r="I130" s="105"/>
      <c r="J130" s="204"/>
      <c r="K130" s="105"/>
      <c r="L130" s="105"/>
      <c r="N130" s="204"/>
      <c r="O130" s="204"/>
      <c r="S130" s="204"/>
      <c r="Z130" s="105"/>
    </row>
    <row r="131" spans="2:26" x14ac:dyDescent="0.25">
      <c r="B131" s="204"/>
      <c r="D131" s="204"/>
      <c r="E131" s="204"/>
      <c r="G131" s="105"/>
      <c r="H131" s="105"/>
      <c r="I131" s="105"/>
      <c r="J131" s="204"/>
      <c r="K131" s="105"/>
      <c r="L131" s="105"/>
      <c r="N131" s="204"/>
      <c r="O131" s="204"/>
      <c r="S131" s="204"/>
      <c r="Z131" s="105"/>
    </row>
    <row r="132" spans="2:26" x14ac:dyDescent="0.25">
      <c r="B132" s="204"/>
      <c r="D132" s="204"/>
      <c r="E132" s="204"/>
      <c r="G132" s="105"/>
      <c r="H132" s="105"/>
      <c r="I132" s="105"/>
      <c r="J132" s="204"/>
      <c r="K132" s="105"/>
      <c r="L132" s="105"/>
      <c r="N132" s="204"/>
      <c r="O132" s="204"/>
      <c r="S132" s="204"/>
      <c r="Z132" s="105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AA000-7CE7-47E9-A28F-E44C31076D79}">
  <sheetPr codeName="Sheet11"/>
  <dimension ref="A1:AA111"/>
  <sheetViews>
    <sheetView topLeftCell="L1" workbookViewId="0">
      <selection activeCell="AA1" sqref="AA1"/>
    </sheetView>
  </sheetViews>
  <sheetFormatPr baseColWidth="10" defaultColWidth="9.140625" defaultRowHeight="15" x14ac:dyDescent="0.25"/>
  <cols>
    <col min="1" max="1" width="17.85546875" bestFit="1" customWidth="1"/>
    <col min="2" max="2" width="59.85546875" bestFit="1" customWidth="1"/>
    <col min="3" max="3" width="13.28515625" bestFit="1" customWidth="1"/>
    <col min="4" max="4" width="16.140625" bestFit="1" customWidth="1"/>
    <col min="5" max="5" width="19.5703125" bestFit="1" customWidth="1"/>
    <col min="6" max="6" width="18.7109375" bestFit="1" customWidth="1"/>
    <col min="7" max="7" width="10.85546875" bestFit="1" customWidth="1"/>
    <col min="8" max="8" width="14.7109375" bestFit="1" customWidth="1"/>
    <col min="9" max="9" width="17.42578125" bestFit="1" customWidth="1"/>
    <col min="10" max="10" width="39" bestFit="1" customWidth="1"/>
    <col min="11" max="11" width="46.5703125" bestFit="1" customWidth="1"/>
    <col min="12" max="12" width="12.85546875" bestFit="1" customWidth="1"/>
    <col min="13" max="13" width="22" bestFit="1" customWidth="1"/>
    <col min="14" max="14" width="25.7109375" bestFit="1" customWidth="1"/>
  </cols>
  <sheetData>
    <row r="1" spans="1:27" x14ac:dyDescent="0.25">
      <c r="A1" t="s">
        <v>794</v>
      </c>
      <c r="B1" t="s">
        <v>819</v>
      </c>
      <c r="C1" t="s">
        <v>820</v>
      </c>
      <c r="D1" t="s">
        <v>821</v>
      </c>
      <c r="E1" t="s">
        <v>822</v>
      </c>
      <c r="F1" t="s">
        <v>823</v>
      </c>
      <c r="G1" t="s">
        <v>797</v>
      </c>
      <c r="H1" t="s">
        <v>824</v>
      </c>
      <c r="I1" t="s">
        <v>825</v>
      </c>
      <c r="J1" t="s">
        <v>826</v>
      </c>
      <c r="K1" t="s">
        <v>817</v>
      </c>
      <c r="L1" t="s">
        <v>827</v>
      </c>
      <c r="M1" t="s">
        <v>828</v>
      </c>
      <c r="N1" t="s">
        <v>829</v>
      </c>
      <c r="AA1" t="s">
        <v>2427</v>
      </c>
    </row>
    <row r="2" spans="1:27" x14ac:dyDescent="0.25">
      <c r="A2">
        <v>2</v>
      </c>
      <c r="B2" t="s">
        <v>1037</v>
      </c>
      <c r="C2" t="s">
        <v>357</v>
      </c>
      <c r="D2">
        <v>212354986</v>
      </c>
      <c r="E2" t="s">
        <v>830</v>
      </c>
      <c r="F2" t="s">
        <v>831</v>
      </c>
      <c r="G2" t="s">
        <v>258</v>
      </c>
      <c r="H2" t="s">
        <v>358</v>
      </c>
      <c r="I2" t="s">
        <v>359</v>
      </c>
      <c r="J2" t="s">
        <v>360</v>
      </c>
      <c r="K2" t="s">
        <v>361</v>
      </c>
      <c r="L2">
        <v>617973494</v>
      </c>
      <c r="M2" t="s">
        <v>362</v>
      </c>
      <c r="N2" t="s">
        <v>832</v>
      </c>
    </row>
    <row r="3" spans="1:27" x14ac:dyDescent="0.25">
      <c r="A3">
        <v>3</v>
      </c>
      <c r="B3" t="s">
        <v>363</v>
      </c>
      <c r="C3" t="s">
        <v>206</v>
      </c>
      <c r="D3">
        <v>287903666</v>
      </c>
      <c r="E3" t="s">
        <v>364</v>
      </c>
      <c r="F3" t="s">
        <v>365</v>
      </c>
      <c r="G3" t="s">
        <v>259</v>
      </c>
      <c r="H3" t="s">
        <v>358</v>
      </c>
      <c r="I3" t="s">
        <v>359</v>
      </c>
      <c r="J3" t="s">
        <v>366</v>
      </c>
      <c r="K3" t="s">
        <v>367</v>
      </c>
      <c r="L3">
        <v>676551215</v>
      </c>
      <c r="M3" t="s">
        <v>362</v>
      </c>
      <c r="N3" t="s">
        <v>833</v>
      </c>
    </row>
    <row r="4" spans="1:27" x14ac:dyDescent="0.25">
      <c r="A4">
        <v>4</v>
      </c>
      <c r="B4" t="s">
        <v>368</v>
      </c>
      <c r="C4" t="s">
        <v>357</v>
      </c>
      <c r="D4">
        <v>5065639</v>
      </c>
      <c r="E4" t="s">
        <v>834</v>
      </c>
      <c r="F4" t="s">
        <v>835</v>
      </c>
      <c r="G4" t="s">
        <v>260</v>
      </c>
      <c r="H4" t="s">
        <v>358</v>
      </c>
      <c r="I4" t="s">
        <v>369</v>
      </c>
      <c r="J4" t="s">
        <v>370</v>
      </c>
      <c r="K4" t="s">
        <v>371</v>
      </c>
      <c r="L4">
        <v>602112583</v>
      </c>
      <c r="M4" t="s">
        <v>362</v>
      </c>
      <c r="N4" t="s">
        <v>836</v>
      </c>
    </row>
    <row r="5" spans="1:27" x14ac:dyDescent="0.25">
      <c r="A5">
        <v>5</v>
      </c>
      <c r="B5" t="s">
        <v>372</v>
      </c>
      <c r="C5" t="s">
        <v>357</v>
      </c>
      <c r="D5">
        <v>777104523</v>
      </c>
      <c r="E5" t="s">
        <v>837</v>
      </c>
      <c r="F5" t="s">
        <v>838</v>
      </c>
      <c r="G5" t="s">
        <v>256</v>
      </c>
      <c r="H5" t="s">
        <v>358</v>
      </c>
      <c r="I5" t="s">
        <v>373</v>
      </c>
      <c r="J5" t="s">
        <v>374</v>
      </c>
      <c r="K5" t="s">
        <v>375</v>
      </c>
      <c r="L5">
        <v>666224433</v>
      </c>
      <c r="M5" t="s">
        <v>376</v>
      </c>
      <c r="N5" t="s">
        <v>839</v>
      </c>
    </row>
    <row r="6" spans="1:27" x14ac:dyDescent="0.25">
      <c r="A6">
        <v>6</v>
      </c>
      <c r="B6" t="s">
        <v>377</v>
      </c>
      <c r="C6" t="s">
        <v>206</v>
      </c>
      <c r="D6">
        <v>4031590531</v>
      </c>
      <c r="E6" t="s">
        <v>378</v>
      </c>
      <c r="F6" t="s">
        <v>379</v>
      </c>
      <c r="G6" t="s">
        <v>272</v>
      </c>
      <c r="H6" t="s">
        <v>358</v>
      </c>
      <c r="I6" t="s">
        <v>373</v>
      </c>
      <c r="J6" t="s">
        <v>380</v>
      </c>
      <c r="K6" t="s">
        <v>381</v>
      </c>
      <c r="L6">
        <v>679274660</v>
      </c>
      <c r="M6" t="s">
        <v>376</v>
      </c>
      <c r="N6" t="s">
        <v>840</v>
      </c>
    </row>
    <row r="7" spans="1:27" x14ac:dyDescent="0.25">
      <c r="A7">
        <v>7</v>
      </c>
      <c r="B7" t="s">
        <v>382</v>
      </c>
      <c r="C7" t="s">
        <v>206</v>
      </c>
      <c r="D7">
        <v>1418773763</v>
      </c>
      <c r="E7" t="s">
        <v>383</v>
      </c>
      <c r="F7" t="s">
        <v>384</v>
      </c>
      <c r="G7" t="s">
        <v>273</v>
      </c>
      <c r="H7" t="s">
        <v>358</v>
      </c>
      <c r="I7" t="s">
        <v>373</v>
      </c>
      <c r="J7" t="s">
        <v>385</v>
      </c>
      <c r="K7" t="s">
        <v>386</v>
      </c>
      <c r="L7">
        <v>547852663</v>
      </c>
      <c r="M7" t="s">
        <v>376</v>
      </c>
      <c r="N7" t="s">
        <v>841</v>
      </c>
    </row>
    <row r="8" spans="1:27" x14ac:dyDescent="0.25">
      <c r="A8">
        <v>8</v>
      </c>
      <c r="B8" t="s">
        <v>387</v>
      </c>
      <c r="C8" t="s">
        <v>357</v>
      </c>
      <c r="D8">
        <v>577265785</v>
      </c>
      <c r="E8" t="s">
        <v>842</v>
      </c>
      <c r="F8" t="s">
        <v>843</v>
      </c>
      <c r="G8" t="s">
        <v>249</v>
      </c>
      <c r="H8" t="s">
        <v>358</v>
      </c>
      <c r="I8" t="s">
        <v>373</v>
      </c>
      <c r="J8" t="s">
        <v>388</v>
      </c>
      <c r="K8" t="s">
        <v>389</v>
      </c>
      <c r="L8">
        <v>589654113</v>
      </c>
      <c r="M8" t="s">
        <v>376</v>
      </c>
      <c r="N8" t="s">
        <v>844</v>
      </c>
    </row>
    <row r="9" spans="1:27" x14ac:dyDescent="0.25">
      <c r="A9">
        <v>9</v>
      </c>
      <c r="B9" t="s">
        <v>390</v>
      </c>
      <c r="C9" t="s">
        <v>357</v>
      </c>
      <c r="D9">
        <v>387799972</v>
      </c>
      <c r="E9" t="s">
        <v>845</v>
      </c>
      <c r="F9" t="s">
        <v>846</v>
      </c>
      <c r="G9" t="s">
        <v>391</v>
      </c>
      <c r="H9" t="s">
        <v>358</v>
      </c>
      <c r="I9" t="s">
        <v>392</v>
      </c>
      <c r="J9" t="s">
        <v>393</v>
      </c>
      <c r="K9" t="s">
        <v>394</v>
      </c>
      <c r="L9">
        <v>549752568</v>
      </c>
      <c r="M9" t="s">
        <v>376</v>
      </c>
      <c r="N9" t="s">
        <v>847</v>
      </c>
    </row>
    <row r="10" spans="1:27" x14ac:dyDescent="0.25">
      <c r="A10">
        <v>10</v>
      </c>
      <c r="B10" t="s">
        <v>395</v>
      </c>
      <c r="C10" t="s">
        <v>357</v>
      </c>
      <c r="D10">
        <v>428639006</v>
      </c>
      <c r="E10" t="s">
        <v>848</v>
      </c>
      <c r="F10" t="s">
        <v>849</v>
      </c>
      <c r="G10" t="s">
        <v>254</v>
      </c>
      <c r="H10" t="s">
        <v>358</v>
      </c>
      <c r="I10" t="s">
        <v>373</v>
      </c>
      <c r="J10" t="s">
        <v>396</v>
      </c>
      <c r="K10" t="s">
        <v>397</v>
      </c>
      <c r="L10">
        <v>656374891</v>
      </c>
      <c r="M10" t="s">
        <v>376</v>
      </c>
      <c r="N10" t="s">
        <v>850</v>
      </c>
    </row>
    <row r="11" spans="1:27" x14ac:dyDescent="0.25">
      <c r="A11">
        <v>11</v>
      </c>
      <c r="B11" t="s">
        <v>398</v>
      </c>
      <c r="C11" t="s">
        <v>206</v>
      </c>
      <c r="D11">
        <v>287389730</v>
      </c>
      <c r="E11" t="s">
        <v>399</v>
      </c>
      <c r="F11" t="s">
        <v>400</v>
      </c>
      <c r="G11" t="s">
        <v>274</v>
      </c>
      <c r="H11" t="s">
        <v>358</v>
      </c>
      <c r="I11" t="s">
        <v>373</v>
      </c>
      <c r="J11" t="s">
        <v>401</v>
      </c>
      <c r="K11" t="s">
        <v>402</v>
      </c>
      <c r="L11">
        <v>584596215</v>
      </c>
      <c r="M11" t="s">
        <v>376</v>
      </c>
      <c r="N11" t="s">
        <v>851</v>
      </c>
    </row>
    <row r="12" spans="1:27" x14ac:dyDescent="0.25">
      <c r="A12">
        <v>12</v>
      </c>
      <c r="B12" t="s">
        <v>403</v>
      </c>
      <c r="C12" t="s">
        <v>357</v>
      </c>
      <c r="D12">
        <v>20426021</v>
      </c>
      <c r="E12" t="s">
        <v>852</v>
      </c>
      <c r="F12" t="s">
        <v>853</v>
      </c>
      <c r="G12" t="s">
        <v>251</v>
      </c>
      <c r="H12" t="s">
        <v>358</v>
      </c>
      <c r="I12" t="s">
        <v>369</v>
      </c>
      <c r="J12" t="s">
        <v>404</v>
      </c>
      <c r="K12" t="s">
        <v>405</v>
      </c>
      <c r="L12">
        <v>687524563</v>
      </c>
      <c r="M12" t="s">
        <v>376</v>
      </c>
      <c r="N12" t="s">
        <v>854</v>
      </c>
    </row>
    <row r="13" spans="1:27" x14ac:dyDescent="0.25">
      <c r="A13">
        <v>13</v>
      </c>
      <c r="B13" t="s">
        <v>406</v>
      </c>
      <c r="C13" t="s">
        <v>206</v>
      </c>
      <c r="D13">
        <v>4031355587</v>
      </c>
      <c r="E13" t="s">
        <v>407</v>
      </c>
      <c r="F13" t="s">
        <v>408</v>
      </c>
      <c r="G13" t="s">
        <v>280</v>
      </c>
      <c r="H13" t="s">
        <v>358</v>
      </c>
      <c r="I13" t="s">
        <v>392</v>
      </c>
      <c r="J13" t="s">
        <v>409</v>
      </c>
      <c r="K13" t="s">
        <v>410</v>
      </c>
      <c r="L13">
        <v>678475229</v>
      </c>
      <c r="M13" t="s">
        <v>376</v>
      </c>
      <c r="N13" t="s">
        <v>855</v>
      </c>
    </row>
    <row r="14" spans="1:27" x14ac:dyDescent="0.25">
      <c r="A14">
        <v>14</v>
      </c>
      <c r="B14" t="s">
        <v>411</v>
      </c>
      <c r="C14" t="s">
        <v>206</v>
      </c>
      <c r="D14">
        <v>1279383219</v>
      </c>
      <c r="E14" t="s">
        <v>412</v>
      </c>
      <c r="F14" t="s">
        <v>413</v>
      </c>
      <c r="G14" t="s">
        <v>278</v>
      </c>
      <c r="H14" t="s">
        <v>358</v>
      </c>
      <c r="I14" t="s">
        <v>414</v>
      </c>
      <c r="J14" t="s">
        <v>415</v>
      </c>
      <c r="K14" t="s">
        <v>416</v>
      </c>
      <c r="L14">
        <v>682479536</v>
      </c>
      <c r="M14" t="s">
        <v>376</v>
      </c>
      <c r="N14" t="s">
        <v>856</v>
      </c>
    </row>
    <row r="15" spans="1:27" x14ac:dyDescent="0.25">
      <c r="A15">
        <v>15</v>
      </c>
      <c r="B15" t="s">
        <v>417</v>
      </c>
      <c r="C15" t="s">
        <v>206</v>
      </c>
      <c r="D15">
        <v>271427346</v>
      </c>
      <c r="E15" t="s">
        <v>418</v>
      </c>
      <c r="F15" t="s">
        <v>419</v>
      </c>
      <c r="G15" t="s">
        <v>281</v>
      </c>
      <c r="H15" t="s">
        <v>358</v>
      </c>
      <c r="I15" t="s">
        <v>373</v>
      </c>
      <c r="J15" t="s">
        <v>420</v>
      </c>
      <c r="K15" t="s">
        <v>421</v>
      </c>
      <c r="L15">
        <v>684276983</v>
      </c>
      <c r="M15" t="s">
        <v>376</v>
      </c>
      <c r="N15" t="s">
        <v>857</v>
      </c>
    </row>
    <row r="16" spans="1:27" x14ac:dyDescent="0.25">
      <c r="A16">
        <v>16</v>
      </c>
      <c r="B16" t="s">
        <v>422</v>
      </c>
      <c r="C16" t="s">
        <v>206</v>
      </c>
      <c r="D16">
        <v>53335826</v>
      </c>
      <c r="E16" t="s">
        <v>423</v>
      </c>
      <c r="F16" t="s">
        <v>424</v>
      </c>
      <c r="G16" t="s">
        <v>276</v>
      </c>
      <c r="H16" t="s">
        <v>358</v>
      </c>
      <c r="I16" t="s">
        <v>414</v>
      </c>
      <c r="J16" t="s">
        <v>425</v>
      </c>
      <c r="K16" t="s">
        <v>426</v>
      </c>
      <c r="L16">
        <v>0</v>
      </c>
      <c r="M16" t="s">
        <v>376</v>
      </c>
      <c r="N16" t="s">
        <v>858</v>
      </c>
    </row>
    <row r="17" spans="1:14" x14ac:dyDescent="0.25">
      <c r="A17">
        <v>17</v>
      </c>
      <c r="B17" t="s">
        <v>427</v>
      </c>
      <c r="C17" t="s">
        <v>206</v>
      </c>
      <c r="D17">
        <v>294346162</v>
      </c>
      <c r="E17" t="s">
        <v>428</v>
      </c>
      <c r="F17" t="s">
        <v>429</v>
      </c>
      <c r="G17" t="s">
        <v>275</v>
      </c>
      <c r="H17" t="s">
        <v>358</v>
      </c>
      <c r="I17" t="s">
        <v>414</v>
      </c>
      <c r="J17" t="s">
        <v>425</v>
      </c>
      <c r="K17" t="s">
        <v>430</v>
      </c>
      <c r="L17">
        <v>0</v>
      </c>
      <c r="M17" t="s">
        <v>376</v>
      </c>
      <c r="N17" t="s">
        <v>859</v>
      </c>
    </row>
    <row r="18" spans="1:14" x14ac:dyDescent="0.25">
      <c r="A18">
        <v>18</v>
      </c>
      <c r="B18" t="s">
        <v>431</v>
      </c>
      <c r="C18" t="s">
        <v>206</v>
      </c>
      <c r="D18">
        <v>270878546</v>
      </c>
      <c r="E18" t="s">
        <v>432</v>
      </c>
      <c r="F18" t="s">
        <v>433</v>
      </c>
      <c r="G18" t="s">
        <v>277</v>
      </c>
      <c r="H18" t="s">
        <v>358</v>
      </c>
      <c r="I18" t="s">
        <v>414</v>
      </c>
      <c r="J18" t="s">
        <v>425</v>
      </c>
      <c r="K18" t="s">
        <v>434</v>
      </c>
      <c r="L18">
        <v>0</v>
      </c>
      <c r="M18" t="s">
        <v>376</v>
      </c>
      <c r="N18" t="s">
        <v>860</v>
      </c>
    </row>
    <row r="19" spans="1:14" x14ac:dyDescent="0.25">
      <c r="A19">
        <v>19</v>
      </c>
      <c r="B19" t="s">
        <v>435</v>
      </c>
      <c r="C19" t="s">
        <v>206</v>
      </c>
      <c r="D19">
        <v>271427538</v>
      </c>
      <c r="E19" t="s">
        <v>436</v>
      </c>
      <c r="F19" t="s">
        <v>437</v>
      </c>
      <c r="G19" t="s">
        <v>282</v>
      </c>
      <c r="H19" t="s">
        <v>358</v>
      </c>
      <c r="I19" t="s">
        <v>359</v>
      </c>
      <c r="J19" t="s">
        <v>425</v>
      </c>
      <c r="K19" t="s">
        <v>438</v>
      </c>
      <c r="L19">
        <v>0</v>
      </c>
      <c r="M19" t="s">
        <v>376</v>
      </c>
      <c r="N19" t="s">
        <v>861</v>
      </c>
    </row>
    <row r="20" spans="1:14" x14ac:dyDescent="0.25">
      <c r="A20">
        <v>20</v>
      </c>
      <c r="B20" t="s">
        <v>439</v>
      </c>
      <c r="C20" t="s">
        <v>206</v>
      </c>
      <c r="D20">
        <v>285253394</v>
      </c>
      <c r="E20" t="s">
        <v>440</v>
      </c>
      <c r="F20" t="s">
        <v>441</v>
      </c>
      <c r="G20" t="s">
        <v>283</v>
      </c>
      <c r="H20" t="s">
        <v>358</v>
      </c>
      <c r="I20" t="s">
        <v>414</v>
      </c>
      <c r="J20" t="s">
        <v>425</v>
      </c>
      <c r="K20" t="s">
        <v>438</v>
      </c>
      <c r="L20">
        <v>0</v>
      </c>
      <c r="M20" t="s">
        <v>376</v>
      </c>
      <c r="N20" t="s">
        <v>839</v>
      </c>
    </row>
    <row r="21" spans="1:14" x14ac:dyDescent="0.25">
      <c r="A21">
        <v>21</v>
      </c>
      <c r="B21" t="s">
        <v>442</v>
      </c>
      <c r="C21" t="s">
        <v>357</v>
      </c>
      <c r="D21">
        <v>739559256</v>
      </c>
      <c r="E21" t="s">
        <v>862</v>
      </c>
      <c r="F21" t="s">
        <v>863</v>
      </c>
      <c r="G21" t="s">
        <v>443</v>
      </c>
      <c r="H21" t="s">
        <v>358</v>
      </c>
      <c r="I21" t="s">
        <v>392</v>
      </c>
      <c r="J21" t="s">
        <v>425</v>
      </c>
      <c r="K21" t="s">
        <v>438</v>
      </c>
      <c r="L21">
        <v>0</v>
      </c>
      <c r="M21" t="s">
        <v>376</v>
      </c>
      <c r="N21" t="s">
        <v>864</v>
      </c>
    </row>
    <row r="22" spans="1:14" x14ac:dyDescent="0.25">
      <c r="A22">
        <v>22</v>
      </c>
      <c r="B22" t="s">
        <v>444</v>
      </c>
      <c r="C22" t="s">
        <v>357</v>
      </c>
      <c r="D22">
        <v>748821475</v>
      </c>
      <c r="E22" t="s">
        <v>865</v>
      </c>
      <c r="F22" t="s">
        <v>866</v>
      </c>
      <c r="G22" t="s">
        <v>445</v>
      </c>
      <c r="H22" t="s">
        <v>358</v>
      </c>
      <c r="I22" t="s">
        <v>359</v>
      </c>
      <c r="J22" t="s">
        <v>425</v>
      </c>
      <c r="K22" t="s">
        <v>438</v>
      </c>
      <c r="L22">
        <v>0</v>
      </c>
      <c r="M22" t="s">
        <v>376</v>
      </c>
      <c r="N22" t="s">
        <v>867</v>
      </c>
    </row>
    <row r="23" spans="1:14" x14ac:dyDescent="0.25">
      <c r="A23">
        <v>23</v>
      </c>
      <c r="B23" t="s">
        <v>446</v>
      </c>
      <c r="C23" t="s">
        <v>357</v>
      </c>
      <c r="D23">
        <v>964006835</v>
      </c>
      <c r="E23" t="s">
        <v>868</v>
      </c>
      <c r="F23" t="s">
        <v>869</v>
      </c>
      <c r="G23" t="s">
        <v>447</v>
      </c>
      <c r="H23" t="s">
        <v>358</v>
      </c>
      <c r="I23" t="s">
        <v>359</v>
      </c>
      <c r="J23" t="s">
        <v>370</v>
      </c>
      <c r="K23" t="s">
        <v>448</v>
      </c>
      <c r="L23">
        <v>666425687</v>
      </c>
      <c r="M23" t="s">
        <v>376</v>
      </c>
      <c r="N23" t="s">
        <v>870</v>
      </c>
    </row>
    <row r="24" spans="1:14" x14ac:dyDescent="0.25">
      <c r="A24">
        <v>24</v>
      </c>
      <c r="B24" t="s">
        <v>130</v>
      </c>
      <c r="C24" t="s">
        <v>206</v>
      </c>
      <c r="D24">
        <v>4030626515</v>
      </c>
      <c r="E24" t="s">
        <v>449</v>
      </c>
      <c r="F24" t="s">
        <v>450</v>
      </c>
      <c r="G24" t="s">
        <v>244</v>
      </c>
      <c r="H24" t="s">
        <v>358</v>
      </c>
      <c r="I24" t="s">
        <v>369</v>
      </c>
      <c r="J24" t="s">
        <v>451</v>
      </c>
      <c r="K24" t="s">
        <v>452</v>
      </c>
      <c r="L24">
        <v>645789552</v>
      </c>
      <c r="M24" t="s">
        <v>376</v>
      </c>
      <c r="N24" t="s">
        <v>871</v>
      </c>
    </row>
    <row r="25" spans="1:14" x14ac:dyDescent="0.25">
      <c r="A25">
        <v>25</v>
      </c>
      <c r="B25" t="s">
        <v>453</v>
      </c>
      <c r="C25" t="s">
        <v>357</v>
      </c>
      <c r="D25">
        <v>561731318</v>
      </c>
      <c r="E25" t="s">
        <v>872</v>
      </c>
      <c r="F25" t="s">
        <v>873</v>
      </c>
      <c r="G25" t="s">
        <v>454</v>
      </c>
      <c r="H25" t="s">
        <v>358</v>
      </c>
      <c r="I25" t="s">
        <v>414</v>
      </c>
      <c r="J25" t="s">
        <v>455</v>
      </c>
      <c r="K25" t="s">
        <v>456</v>
      </c>
      <c r="L25">
        <v>548763414</v>
      </c>
      <c r="M25" t="s">
        <v>376</v>
      </c>
      <c r="N25" t="s">
        <v>874</v>
      </c>
    </row>
    <row r="26" spans="1:14" x14ac:dyDescent="0.25">
      <c r="A26">
        <v>26</v>
      </c>
      <c r="B26" t="s">
        <v>457</v>
      </c>
      <c r="C26" t="s">
        <v>206</v>
      </c>
      <c r="D26">
        <v>4031186163</v>
      </c>
      <c r="E26" t="s">
        <v>458</v>
      </c>
      <c r="F26" t="s">
        <v>459</v>
      </c>
      <c r="G26" t="s">
        <v>226</v>
      </c>
      <c r="H26" t="s">
        <v>358</v>
      </c>
      <c r="I26" t="s">
        <v>392</v>
      </c>
      <c r="J26" t="s">
        <v>460</v>
      </c>
      <c r="K26" t="s">
        <v>461</v>
      </c>
      <c r="L26">
        <v>547925478</v>
      </c>
      <c r="M26" t="s">
        <v>376</v>
      </c>
      <c r="N26" t="s">
        <v>875</v>
      </c>
    </row>
    <row r="27" spans="1:14" x14ac:dyDescent="0.25">
      <c r="A27">
        <v>27</v>
      </c>
      <c r="B27" t="s">
        <v>462</v>
      </c>
      <c r="C27" t="s">
        <v>206</v>
      </c>
      <c r="D27">
        <v>4031089507</v>
      </c>
      <c r="E27" t="s">
        <v>463</v>
      </c>
      <c r="F27" t="s">
        <v>464</v>
      </c>
      <c r="G27" t="s">
        <v>229</v>
      </c>
      <c r="H27" t="s">
        <v>358</v>
      </c>
      <c r="I27" t="s">
        <v>369</v>
      </c>
      <c r="J27" t="s">
        <v>465</v>
      </c>
      <c r="K27" t="s">
        <v>466</v>
      </c>
      <c r="L27">
        <v>578946324</v>
      </c>
      <c r="M27" t="s">
        <v>376</v>
      </c>
      <c r="N27" t="s">
        <v>876</v>
      </c>
    </row>
    <row r="28" spans="1:14" x14ac:dyDescent="0.25">
      <c r="A28">
        <v>28</v>
      </c>
      <c r="B28" t="s">
        <v>467</v>
      </c>
      <c r="C28" t="s">
        <v>206</v>
      </c>
      <c r="D28">
        <v>295236498</v>
      </c>
      <c r="E28" t="s">
        <v>877</v>
      </c>
      <c r="F28" t="s">
        <v>878</v>
      </c>
      <c r="G28" t="s">
        <v>262</v>
      </c>
      <c r="H28" t="s">
        <v>358</v>
      </c>
      <c r="I28" t="s">
        <v>359</v>
      </c>
      <c r="J28" t="s">
        <v>468</v>
      </c>
      <c r="K28" t="s">
        <v>469</v>
      </c>
      <c r="L28">
        <v>587241478</v>
      </c>
      <c r="M28" t="s">
        <v>376</v>
      </c>
      <c r="N28" t="s">
        <v>879</v>
      </c>
    </row>
    <row r="29" spans="1:14" x14ac:dyDescent="0.25">
      <c r="A29">
        <v>29</v>
      </c>
      <c r="B29" t="s">
        <v>470</v>
      </c>
      <c r="C29" t="s">
        <v>206</v>
      </c>
      <c r="D29">
        <v>2768255075</v>
      </c>
      <c r="E29" t="s">
        <v>471</v>
      </c>
      <c r="F29" t="s">
        <v>472</v>
      </c>
      <c r="G29" t="s">
        <v>225</v>
      </c>
      <c r="H29" t="s">
        <v>358</v>
      </c>
      <c r="I29" t="s">
        <v>392</v>
      </c>
      <c r="J29" t="s">
        <v>473</v>
      </c>
      <c r="K29" t="s">
        <v>474</v>
      </c>
      <c r="L29">
        <v>578549636</v>
      </c>
      <c r="M29" t="s">
        <v>376</v>
      </c>
      <c r="N29" t="s">
        <v>880</v>
      </c>
    </row>
    <row r="30" spans="1:14" x14ac:dyDescent="0.25">
      <c r="A30">
        <v>30</v>
      </c>
      <c r="B30" t="s">
        <v>475</v>
      </c>
      <c r="C30" t="s">
        <v>357</v>
      </c>
      <c r="D30">
        <v>567596209</v>
      </c>
      <c r="E30" t="s">
        <v>881</v>
      </c>
      <c r="F30" t="s">
        <v>882</v>
      </c>
      <c r="G30" t="s">
        <v>476</v>
      </c>
      <c r="H30" t="s">
        <v>358</v>
      </c>
      <c r="I30" t="s">
        <v>414</v>
      </c>
      <c r="J30" t="s">
        <v>477</v>
      </c>
      <c r="K30" t="s">
        <v>478</v>
      </c>
      <c r="L30">
        <v>695965061</v>
      </c>
      <c r="M30" t="s">
        <v>376</v>
      </c>
      <c r="N30" t="s">
        <v>883</v>
      </c>
    </row>
    <row r="31" spans="1:14" x14ac:dyDescent="0.25">
      <c r="A31">
        <v>31</v>
      </c>
      <c r="B31" t="s">
        <v>479</v>
      </c>
      <c r="C31" t="s">
        <v>357</v>
      </c>
      <c r="D31">
        <v>803263016</v>
      </c>
      <c r="E31" t="s">
        <v>884</v>
      </c>
      <c r="F31" t="s">
        <v>885</v>
      </c>
      <c r="G31" t="s">
        <v>480</v>
      </c>
      <c r="H31" t="s">
        <v>358</v>
      </c>
      <c r="I31" t="s">
        <v>414</v>
      </c>
      <c r="J31" t="s">
        <v>481</v>
      </c>
      <c r="K31" t="s">
        <v>482</v>
      </c>
      <c r="L31">
        <v>695965061</v>
      </c>
      <c r="M31" t="s">
        <v>376</v>
      </c>
      <c r="N31" t="s">
        <v>886</v>
      </c>
    </row>
    <row r="32" spans="1:14" x14ac:dyDescent="0.25">
      <c r="A32">
        <v>32</v>
      </c>
      <c r="B32" t="s">
        <v>483</v>
      </c>
      <c r="C32" t="s">
        <v>357</v>
      </c>
      <c r="D32">
        <v>17423105</v>
      </c>
      <c r="E32" t="s">
        <v>887</v>
      </c>
      <c r="F32" t="s">
        <v>888</v>
      </c>
      <c r="G32" t="s">
        <v>484</v>
      </c>
      <c r="H32" t="s">
        <v>358</v>
      </c>
      <c r="I32" t="s">
        <v>392</v>
      </c>
      <c r="J32" t="s">
        <v>485</v>
      </c>
      <c r="K32" t="s">
        <v>486</v>
      </c>
      <c r="L32">
        <v>613297149</v>
      </c>
      <c r="M32" t="s">
        <v>376</v>
      </c>
      <c r="N32" t="s">
        <v>889</v>
      </c>
    </row>
    <row r="33" spans="1:14" x14ac:dyDescent="0.25">
      <c r="A33">
        <v>33</v>
      </c>
      <c r="B33" t="s">
        <v>487</v>
      </c>
      <c r="C33" t="s">
        <v>357</v>
      </c>
      <c r="D33">
        <v>578795553</v>
      </c>
      <c r="E33" t="s">
        <v>890</v>
      </c>
      <c r="F33" t="s">
        <v>891</v>
      </c>
      <c r="G33" t="s">
        <v>488</v>
      </c>
      <c r="H33" t="s">
        <v>358</v>
      </c>
      <c r="I33" t="s">
        <v>489</v>
      </c>
      <c r="J33" t="s">
        <v>490</v>
      </c>
      <c r="K33" t="s">
        <v>491</v>
      </c>
      <c r="L33">
        <v>625785540</v>
      </c>
      <c r="M33" t="s">
        <v>376</v>
      </c>
      <c r="N33" t="s">
        <v>892</v>
      </c>
    </row>
    <row r="34" spans="1:14" x14ac:dyDescent="0.25">
      <c r="A34">
        <v>34</v>
      </c>
      <c r="B34" t="s">
        <v>492</v>
      </c>
      <c r="C34" t="s">
        <v>357</v>
      </c>
      <c r="D34">
        <v>939935174</v>
      </c>
      <c r="E34" t="s">
        <v>893</v>
      </c>
      <c r="F34" t="s">
        <v>894</v>
      </c>
      <c r="G34" t="s">
        <v>493</v>
      </c>
      <c r="H34" t="s">
        <v>358</v>
      </c>
      <c r="I34" t="s">
        <v>494</v>
      </c>
      <c r="J34" t="s">
        <v>495</v>
      </c>
      <c r="K34" t="s">
        <v>496</v>
      </c>
      <c r="L34">
        <v>657821458</v>
      </c>
      <c r="M34" t="s">
        <v>376</v>
      </c>
      <c r="N34" t="s">
        <v>895</v>
      </c>
    </row>
    <row r="35" spans="1:14" x14ac:dyDescent="0.25">
      <c r="A35">
        <v>35</v>
      </c>
      <c r="B35" t="s">
        <v>497</v>
      </c>
      <c r="C35" t="s">
        <v>357</v>
      </c>
      <c r="D35">
        <v>520938461</v>
      </c>
      <c r="E35" t="s">
        <v>896</v>
      </c>
      <c r="F35" t="s">
        <v>897</v>
      </c>
      <c r="G35" t="s">
        <v>498</v>
      </c>
      <c r="H35" t="s">
        <v>358</v>
      </c>
      <c r="I35" t="s">
        <v>414</v>
      </c>
      <c r="J35" t="s">
        <v>499</v>
      </c>
      <c r="K35" t="s">
        <v>500</v>
      </c>
      <c r="L35">
        <v>587958478</v>
      </c>
      <c r="M35" t="s">
        <v>376</v>
      </c>
      <c r="N35" t="s">
        <v>898</v>
      </c>
    </row>
    <row r="36" spans="1:14" x14ac:dyDescent="0.25">
      <c r="A36">
        <v>36</v>
      </c>
      <c r="B36" t="s">
        <v>501</v>
      </c>
      <c r="C36" t="s">
        <v>206</v>
      </c>
      <c r="D36">
        <v>2768166723</v>
      </c>
      <c r="E36" t="s">
        <v>502</v>
      </c>
      <c r="F36" t="s">
        <v>503</v>
      </c>
      <c r="G36" t="s">
        <v>223</v>
      </c>
      <c r="H36" t="s">
        <v>358</v>
      </c>
      <c r="I36" t="s">
        <v>392</v>
      </c>
      <c r="J36" t="s">
        <v>504</v>
      </c>
      <c r="K36" t="s">
        <v>505</v>
      </c>
      <c r="L36">
        <v>987584714</v>
      </c>
      <c r="M36" t="s">
        <v>376</v>
      </c>
      <c r="N36" t="s">
        <v>899</v>
      </c>
    </row>
    <row r="37" spans="1:14" x14ac:dyDescent="0.25">
      <c r="A37">
        <v>37</v>
      </c>
      <c r="B37" t="s">
        <v>506</v>
      </c>
      <c r="C37" t="s">
        <v>357</v>
      </c>
      <c r="D37">
        <v>449212194</v>
      </c>
      <c r="E37" t="s">
        <v>900</v>
      </c>
      <c r="F37" t="s">
        <v>901</v>
      </c>
      <c r="G37" t="s">
        <v>507</v>
      </c>
      <c r="H37" t="s">
        <v>358</v>
      </c>
      <c r="I37" t="s">
        <v>392</v>
      </c>
      <c r="J37" t="s">
        <v>508</v>
      </c>
      <c r="K37" t="s">
        <v>509</v>
      </c>
      <c r="L37">
        <v>587361478</v>
      </c>
      <c r="M37" t="s">
        <v>376</v>
      </c>
      <c r="N37" t="s">
        <v>902</v>
      </c>
    </row>
    <row r="38" spans="1:14" x14ac:dyDescent="0.25">
      <c r="A38">
        <v>38</v>
      </c>
      <c r="B38" t="s">
        <v>135</v>
      </c>
      <c r="C38" t="s">
        <v>206</v>
      </c>
      <c r="D38">
        <v>22</v>
      </c>
      <c r="E38" t="s">
        <v>510</v>
      </c>
      <c r="F38" t="s">
        <v>511</v>
      </c>
      <c r="G38" t="s">
        <v>261</v>
      </c>
      <c r="H38" t="s">
        <v>512</v>
      </c>
      <c r="I38" t="s">
        <v>359</v>
      </c>
      <c r="J38" t="s">
        <v>513</v>
      </c>
      <c r="K38" t="s">
        <v>514</v>
      </c>
      <c r="L38">
        <v>8784512</v>
      </c>
      <c r="M38" t="s">
        <v>376</v>
      </c>
      <c r="N38" t="s">
        <v>903</v>
      </c>
    </row>
    <row r="39" spans="1:14" x14ac:dyDescent="0.25">
      <c r="A39">
        <v>39</v>
      </c>
      <c r="B39" t="s">
        <v>515</v>
      </c>
      <c r="C39" t="s">
        <v>206</v>
      </c>
      <c r="D39">
        <v>2767662051</v>
      </c>
      <c r="E39" t="s">
        <v>516</v>
      </c>
      <c r="F39" t="s">
        <v>517</v>
      </c>
      <c r="G39" t="s">
        <v>228</v>
      </c>
      <c r="H39" t="s">
        <v>358</v>
      </c>
      <c r="I39" t="s">
        <v>369</v>
      </c>
      <c r="J39" t="s">
        <v>904</v>
      </c>
      <c r="K39" t="s">
        <v>518</v>
      </c>
      <c r="L39">
        <v>547898445</v>
      </c>
      <c r="M39" t="s">
        <v>376</v>
      </c>
      <c r="N39" t="s">
        <v>905</v>
      </c>
    </row>
    <row r="40" spans="1:14" x14ac:dyDescent="0.25">
      <c r="A40">
        <v>40</v>
      </c>
      <c r="B40" t="s">
        <v>519</v>
      </c>
      <c r="C40" t="s">
        <v>206</v>
      </c>
      <c r="D40">
        <v>4030360723</v>
      </c>
      <c r="E40" t="s">
        <v>520</v>
      </c>
      <c r="F40" t="s">
        <v>521</v>
      </c>
      <c r="G40" t="s">
        <v>222</v>
      </c>
      <c r="H40" t="s">
        <v>358</v>
      </c>
      <c r="I40" t="s">
        <v>392</v>
      </c>
      <c r="J40" t="s">
        <v>522</v>
      </c>
      <c r="K40" t="s">
        <v>523</v>
      </c>
      <c r="L40">
        <v>854721443</v>
      </c>
      <c r="M40" t="s">
        <v>376</v>
      </c>
      <c r="N40" t="s">
        <v>906</v>
      </c>
    </row>
    <row r="41" spans="1:14" x14ac:dyDescent="0.25">
      <c r="A41">
        <v>41</v>
      </c>
      <c r="B41" t="s">
        <v>134</v>
      </c>
      <c r="C41" t="s">
        <v>206</v>
      </c>
      <c r="D41">
        <v>4030520723</v>
      </c>
      <c r="E41" t="s">
        <v>524</v>
      </c>
      <c r="F41" t="s">
        <v>525</v>
      </c>
      <c r="G41" t="s">
        <v>227</v>
      </c>
      <c r="H41" t="s">
        <v>358</v>
      </c>
      <c r="I41" t="s">
        <v>494</v>
      </c>
      <c r="J41" t="s">
        <v>526</v>
      </c>
      <c r="K41" t="s">
        <v>527</v>
      </c>
      <c r="L41">
        <v>458782535</v>
      </c>
      <c r="M41" t="s">
        <v>376</v>
      </c>
      <c r="N41" t="s">
        <v>907</v>
      </c>
    </row>
    <row r="42" spans="1:14" x14ac:dyDescent="0.25">
      <c r="A42">
        <v>42</v>
      </c>
      <c r="B42" t="s">
        <v>528</v>
      </c>
      <c r="C42" t="s">
        <v>357</v>
      </c>
      <c r="D42">
        <v>450496996</v>
      </c>
      <c r="E42" t="s">
        <v>908</v>
      </c>
      <c r="F42" t="s">
        <v>909</v>
      </c>
      <c r="G42" t="s">
        <v>529</v>
      </c>
      <c r="H42" t="s">
        <v>358</v>
      </c>
      <c r="I42" t="s">
        <v>373</v>
      </c>
      <c r="J42" t="s">
        <v>530</v>
      </c>
      <c r="K42" t="s">
        <v>531</v>
      </c>
      <c r="L42">
        <v>879614228</v>
      </c>
      <c r="M42" t="s">
        <v>376</v>
      </c>
      <c r="N42" t="s">
        <v>910</v>
      </c>
    </row>
    <row r="43" spans="1:14" x14ac:dyDescent="0.25">
      <c r="A43">
        <v>43</v>
      </c>
      <c r="B43" t="s">
        <v>532</v>
      </c>
      <c r="C43" t="s">
        <v>357</v>
      </c>
      <c r="D43">
        <v>608147024</v>
      </c>
      <c r="E43" t="s">
        <v>911</v>
      </c>
      <c r="F43" t="s">
        <v>912</v>
      </c>
      <c r="G43" t="s">
        <v>533</v>
      </c>
      <c r="H43" t="s">
        <v>358</v>
      </c>
      <c r="I43" t="s">
        <v>494</v>
      </c>
      <c r="J43" t="s">
        <v>534</v>
      </c>
      <c r="K43" t="s">
        <v>535</v>
      </c>
      <c r="L43">
        <v>587426578</v>
      </c>
      <c r="M43" t="s">
        <v>376</v>
      </c>
      <c r="N43" t="s">
        <v>913</v>
      </c>
    </row>
    <row r="44" spans="1:14" x14ac:dyDescent="0.25">
      <c r="A44">
        <v>44</v>
      </c>
      <c r="B44" t="s">
        <v>128</v>
      </c>
      <c r="C44" t="s">
        <v>206</v>
      </c>
      <c r="D44">
        <v>2768247011</v>
      </c>
      <c r="E44" t="s">
        <v>536</v>
      </c>
      <c r="F44" t="s">
        <v>537</v>
      </c>
      <c r="G44" t="s">
        <v>221</v>
      </c>
      <c r="H44" t="s">
        <v>358</v>
      </c>
      <c r="I44" t="s">
        <v>392</v>
      </c>
      <c r="J44" t="s">
        <v>538</v>
      </c>
      <c r="K44" t="s">
        <v>539</v>
      </c>
      <c r="L44">
        <v>578412147</v>
      </c>
      <c r="M44" t="s">
        <v>376</v>
      </c>
      <c r="N44" t="s">
        <v>914</v>
      </c>
    </row>
    <row r="45" spans="1:14" x14ac:dyDescent="0.25">
      <c r="A45">
        <v>45</v>
      </c>
      <c r="B45" t="s">
        <v>540</v>
      </c>
      <c r="C45" t="s">
        <v>357</v>
      </c>
      <c r="D45">
        <v>841974920</v>
      </c>
      <c r="E45" t="s">
        <v>915</v>
      </c>
      <c r="F45" t="s">
        <v>916</v>
      </c>
      <c r="G45" t="s">
        <v>541</v>
      </c>
      <c r="H45" t="s">
        <v>358</v>
      </c>
      <c r="I45" t="s">
        <v>494</v>
      </c>
      <c r="J45" t="s">
        <v>542</v>
      </c>
      <c r="K45" t="s">
        <v>543</v>
      </c>
      <c r="L45">
        <v>587947563</v>
      </c>
      <c r="M45" t="s">
        <v>376</v>
      </c>
      <c r="N45" t="s">
        <v>917</v>
      </c>
    </row>
    <row r="46" spans="1:14" x14ac:dyDescent="0.25">
      <c r="A46">
        <v>46</v>
      </c>
      <c r="B46" t="s">
        <v>544</v>
      </c>
      <c r="C46" t="s">
        <v>357</v>
      </c>
      <c r="D46">
        <v>457834379</v>
      </c>
      <c r="E46" t="s">
        <v>918</v>
      </c>
      <c r="F46" t="s">
        <v>919</v>
      </c>
      <c r="G46" t="s">
        <v>243</v>
      </c>
      <c r="H46" t="s">
        <v>358</v>
      </c>
      <c r="I46" t="s">
        <v>392</v>
      </c>
      <c r="J46" t="s">
        <v>545</v>
      </c>
      <c r="K46" t="s">
        <v>546</v>
      </c>
      <c r="L46">
        <v>589632147</v>
      </c>
      <c r="M46" t="s">
        <v>376</v>
      </c>
      <c r="N46" t="s">
        <v>920</v>
      </c>
    </row>
    <row r="47" spans="1:14" x14ac:dyDescent="0.25">
      <c r="A47">
        <v>47</v>
      </c>
      <c r="B47" t="s">
        <v>547</v>
      </c>
      <c r="C47" t="s">
        <v>206</v>
      </c>
      <c r="D47">
        <v>2768202659</v>
      </c>
      <c r="E47" t="s">
        <v>548</v>
      </c>
      <c r="F47" t="s">
        <v>549</v>
      </c>
      <c r="G47" t="s">
        <v>224</v>
      </c>
      <c r="H47" t="s">
        <v>358</v>
      </c>
      <c r="I47" t="s">
        <v>369</v>
      </c>
      <c r="J47" t="s">
        <v>550</v>
      </c>
      <c r="K47" t="s">
        <v>551</v>
      </c>
      <c r="L47">
        <v>587412369</v>
      </c>
      <c r="M47" t="s">
        <v>376</v>
      </c>
      <c r="N47" t="s">
        <v>921</v>
      </c>
    </row>
    <row r="48" spans="1:14" x14ac:dyDescent="0.25">
      <c r="A48">
        <v>48</v>
      </c>
      <c r="B48" t="s">
        <v>552</v>
      </c>
      <c r="C48" t="s">
        <v>357</v>
      </c>
      <c r="D48">
        <v>418980932</v>
      </c>
      <c r="E48" t="s">
        <v>922</v>
      </c>
      <c r="F48" t="s">
        <v>923</v>
      </c>
      <c r="G48" t="s">
        <v>553</v>
      </c>
      <c r="H48" t="s">
        <v>358</v>
      </c>
      <c r="I48" t="s">
        <v>359</v>
      </c>
      <c r="J48" t="s">
        <v>554</v>
      </c>
      <c r="K48" t="s">
        <v>555</v>
      </c>
      <c r="L48">
        <v>0</v>
      </c>
      <c r="M48" t="s">
        <v>376</v>
      </c>
      <c r="N48" t="s">
        <v>924</v>
      </c>
    </row>
    <row r="49" spans="1:14" x14ac:dyDescent="0.25">
      <c r="A49">
        <v>49</v>
      </c>
      <c r="B49" t="s">
        <v>556</v>
      </c>
      <c r="C49" t="s">
        <v>357</v>
      </c>
      <c r="D49">
        <v>527811781</v>
      </c>
      <c r="E49" t="s">
        <v>925</v>
      </c>
      <c r="F49" t="s">
        <v>926</v>
      </c>
      <c r="G49" t="s">
        <v>557</v>
      </c>
      <c r="H49" t="s">
        <v>358</v>
      </c>
      <c r="I49" t="s">
        <v>359</v>
      </c>
      <c r="J49" t="s">
        <v>558</v>
      </c>
      <c r="K49" t="s">
        <v>559</v>
      </c>
      <c r="L49">
        <v>0</v>
      </c>
      <c r="M49" t="s">
        <v>376</v>
      </c>
      <c r="N49" t="s">
        <v>927</v>
      </c>
    </row>
    <row r="50" spans="1:14" x14ac:dyDescent="0.25">
      <c r="A50">
        <v>50</v>
      </c>
      <c r="B50" t="s">
        <v>560</v>
      </c>
      <c r="C50" t="s">
        <v>206</v>
      </c>
      <c r="D50">
        <v>2768166435</v>
      </c>
      <c r="E50" t="s">
        <v>561</v>
      </c>
      <c r="F50" t="s">
        <v>562</v>
      </c>
      <c r="G50" t="s">
        <v>245</v>
      </c>
      <c r="H50" t="s">
        <v>358</v>
      </c>
      <c r="I50" t="s">
        <v>359</v>
      </c>
      <c r="J50" t="s">
        <v>554</v>
      </c>
      <c r="K50" t="s">
        <v>563</v>
      </c>
      <c r="L50">
        <v>0</v>
      </c>
      <c r="M50" t="s">
        <v>376</v>
      </c>
      <c r="N50" t="s">
        <v>928</v>
      </c>
    </row>
    <row r="51" spans="1:14" x14ac:dyDescent="0.25">
      <c r="A51">
        <v>51</v>
      </c>
      <c r="B51" t="s">
        <v>564</v>
      </c>
      <c r="C51" t="s">
        <v>206</v>
      </c>
      <c r="D51">
        <v>2768168851</v>
      </c>
      <c r="E51" t="s">
        <v>565</v>
      </c>
      <c r="F51" t="s">
        <v>566</v>
      </c>
      <c r="G51" t="s">
        <v>567</v>
      </c>
      <c r="H51" t="s">
        <v>358</v>
      </c>
      <c r="I51" t="s">
        <v>392</v>
      </c>
      <c r="J51" t="s">
        <v>554</v>
      </c>
      <c r="K51" t="s">
        <v>568</v>
      </c>
      <c r="L51">
        <v>0</v>
      </c>
      <c r="M51" t="s">
        <v>376</v>
      </c>
      <c r="N51" t="s">
        <v>929</v>
      </c>
    </row>
    <row r="52" spans="1:14" x14ac:dyDescent="0.25">
      <c r="A52">
        <v>52</v>
      </c>
      <c r="B52" t="s">
        <v>569</v>
      </c>
      <c r="C52" t="s">
        <v>206</v>
      </c>
      <c r="D52">
        <v>4031884915</v>
      </c>
      <c r="E52" t="s">
        <v>570</v>
      </c>
      <c r="F52" t="s">
        <v>571</v>
      </c>
      <c r="G52" t="s">
        <v>247</v>
      </c>
      <c r="H52" t="s">
        <v>358</v>
      </c>
      <c r="I52" t="s">
        <v>392</v>
      </c>
      <c r="J52" t="s">
        <v>554</v>
      </c>
      <c r="K52" t="s">
        <v>572</v>
      </c>
      <c r="L52">
        <v>0</v>
      </c>
      <c r="M52" t="s">
        <v>376</v>
      </c>
      <c r="N52" t="s">
        <v>930</v>
      </c>
    </row>
    <row r="53" spans="1:14" x14ac:dyDescent="0.25">
      <c r="A53">
        <v>53</v>
      </c>
      <c r="B53" t="s">
        <v>133</v>
      </c>
      <c r="C53" t="s">
        <v>206</v>
      </c>
      <c r="D53">
        <v>4031187683</v>
      </c>
      <c r="E53" t="s">
        <v>573</v>
      </c>
      <c r="F53" t="s">
        <v>574</v>
      </c>
      <c r="G53" t="s">
        <v>246</v>
      </c>
      <c r="H53" t="s">
        <v>358</v>
      </c>
      <c r="I53" t="s">
        <v>392</v>
      </c>
      <c r="J53" t="s">
        <v>575</v>
      </c>
      <c r="K53" t="s">
        <v>576</v>
      </c>
      <c r="L53">
        <v>622786290</v>
      </c>
      <c r="M53" t="s">
        <v>376</v>
      </c>
      <c r="N53" t="s">
        <v>931</v>
      </c>
    </row>
    <row r="54" spans="1:14" x14ac:dyDescent="0.25">
      <c r="A54">
        <v>54</v>
      </c>
      <c r="B54" t="s">
        <v>577</v>
      </c>
      <c r="C54" t="s">
        <v>357</v>
      </c>
      <c r="D54">
        <v>342952104</v>
      </c>
      <c r="E54" t="s">
        <v>932</v>
      </c>
      <c r="F54" t="s">
        <v>933</v>
      </c>
      <c r="G54" t="s">
        <v>239</v>
      </c>
      <c r="H54" t="s">
        <v>358</v>
      </c>
      <c r="I54" t="s">
        <v>414</v>
      </c>
      <c r="J54" t="s">
        <v>578</v>
      </c>
      <c r="K54" t="s">
        <v>576</v>
      </c>
      <c r="L54">
        <v>0</v>
      </c>
      <c r="M54" t="s">
        <v>376</v>
      </c>
      <c r="N54" t="s">
        <v>934</v>
      </c>
    </row>
    <row r="55" spans="1:14" x14ac:dyDescent="0.25">
      <c r="A55">
        <v>55</v>
      </c>
      <c r="B55" t="s">
        <v>579</v>
      </c>
      <c r="C55" t="s">
        <v>357</v>
      </c>
      <c r="D55">
        <v>82625197</v>
      </c>
      <c r="E55" t="s">
        <v>935</v>
      </c>
      <c r="F55" t="s">
        <v>936</v>
      </c>
      <c r="G55" t="s">
        <v>235</v>
      </c>
      <c r="H55" t="s">
        <v>358</v>
      </c>
      <c r="I55" t="s">
        <v>414</v>
      </c>
      <c r="J55" t="s">
        <v>580</v>
      </c>
      <c r="K55" t="s">
        <v>581</v>
      </c>
      <c r="L55">
        <v>0</v>
      </c>
      <c r="M55" t="s">
        <v>376</v>
      </c>
      <c r="N55" t="s">
        <v>937</v>
      </c>
    </row>
    <row r="56" spans="1:14" x14ac:dyDescent="0.25">
      <c r="A56">
        <v>56</v>
      </c>
      <c r="B56" t="s">
        <v>582</v>
      </c>
      <c r="C56" t="s">
        <v>357</v>
      </c>
      <c r="D56">
        <v>868383815</v>
      </c>
      <c r="E56" t="s">
        <v>938</v>
      </c>
      <c r="F56" t="s">
        <v>939</v>
      </c>
      <c r="G56" t="s">
        <v>241</v>
      </c>
      <c r="H56" t="s">
        <v>358</v>
      </c>
      <c r="I56" t="s">
        <v>392</v>
      </c>
      <c r="J56" t="s">
        <v>583</v>
      </c>
      <c r="K56" t="s">
        <v>584</v>
      </c>
      <c r="L56">
        <v>0</v>
      </c>
      <c r="M56" t="s">
        <v>376</v>
      </c>
      <c r="N56" t="s">
        <v>940</v>
      </c>
    </row>
    <row r="57" spans="1:14" x14ac:dyDescent="0.25">
      <c r="A57">
        <v>57</v>
      </c>
      <c r="B57" t="s">
        <v>585</v>
      </c>
      <c r="C57" t="s">
        <v>357</v>
      </c>
      <c r="D57">
        <v>315623139</v>
      </c>
      <c r="E57" t="s">
        <v>941</v>
      </c>
      <c r="F57" t="s">
        <v>942</v>
      </c>
      <c r="G57" t="s">
        <v>586</v>
      </c>
      <c r="H57" t="s">
        <v>358</v>
      </c>
      <c r="I57" t="s">
        <v>414</v>
      </c>
      <c r="J57" t="s">
        <v>583</v>
      </c>
      <c r="K57" t="s">
        <v>587</v>
      </c>
      <c r="L57">
        <v>0</v>
      </c>
      <c r="M57" t="s">
        <v>376</v>
      </c>
      <c r="N57" t="s">
        <v>943</v>
      </c>
    </row>
    <row r="58" spans="1:14" x14ac:dyDescent="0.25">
      <c r="A58">
        <v>58</v>
      </c>
      <c r="B58" t="s">
        <v>588</v>
      </c>
      <c r="C58" t="s">
        <v>357</v>
      </c>
      <c r="D58">
        <v>351514917</v>
      </c>
      <c r="E58" t="s">
        <v>944</v>
      </c>
      <c r="F58" t="s">
        <v>945</v>
      </c>
      <c r="G58" t="s">
        <v>589</v>
      </c>
      <c r="H58" t="s">
        <v>358</v>
      </c>
      <c r="I58" t="s">
        <v>414</v>
      </c>
      <c r="J58" t="s">
        <v>580</v>
      </c>
      <c r="K58" t="s">
        <v>590</v>
      </c>
      <c r="L58">
        <v>0</v>
      </c>
      <c r="M58" t="s">
        <v>376</v>
      </c>
      <c r="N58" t="s">
        <v>946</v>
      </c>
    </row>
    <row r="59" spans="1:14" x14ac:dyDescent="0.25">
      <c r="A59">
        <v>59</v>
      </c>
      <c r="B59" t="s">
        <v>591</v>
      </c>
      <c r="C59" t="s">
        <v>357</v>
      </c>
      <c r="D59">
        <v>98960916</v>
      </c>
      <c r="E59" t="s">
        <v>947</v>
      </c>
      <c r="F59" t="s">
        <v>948</v>
      </c>
      <c r="G59" t="s">
        <v>592</v>
      </c>
      <c r="H59" t="s">
        <v>358</v>
      </c>
      <c r="I59" t="s">
        <v>373</v>
      </c>
      <c r="J59" t="s">
        <v>578</v>
      </c>
      <c r="K59" t="s">
        <v>593</v>
      </c>
      <c r="L59">
        <v>0</v>
      </c>
      <c r="M59" t="s">
        <v>376</v>
      </c>
      <c r="N59" t="s">
        <v>949</v>
      </c>
    </row>
    <row r="60" spans="1:14" x14ac:dyDescent="0.25">
      <c r="A60">
        <v>60</v>
      </c>
      <c r="B60" t="s">
        <v>594</v>
      </c>
      <c r="C60" t="s">
        <v>357</v>
      </c>
      <c r="D60">
        <v>84368469</v>
      </c>
      <c r="E60" t="s">
        <v>950</v>
      </c>
      <c r="F60" t="s">
        <v>951</v>
      </c>
      <c r="G60" t="s">
        <v>237</v>
      </c>
      <c r="H60" t="s">
        <v>358</v>
      </c>
      <c r="I60" t="s">
        <v>595</v>
      </c>
      <c r="J60" t="s">
        <v>575</v>
      </c>
      <c r="K60" t="s">
        <v>596</v>
      </c>
      <c r="L60">
        <v>0</v>
      </c>
      <c r="M60" t="s">
        <v>376</v>
      </c>
      <c r="N60" t="s">
        <v>952</v>
      </c>
    </row>
    <row r="61" spans="1:14" x14ac:dyDescent="0.25">
      <c r="A61">
        <v>61</v>
      </c>
      <c r="B61" t="s">
        <v>597</v>
      </c>
      <c r="C61" t="s">
        <v>357</v>
      </c>
      <c r="D61">
        <v>552519778</v>
      </c>
      <c r="E61" t="s">
        <v>953</v>
      </c>
      <c r="F61" t="s">
        <v>954</v>
      </c>
      <c r="G61" t="s">
        <v>598</v>
      </c>
      <c r="H61" t="s">
        <v>358</v>
      </c>
      <c r="I61" t="s">
        <v>369</v>
      </c>
      <c r="J61" t="s">
        <v>360</v>
      </c>
      <c r="K61" t="s">
        <v>593</v>
      </c>
      <c r="L61">
        <v>0</v>
      </c>
      <c r="M61" t="s">
        <v>376</v>
      </c>
      <c r="N61" t="s">
        <v>955</v>
      </c>
    </row>
    <row r="62" spans="1:14" x14ac:dyDescent="0.25">
      <c r="A62">
        <v>62</v>
      </c>
      <c r="B62" t="s">
        <v>599</v>
      </c>
      <c r="C62" t="s">
        <v>206</v>
      </c>
      <c r="D62">
        <v>271080770</v>
      </c>
      <c r="E62" t="s">
        <v>600</v>
      </c>
      <c r="F62" t="s">
        <v>601</v>
      </c>
      <c r="G62" t="s">
        <v>234</v>
      </c>
      <c r="H62" t="s">
        <v>358</v>
      </c>
      <c r="I62" t="s">
        <v>359</v>
      </c>
      <c r="J62" t="s">
        <v>425</v>
      </c>
      <c r="K62" t="s">
        <v>602</v>
      </c>
      <c r="L62">
        <v>0</v>
      </c>
      <c r="M62" t="s">
        <v>376</v>
      </c>
      <c r="N62" t="s">
        <v>956</v>
      </c>
    </row>
    <row r="63" spans="1:14" x14ac:dyDescent="0.25">
      <c r="A63">
        <v>63</v>
      </c>
      <c r="B63" t="s">
        <v>603</v>
      </c>
      <c r="C63" t="s">
        <v>357</v>
      </c>
      <c r="D63">
        <v>87925184</v>
      </c>
      <c r="E63" t="s">
        <v>957</v>
      </c>
      <c r="F63" t="s">
        <v>958</v>
      </c>
      <c r="G63" t="s">
        <v>604</v>
      </c>
      <c r="H63" t="s">
        <v>358</v>
      </c>
      <c r="I63" t="s">
        <v>414</v>
      </c>
      <c r="J63" t="s">
        <v>425</v>
      </c>
      <c r="K63" t="s">
        <v>596</v>
      </c>
      <c r="L63">
        <v>0</v>
      </c>
      <c r="M63" t="s">
        <v>376</v>
      </c>
      <c r="N63" t="s">
        <v>959</v>
      </c>
    </row>
    <row r="64" spans="1:14" x14ac:dyDescent="0.25">
      <c r="A64">
        <v>64</v>
      </c>
      <c r="B64" t="s">
        <v>153</v>
      </c>
      <c r="C64" t="s">
        <v>206</v>
      </c>
      <c r="D64">
        <v>4032109267</v>
      </c>
      <c r="E64" t="s">
        <v>605</v>
      </c>
      <c r="F64" t="s">
        <v>606</v>
      </c>
      <c r="G64" t="s">
        <v>284</v>
      </c>
      <c r="H64" t="s">
        <v>358</v>
      </c>
      <c r="I64" t="s">
        <v>359</v>
      </c>
      <c r="J64" t="s">
        <v>580</v>
      </c>
      <c r="K64" t="s">
        <v>607</v>
      </c>
      <c r="L64">
        <v>666666666</v>
      </c>
      <c r="M64" t="s">
        <v>376</v>
      </c>
      <c r="N64" t="s">
        <v>960</v>
      </c>
    </row>
    <row r="65" spans="1:14" x14ac:dyDescent="0.25">
      <c r="A65">
        <v>65</v>
      </c>
      <c r="B65" t="s">
        <v>608</v>
      </c>
      <c r="C65" t="s">
        <v>206</v>
      </c>
      <c r="D65">
        <v>284979202</v>
      </c>
      <c r="E65" t="s">
        <v>609</v>
      </c>
      <c r="F65" t="s">
        <v>610</v>
      </c>
      <c r="G65" t="s">
        <v>287</v>
      </c>
      <c r="H65" t="s">
        <v>358</v>
      </c>
      <c r="I65" t="s">
        <v>359</v>
      </c>
      <c r="J65" t="s">
        <v>554</v>
      </c>
      <c r="K65" t="s">
        <v>611</v>
      </c>
      <c r="L65">
        <v>0</v>
      </c>
      <c r="M65" t="s">
        <v>376</v>
      </c>
      <c r="N65" t="s">
        <v>961</v>
      </c>
    </row>
    <row r="66" spans="1:14" x14ac:dyDescent="0.25">
      <c r="A66">
        <v>66</v>
      </c>
      <c r="B66" t="s">
        <v>152</v>
      </c>
      <c r="C66" t="s">
        <v>206</v>
      </c>
      <c r="D66">
        <v>288139250</v>
      </c>
      <c r="E66" t="s">
        <v>612</v>
      </c>
      <c r="F66" t="s">
        <v>613</v>
      </c>
      <c r="G66" t="s">
        <v>286</v>
      </c>
      <c r="H66" t="s">
        <v>358</v>
      </c>
      <c r="I66" t="s">
        <v>359</v>
      </c>
      <c r="J66" t="s">
        <v>554</v>
      </c>
      <c r="K66" t="s">
        <v>614</v>
      </c>
      <c r="L66">
        <v>0</v>
      </c>
      <c r="M66" t="s">
        <v>376</v>
      </c>
      <c r="N66" t="s">
        <v>962</v>
      </c>
    </row>
    <row r="67" spans="1:14" x14ac:dyDescent="0.25">
      <c r="A67">
        <v>67</v>
      </c>
      <c r="B67" t="s">
        <v>615</v>
      </c>
      <c r="C67" t="s">
        <v>206</v>
      </c>
      <c r="D67">
        <v>2768431411</v>
      </c>
      <c r="E67" t="s">
        <v>616</v>
      </c>
      <c r="F67" t="s">
        <v>617</v>
      </c>
      <c r="G67" t="s">
        <v>288</v>
      </c>
      <c r="H67" t="s">
        <v>358</v>
      </c>
      <c r="I67" t="s">
        <v>414</v>
      </c>
      <c r="J67" t="s">
        <v>580</v>
      </c>
      <c r="K67" t="s">
        <v>618</v>
      </c>
      <c r="L67">
        <v>0</v>
      </c>
      <c r="M67" t="s">
        <v>376</v>
      </c>
      <c r="N67" t="s">
        <v>963</v>
      </c>
    </row>
    <row r="68" spans="1:14" x14ac:dyDescent="0.25">
      <c r="A68">
        <v>68</v>
      </c>
      <c r="B68" t="s">
        <v>619</v>
      </c>
      <c r="C68" t="s">
        <v>206</v>
      </c>
      <c r="D68">
        <v>4031095091</v>
      </c>
      <c r="E68" t="s">
        <v>620</v>
      </c>
      <c r="F68" t="s">
        <v>621</v>
      </c>
      <c r="G68" t="s">
        <v>231</v>
      </c>
      <c r="H68" t="s">
        <v>358</v>
      </c>
      <c r="I68" t="s">
        <v>359</v>
      </c>
      <c r="J68" t="s">
        <v>554</v>
      </c>
      <c r="K68" t="s">
        <v>622</v>
      </c>
      <c r="L68">
        <v>0</v>
      </c>
      <c r="M68" t="s">
        <v>376</v>
      </c>
      <c r="N68" t="s">
        <v>964</v>
      </c>
    </row>
    <row r="69" spans="1:14" x14ac:dyDescent="0.25">
      <c r="A69">
        <v>69</v>
      </c>
      <c r="B69" t="s">
        <v>623</v>
      </c>
      <c r="C69" t="s">
        <v>357</v>
      </c>
      <c r="D69">
        <v>673300538</v>
      </c>
      <c r="E69" t="s">
        <v>965</v>
      </c>
      <c r="F69" t="s">
        <v>966</v>
      </c>
      <c r="G69" t="s">
        <v>624</v>
      </c>
      <c r="H69" t="s">
        <v>358</v>
      </c>
      <c r="I69" t="s">
        <v>414</v>
      </c>
      <c r="J69" t="s">
        <v>580</v>
      </c>
      <c r="K69" t="s">
        <v>625</v>
      </c>
      <c r="L69">
        <v>0</v>
      </c>
      <c r="M69" t="s">
        <v>376</v>
      </c>
      <c r="N69" t="s">
        <v>967</v>
      </c>
    </row>
    <row r="70" spans="1:14" x14ac:dyDescent="0.25">
      <c r="A70">
        <v>70</v>
      </c>
      <c r="B70" t="s">
        <v>626</v>
      </c>
      <c r="C70" t="s">
        <v>357</v>
      </c>
      <c r="D70">
        <v>174666698</v>
      </c>
      <c r="E70" t="s">
        <v>968</v>
      </c>
      <c r="F70" t="s">
        <v>969</v>
      </c>
      <c r="G70" t="s">
        <v>346</v>
      </c>
      <c r="H70" t="s">
        <v>358</v>
      </c>
      <c r="I70" t="s">
        <v>494</v>
      </c>
      <c r="J70" t="s">
        <v>580</v>
      </c>
      <c r="K70" t="s">
        <v>627</v>
      </c>
      <c r="L70">
        <v>999999999</v>
      </c>
      <c r="M70" t="s">
        <v>376</v>
      </c>
      <c r="N70" t="s">
        <v>970</v>
      </c>
    </row>
    <row r="71" spans="1:14" x14ac:dyDescent="0.25">
      <c r="A71">
        <v>71</v>
      </c>
      <c r="B71" t="s">
        <v>132</v>
      </c>
      <c r="C71" t="s">
        <v>206</v>
      </c>
      <c r="D71">
        <v>4030356563</v>
      </c>
      <c r="E71" t="s">
        <v>628</v>
      </c>
      <c r="F71" t="s">
        <v>629</v>
      </c>
      <c r="G71" t="s">
        <v>289</v>
      </c>
      <c r="H71" t="s">
        <v>358</v>
      </c>
      <c r="I71" t="s">
        <v>392</v>
      </c>
      <c r="J71" t="s">
        <v>580</v>
      </c>
      <c r="K71" t="s">
        <v>630</v>
      </c>
      <c r="L71">
        <v>999999999</v>
      </c>
      <c r="M71" t="s">
        <v>376</v>
      </c>
      <c r="N71" t="s">
        <v>971</v>
      </c>
    </row>
    <row r="72" spans="1:14" x14ac:dyDescent="0.25">
      <c r="A72">
        <v>72</v>
      </c>
      <c r="B72" t="s">
        <v>631</v>
      </c>
      <c r="C72" t="s">
        <v>206</v>
      </c>
      <c r="D72">
        <v>4030646579</v>
      </c>
      <c r="E72" t="s">
        <v>972</v>
      </c>
      <c r="F72" t="s">
        <v>973</v>
      </c>
      <c r="G72" t="s">
        <v>264</v>
      </c>
      <c r="H72" t="s">
        <v>358</v>
      </c>
      <c r="I72" t="s">
        <v>632</v>
      </c>
      <c r="J72" t="s">
        <v>583</v>
      </c>
      <c r="K72" t="s">
        <v>633</v>
      </c>
      <c r="L72">
        <v>631376659</v>
      </c>
      <c r="M72" t="s">
        <v>376</v>
      </c>
      <c r="N72" t="s">
        <v>974</v>
      </c>
    </row>
    <row r="73" spans="1:14" x14ac:dyDescent="0.25">
      <c r="A73">
        <v>73</v>
      </c>
      <c r="B73" t="s">
        <v>634</v>
      </c>
      <c r="C73" t="s">
        <v>206</v>
      </c>
      <c r="D73">
        <v>2768257123</v>
      </c>
      <c r="E73" t="s">
        <v>635</v>
      </c>
      <c r="F73" t="s">
        <v>636</v>
      </c>
      <c r="G73" t="s">
        <v>290</v>
      </c>
      <c r="H73" t="s">
        <v>358</v>
      </c>
      <c r="I73" t="s">
        <v>359</v>
      </c>
      <c r="J73" t="s">
        <v>580</v>
      </c>
      <c r="K73" t="s">
        <v>637</v>
      </c>
      <c r="L73">
        <v>666666666</v>
      </c>
      <c r="M73" t="s">
        <v>376</v>
      </c>
      <c r="N73" t="s">
        <v>975</v>
      </c>
    </row>
    <row r="74" spans="1:14" x14ac:dyDescent="0.25">
      <c r="A74">
        <v>74</v>
      </c>
      <c r="B74" t="s">
        <v>638</v>
      </c>
      <c r="C74" t="s">
        <v>206</v>
      </c>
      <c r="D74">
        <v>2767612547</v>
      </c>
      <c r="E74" t="s">
        <v>639</v>
      </c>
      <c r="F74" t="s">
        <v>640</v>
      </c>
      <c r="G74" t="s">
        <v>291</v>
      </c>
      <c r="H74" t="s">
        <v>358</v>
      </c>
      <c r="I74" t="s">
        <v>359</v>
      </c>
      <c r="J74" t="s">
        <v>578</v>
      </c>
      <c r="K74" t="s">
        <v>641</v>
      </c>
      <c r="L74">
        <v>666666666</v>
      </c>
      <c r="M74" t="s">
        <v>376</v>
      </c>
      <c r="N74" t="s">
        <v>976</v>
      </c>
    </row>
    <row r="75" spans="1:14" x14ac:dyDescent="0.25">
      <c r="A75">
        <v>75</v>
      </c>
      <c r="B75" t="s">
        <v>642</v>
      </c>
      <c r="C75" t="s">
        <v>357</v>
      </c>
      <c r="D75">
        <v>174547693</v>
      </c>
      <c r="E75" t="s">
        <v>977</v>
      </c>
      <c r="F75" t="s">
        <v>978</v>
      </c>
      <c r="G75" t="s">
        <v>355</v>
      </c>
      <c r="H75" t="s">
        <v>358</v>
      </c>
      <c r="I75" t="s">
        <v>373</v>
      </c>
      <c r="J75" t="s">
        <v>643</v>
      </c>
      <c r="K75" t="s">
        <v>644</v>
      </c>
      <c r="L75">
        <v>617586910</v>
      </c>
      <c r="M75" t="s">
        <v>645</v>
      </c>
      <c r="N75" t="s">
        <v>979</v>
      </c>
    </row>
    <row r="76" spans="1:14" x14ac:dyDescent="0.25">
      <c r="A76">
        <v>76</v>
      </c>
      <c r="B76" t="s">
        <v>129</v>
      </c>
      <c r="C76" t="s">
        <v>206</v>
      </c>
      <c r="D76">
        <v>4031484995</v>
      </c>
      <c r="E76" t="s">
        <v>646</v>
      </c>
      <c r="F76" t="s">
        <v>647</v>
      </c>
      <c r="G76" t="s">
        <v>293</v>
      </c>
      <c r="H76" t="s">
        <v>358</v>
      </c>
      <c r="I76" t="s">
        <v>414</v>
      </c>
      <c r="J76" t="s">
        <v>648</v>
      </c>
      <c r="K76" t="s">
        <v>649</v>
      </c>
      <c r="L76">
        <v>662321028</v>
      </c>
      <c r="M76" t="s">
        <v>645</v>
      </c>
      <c r="N76" t="s">
        <v>980</v>
      </c>
    </row>
    <row r="77" spans="1:14" x14ac:dyDescent="0.25">
      <c r="A77">
        <v>77</v>
      </c>
      <c r="B77" t="s">
        <v>650</v>
      </c>
      <c r="C77" t="s">
        <v>357</v>
      </c>
      <c r="D77">
        <v>234700544</v>
      </c>
      <c r="E77" t="s">
        <v>981</v>
      </c>
      <c r="F77" t="s">
        <v>982</v>
      </c>
      <c r="G77" t="s">
        <v>651</v>
      </c>
      <c r="H77" t="s">
        <v>358</v>
      </c>
      <c r="I77" t="s">
        <v>369</v>
      </c>
      <c r="J77" t="s">
        <v>652</v>
      </c>
      <c r="K77" t="s">
        <v>653</v>
      </c>
      <c r="L77">
        <v>631825255</v>
      </c>
      <c r="M77" t="s">
        <v>645</v>
      </c>
      <c r="N77" t="s">
        <v>983</v>
      </c>
    </row>
    <row r="78" spans="1:14" x14ac:dyDescent="0.25">
      <c r="A78">
        <v>78</v>
      </c>
      <c r="B78" t="s">
        <v>654</v>
      </c>
      <c r="C78" t="s">
        <v>357</v>
      </c>
      <c r="D78">
        <v>876981740</v>
      </c>
      <c r="E78" t="s">
        <v>984</v>
      </c>
      <c r="F78" t="s">
        <v>985</v>
      </c>
      <c r="G78" t="s">
        <v>353</v>
      </c>
      <c r="H78" t="s">
        <v>358</v>
      </c>
      <c r="I78" t="s">
        <v>373</v>
      </c>
      <c r="J78" t="s">
        <v>655</v>
      </c>
      <c r="K78" t="s">
        <v>656</v>
      </c>
      <c r="L78">
        <v>600123123</v>
      </c>
      <c r="M78" t="s">
        <v>376</v>
      </c>
      <c r="N78" t="s">
        <v>986</v>
      </c>
    </row>
    <row r="79" spans="1:14" x14ac:dyDescent="0.25">
      <c r="A79">
        <v>79</v>
      </c>
      <c r="B79" t="s">
        <v>657</v>
      </c>
      <c r="C79" t="s">
        <v>357</v>
      </c>
      <c r="D79">
        <v>971895932</v>
      </c>
      <c r="E79" t="s">
        <v>987</v>
      </c>
      <c r="F79" t="s">
        <v>988</v>
      </c>
      <c r="G79" t="s">
        <v>354</v>
      </c>
      <c r="H79" t="s">
        <v>358</v>
      </c>
      <c r="I79" t="s">
        <v>373</v>
      </c>
      <c r="J79" t="s">
        <v>658</v>
      </c>
      <c r="K79" t="s">
        <v>644</v>
      </c>
      <c r="L79">
        <v>617587082</v>
      </c>
      <c r="M79" t="s">
        <v>376</v>
      </c>
      <c r="N79" t="s">
        <v>989</v>
      </c>
    </row>
    <row r="80" spans="1:14" x14ac:dyDescent="0.25">
      <c r="A80">
        <v>80</v>
      </c>
      <c r="B80" t="s">
        <v>131</v>
      </c>
      <c r="C80" t="s">
        <v>206</v>
      </c>
      <c r="D80">
        <v>1418629603</v>
      </c>
      <c r="E80" t="s">
        <v>659</v>
      </c>
      <c r="F80" t="s">
        <v>660</v>
      </c>
      <c r="G80" t="s">
        <v>292</v>
      </c>
      <c r="H80" t="s">
        <v>358</v>
      </c>
      <c r="I80" t="s">
        <v>661</v>
      </c>
      <c r="J80" t="s">
        <v>662</v>
      </c>
      <c r="K80" t="s">
        <v>663</v>
      </c>
      <c r="L80">
        <v>603151585</v>
      </c>
      <c r="M80" t="s">
        <v>376</v>
      </c>
      <c r="N80" t="s">
        <v>990</v>
      </c>
    </row>
    <row r="81" spans="1:14" x14ac:dyDescent="0.25">
      <c r="A81">
        <v>81</v>
      </c>
      <c r="B81" t="s">
        <v>664</v>
      </c>
      <c r="C81" t="s">
        <v>357</v>
      </c>
      <c r="D81">
        <v>700128300</v>
      </c>
      <c r="E81" t="s">
        <v>991</v>
      </c>
      <c r="F81" t="s">
        <v>992</v>
      </c>
      <c r="G81" t="s">
        <v>348</v>
      </c>
      <c r="H81" t="s">
        <v>358</v>
      </c>
      <c r="I81" t="s">
        <v>359</v>
      </c>
      <c r="J81" t="s">
        <v>665</v>
      </c>
      <c r="K81" t="s">
        <v>666</v>
      </c>
      <c r="L81">
        <v>674278068</v>
      </c>
      <c r="M81" t="s">
        <v>645</v>
      </c>
      <c r="N81" t="s">
        <v>993</v>
      </c>
    </row>
    <row r="82" spans="1:14" x14ac:dyDescent="0.25">
      <c r="A82">
        <v>82</v>
      </c>
      <c r="B82" t="s">
        <v>667</v>
      </c>
      <c r="C82" t="s">
        <v>357</v>
      </c>
      <c r="D82">
        <v>707242221</v>
      </c>
      <c r="E82" t="s">
        <v>994</v>
      </c>
      <c r="F82" t="s">
        <v>995</v>
      </c>
      <c r="G82" t="s">
        <v>350</v>
      </c>
      <c r="H82" t="s">
        <v>358</v>
      </c>
      <c r="I82" t="s">
        <v>359</v>
      </c>
      <c r="J82" t="s">
        <v>668</v>
      </c>
      <c r="K82" t="s">
        <v>669</v>
      </c>
      <c r="L82">
        <v>664427470</v>
      </c>
      <c r="M82" t="s">
        <v>645</v>
      </c>
      <c r="N82" t="s">
        <v>996</v>
      </c>
    </row>
    <row r="83" spans="1:14" x14ac:dyDescent="0.25">
      <c r="A83">
        <v>83</v>
      </c>
      <c r="B83" t="s">
        <v>670</v>
      </c>
      <c r="C83" t="s">
        <v>357</v>
      </c>
      <c r="D83">
        <v>866350446</v>
      </c>
      <c r="E83" t="s">
        <v>997</v>
      </c>
      <c r="F83" t="s">
        <v>998</v>
      </c>
      <c r="G83" t="s">
        <v>671</v>
      </c>
      <c r="H83" t="s">
        <v>358</v>
      </c>
      <c r="I83" t="s">
        <v>373</v>
      </c>
      <c r="J83" t="s">
        <v>672</v>
      </c>
      <c r="K83" t="s">
        <v>673</v>
      </c>
      <c r="L83">
        <v>624129058</v>
      </c>
      <c r="M83" t="s">
        <v>645</v>
      </c>
      <c r="N83" t="s">
        <v>999</v>
      </c>
    </row>
    <row r="84" spans="1:14" x14ac:dyDescent="0.25">
      <c r="A84">
        <v>84</v>
      </c>
      <c r="B84" t="s">
        <v>674</v>
      </c>
      <c r="C84" t="s">
        <v>206</v>
      </c>
      <c r="D84">
        <v>1418178067</v>
      </c>
      <c r="E84" t="s">
        <v>675</v>
      </c>
      <c r="F84" t="s">
        <v>629</v>
      </c>
      <c r="G84" t="s">
        <v>676</v>
      </c>
      <c r="H84" t="s">
        <v>358</v>
      </c>
      <c r="I84" t="s">
        <v>414</v>
      </c>
      <c r="J84" t="s">
        <v>677</v>
      </c>
      <c r="K84" t="s">
        <v>678</v>
      </c>
      <c r="L84">
        <v>626229457</v>
      </c>
      <c r="M84" t="s">
        <v>645</v>
      </c>
      <c r="N84" t="s">
        <v>1000</v>
      </c>
    </row>
    <row r="85" spans="1:14" x14ac:dyDescent="0.25">
      <c r="A85">
        <v>85</v>
      </c>
      <c r="B85" t="s">
        <v>679</v>
      </c>
      <c r="C85" t="s">
        <v>357</v>
      </c>
      <c r="D85">
        <v>2403620</v>
      </c>
      <c r="E85" t="s">
        <v>1001</v>
      </c>
      <c r="F85" t="s">
        <v>1002</v>
      </c>
      <c r="G85" t="s">
        <v>680</v>
      </c>
      <c r="H85" t="s">
        <v>358</v>
      </c>
      <c r="I85" t="s">
        <v>373</v>
      </c>
      <c r="J85" t="s">
        <v>191</v>
      </c>
      <c r="K85" t="s">
        <v>681</v>
      </c>
      <c r="L85">
        <v>603861554</v>
      </c>
      <c r="M85" t="s">
        <v>376</v>
      </c>
      <c r="N85" t="s">
        <v>1003</v>
      </c>
    </row>
    <row r="86" spans="1:14" x14ac:dyDescent="0.25">
      <c r="A86">
        <v>86</v>
      </c>
      <c r="B86" t="s">
        <v>682</v>
      </c>
      <c r="C86" t="s">
        <v>357</v>
      </c>
      <c r="D86">
        <v>635409912</v>
      </c>
      <c r="E86" t="s">
        <v>1004</v>
      </c>
      <c r="F86" t="s">
        <v>1005</v>
      </c>
      <c r="G86" t="s">
        <v>347</v>
      </c>
      <c r="H86" t="s">
        <v>358</v>
      </c>
      <c r="I86" t="s">
        <v>414</v>
      </c>
      <c r="J86" t="s">
        <v>683</v>
      </c>
      <c r="K86" t="s">
        <v>684</v>
      </c>
      <c r="L86">
        <v>613443291</v>
      </c>
      <c r="M86" t="s">
        <v>376</v>
      </c>
      <c r="N86" t="s">
        <v>1006</v>
      </c>
    </row>
    <row r="87" spans="1:14" x14ac:dyDescent="0.25">
      <c r="A87">
        <v>87</v>
      </c>
      <c r="B87" t="s">
        <v>685</v>
      </c>
      <c r="C87" t="s">
        <v>357</v>
      </c>
      <c r="D87">
        <v>424233971</v>
      </c>
      <c r="E87" t="s">
        <v>1007</v>
      </c>
      <c r="F87" t="s">
        <v>1008</v>
      </c>
      <c r="G87" t="s">
        <v>686</v>
      </c>
      <c r="H87" t="s">
        <v>358</v>
      </c>
      <c r="I87" t="s">
        <v>414</v>
      </c>
      <c r="J87" t="s">
        <v>687</v>
      </c>
      <c r="K87" t="s">
        <v>688</v>
      </c>
      <c r="L87">
        <v>632534916</v>
      </c>
      <c r="M87" t="s">
        <v>376</v>
      </c>
      <c r="N87" t="s">
        <v>1009</v>
      </c>
    </row>
    <row r="88" spans="1:14" x14ac:dyDescent="0.25">
      <c r="A88">
        <v>88</v>
      </c>
      <c r="B88" t="s">
        <v>137</v>
      </c>
      <c r="C88" t="s">
        <v>206</v>
      </c>
      <c r="D88">
        <v>4031880531</v>
      </c>
      <c r="E88" t="s">
        <v>689</v>
      </c>
      <c r="F88" t="s">
        <v>690</v>
      </c>
      <c r="G88" t="s">
        <v>271</v>
      </c>
      <c r="H88" t="s">
        <v>358</v>
      </c>
      <c r="I88" t="s">
        <v>414</v>
      </c>
      <c r="J88" t="s">
        <v>691</v>
      </c>
      <c r="K88" t="s">
        <v>692</v>
      </c>
      <c r="L88">
        <v>602878007</v>
      </c>
      <c r="M88" t="s">
        <v>376</v>
      </c>
      <c r="N88" t="s">
        <v>1010</v>
      </c>
    </row>
    <row r="89" spans="1:14" x14ac:dyDescent="0.25">
      <c r="A89">
        <v>89</v>
      </c>
      <c r="B89" t="s">
        <v>693</v>
      </c>
      <c r="C89" t="s">
        <v>357</v>
      </c>
      <c r="D89">
        <v>785662354</v>
      </c>
      <c r="E89" t="s">
        <v>1011</v>
      </c>
      <c r="F89" t="s">
        <v>1012</v>
      </c>
      <c r="G89" t="s">
        <v>694</v>
      </c>
      <c r="H89" t="s">
        <v>358</v>
      </c>
      <c r="I89" t="s">
        <v>595</v>
      </c>
      <c r="J89" t="s">
        <v>695</v>
      </c>
      <c r="K89" t="s">
        <v>696</v>
      </c>
      <c r="L89">
        <v>631709884</v>
      </c>
      <c r="M89" t="s">
        <v>376</v>
      </c>
      <c r="N89" t="s">
        <v>1013</v>
      </c>
    </row>
    <row r="90" spans="1:14" x14ac:dyDescent="0.25">
      <c r="A90">
        <v>90</v>
      </c>
      <c r="B90" t="s">
        <v>697</v>
      </c>
      <c r="C90" t="s">
        <v>206</v>
      </c>
      <c r="D90">
        <v>287986802</v>
      </c>
      <c r="E90" t="s">
        <v>698</v>
      </c>
      <c r="F90" t="s">
        <v>699</v>
      </c>
      <c r="G90" t="s">
        <v>270</v>
      </c>
      <c r="H90" t="s">
        <v>358</v>
      </c>
      <c r="I90" t="s">
        <v>661</v>
      </c>
      <c r="J90" t="s">
        <v>700</v>
      </c>
      <c r="K90" t="s">
        <v>701</v>
      </c>
      <c r="L90">
        <v>602826619</v>
      </c>
      <c r="M90" t="s">
        <v>376</v>
      </c>
      <c r="N90" t="s">
        <v>1014</v>
      </c>
    </row>
    <row r="91" spans="1:14" x14ac:dyDescent="0.25">
      <c r="A91">
        <v>91</v>
      </c>
      <c r="B91" t="s">
        <v>136</v>
      </c>
      <c r="C91" t="s">
        <v>206</v>
      </c>
      <c r="D91">
        <v>2768431523</v>
      </c>
      <c r="E91" t="s">
        <v>702</v>
      </c>
      <c r="F91" t="s">
        <v>703</v>
      </c>
      <c r="G91" t="s">
        <v>704</v>
      </c>
      <c r="H91" t="s">
        <v>358</v>
      </c>
      <c r="I91" t="s">
        <v>414</v>
      </c>
      <c r="J91" t="s">
        <v>705</v>
      </c>
      <c r="K91" t="s">
        <v>706</v>
      </c>
      <c r="L91">
        <v>695488858</v>
      </c>
      <c r="M91" t="s">
        <v>376</v>
      </c>
      <c r="N91" t="s">
        <v>1015</v>
      </c>
    </row>
    <row r="92" spans="1:14" x14ac:dyDescent="0.25">
      <c r="A92">
        <v>92</v>
      </c>
      <c r="B92" t="s">
        <v>707</v>
      </c>
      <c r="C92" t="s">
        <v>206</v>
      </c>
      <c r="D92">
        <v>3047221744</v>
      </c>
      <c r="E92" t="s">
        <v>708</v>
      </c>
      <c r="F92" t="s">
        <v>709</v>
      </c>
      <c r="G92" t="s">
        <v>316</v>
      </c>
      <c r="H92" t="s">
        <v>358</v>
      </c>
      <c r="I92" t="s">
        <v>595</v>
      </c>
      <c r="J92" t="s">
        <v>710</v>
      </c>
      <c r="K92" t="s">
        <v>711</v>
      </c>
      <c r="L92">
        <v>632331217</v>
      </c>
      <c r="M92" t="s">
        <v>376</v>
      </c>
      <c r="N92" t="s">
        <v>1016</v>
      </c>
    </row>
    <row r="93" spans="1:14" x14ac:dyDescent="0.25">
      <c r="A93">
        <v>93</v>
      </c>
      <c r="B93" t="s">
        <v>712</v>
      </c>
      <c r="C93" t="s">
        <v>206</v>
      </c>
      <c r="D93">
        <v>3048118096</v>
      </c>
      <c r="E93" t="s">
        <v>713</v>
      </c>
      <c r="F93" t="s">
        <v>714</v>
      </c>
      <c r="G93" t="s">
        <v>345</v>
      </c>
      <c r="H93" t="s">
        <v>358</v>
      </c>
      <c r="I93" t="s">
        <v>373</v>
      </c>
      <c r="J93" t="s">
        <v>10</v>
      </c>
      <c r="K93" t="s">
        <v>715</v>
      </c>
      <c r="L93">
        <v>1233312121</v>
      </c>
      <c r="M93" t="s">
        <v>376</v>
      </c>
      <c r="N93" t="s">
        <v>1017</v>
      </c>
    </row>
    <row r="94" spans="1:14" x14ac:dyDescent="0.25">
      <c r="A94">
        <v>94</v>
      </c>
      <c r="B94" t="s">
        <v>716</v>
      </c>
      <c r="C94" t="s">
        <v>206</v>
      </c>
      <c r="D94">
        <v>3047429552</v>
      </c>
      <c r="E94" t="s">
        <v>717</v>
      </c>
      <c r="F94" t="s">
        <v>718</v>
      </c>
      <c r="G94" t="s">
        <v>322</v>
      </c>
      <c r="H94" t="s">
        <v>358</v>
      </c>
      <c r="I94" t="s">
        <v>373</v>
      </c>
      <c r="J94" t="s">
        <v>719</v>
      </c>
      <c r="K94" t="s">
        <v>720</v>
      </c>
      <c r="L94">
        <v>1</v>
      </c>
      <c r="M94" t="s">
        <v>376</v>
      </c>
      <c r="N94" t="s">
        <v>1018</v>
      </c>
    </row>
    <row r="95" spans="1:14" x14ac:dyDescent="0.25">
      <c r="A95">
        <v>95</v>
      </c>
      <c r="B95" t="s">
        <v>721</v>
      </c>
      <c r="C95" t="s">
        <v>206</v>
      </c>
      <c r="D95">
        <v>3048237616</v>
      </c>
      <c r="E95" t="s">
        <v>722</v>
      </c>
      <c r="F95" t="s">
        <v>723</v>
      </c>
      <c r="G95" t="s">
        <v>323</v>
      </c>
      <c r="H95" t="s">
        <v>358</v>
      </c>
      <c r="I95" t="s">
        <v>373</v>
      </c>
      <c r="J95" t="s">
        <v>719</v>
      </c>
      <c r="K95" t="s">
        <v>724</v>
      </c>
      <c r="L95">
        <v>625299612</v>
      </c>
      <c r="M95" t="s">
        <v>376</v>
      </c>
      <c r="N95" t="s">
        <v>1019</v>
      </c>
    </row>
    <row r="96" spans="1:14" x14ac:dyDescent="0.25">
      <c r="A96">
        <v>96</v>
      </c>
      <c r="B96" t="s">
        <v>725</v>
      </c>
      <c r="C96" t="s">
        <v>206</v>
      </c>
      <c r="D96">
        <v>3043471712</v>
      </c>
      <c r="E96" t="s">
        <v>726</v>
      </c>
      <c r="F96" t="s">
        <v>727</v>
      </c>
      <c r="G96" t="s">
        <v>327</v>
      </c>
      <c r="H96" t="s">
        <v>358</v>
      </c>
      <c r="I96" t="s">
        <v>369</v>
      </c>
      <c r="J96" t="s">
        <v>191</v>
      </c>
      <c r="K96" t="s">
        <v>728</v>
      </c>
      <c r="L96">
        <v>631462118</v>
      </c>
      <c r="M96" t="s">
        <v>376</v>
      </c>
      <c r="N96" t="s">
        <v>1020</v>
      </c>
    </row>
    <row r="97" spans="1:14" x14ac:dyDescent="0.25">
      <c r="A97">
        <v>97</v>
      </c>
      <c r="B97" t="s">
        <v>729</v>
      </c>
      <c r="C97" t="s">
        <v>206</v>
      </c>
      <c r="D97">
        <v>3048185904</v>
      </c>
      <c r="E97" t="s">
        <v>730</v>
      </c>
      <c r="F97" t="s">
        <v>731</v>
      </c>
      <c r="G97" t="s">
        <v>328</v>
      </c>
      <c r="H97" t="s">
        <v>358</v>
      </c>
      <c r="I97" t="s">
        <v>373</v>
      </c>
      <c r="J97" t="s">
        <v>191</v>
      </c>
      <c r="K97" t="s">
        <v>732</v>
      </c>
      <c r="L97">
        <v>632488407</v>
      </c>
      <c r="M97" t="s">
        <v>376</v>
      </c>
      <c r="N97" t="s">
        <v>1021</v>
      </c>
    </row>
    <row r="98" spans="1:14" x14ac:dyDescent="0.25">
      <c r="A98">
        <v>98</v>
      </c>
      <c r="B98" t="s">
        <v>733</v>
      </c>
      <c r="C98" t="s">
        <v>206</v>
      </c>
      <c r="D98">
        <v>3047834624</v>
      </c>
      <c r="E98" t="s">
        <v>734</v>
      </c>
      <c r="F98" t="s">
        <v>735</v>
      </c>
      <c r="G98" t="s">
        <v>329</v>
      </c>
      <c r="H98" t="s">
        <v>358</v>
      </c>
      <c r="I98" t="s">
        <v>373</v>
      </c>
      <c r="J98" t="s">
        <v>736</v>
      </c>
      <c r="K98" t="s">
        <v>737</v>
      </c>
      <c r="L98">
        <v>612572316</v>
      </c>
      <c r="M98" t="s">
        <v>376</v>
      </c>
      <c r="N98" t="s">
        <v>1022</v>
      </c>
    </row>
    <row r="99" spans="1:14" x14ac:dyDescent="0.25">
      <c r="A99">
        <v>99</v>
      </c>
      <c r="B99" t="s">
        <v>738</v>
      </c>
      <c r="C99" t="s">
        <v>206</v>
      </c>
      <c r="D99">
        <v>3048241520</v>
      </c>
      <c r="E99" t="s">
        <v>739</v>
      </c>
      <c r="F99" t="s">
        <v>740</v>
      </c>
      <c r="G99" t="s">
        <v>330</v>
      </c>
      <c r="H99" t="s">
        <v>358</v>
      </c>
      <c r="I99" t="s">
        <v>373</v>
      </c>
      <c r="J99" t="s">
        <v>191</v>
      </c>
      <c r="K99" t="s">
        <v>10</v>
      </c>
      <c r="L99">
        <v>0</v>
      </c>
      <c r="M99" t="s">
        <v>376</v>
      </c>
      <c r="N99" t="s">
        <v>1023</v>
      </c>
    </row>
    <row r="100" spans="1:14" x14ac:dyDescent="0.25">
      <c r="A100">
        <v>100</v>
      </c>
      <c r="B100" t="s">
        <v>741</v>
      </c>
      <c r="C100" t="s">
        <v>206</v>
      </c>
      <c r="D100">
        <v>3048139952</v>
      </c>
      <c r="E100" t="s">
        <v>742</v>
      </c>
      <c r="F100" t="s">
        <v>743</v>
      </c>
      <c r="G100" t="s">
        <v>331</v>
      </c>
      <c r="H100" t="s">
        <v>358</v>
      </c>
      <c r="I100" t="s">
        <v>359</v>
      </c>
      <c r="J100" t="s">
        <v>191</v>
      </c>
      <c r="K100" t="s">
        <v>744</v>
      </c>
      <c r="L100">
        <v>618531701</v>
      </c>
      <c r="M100" t="s">
        <v>376</v>
      </c>
      <c r="N100" t="s">
        <v>1024</v>
      </c>
    </row>
    <row r="101" spans="1:14" x14ac:dyDescent="0.25">
      <c r="A101">
        <v>101</v>
      </c>
      <c r="B101" t="s">
        <v>745</v>
      </c>
      <c r="C101" t="s">
        <v>206</v>
      </c>
      <c r="D101">
        <v>3046766832</v>
      </c>
      <c r="E101" t="s">
        <v>746</v>
      </c>
      <c r="F101" t="s">
        <v>747</v>
      </c>
      <c r="G101" t="s">
        <v>317</v>
      </c>
      <c r="H101" t="s">
        <v>358</v>
      </c>
      <c r="I101" t="s">
        <v>489</v>
      </c>
      <c r="J101" t="s">
        <v>748</v>
      </c>
      <c r="K101" t="s">
        <v>749</v>
      </c>
      <c r="L101">
        <v>619287255</v>
      </c>
      <c r="M101" t="s">
        <v>376</v>
      </c>
      <c r="N101" t="s">
        <v>1025</v>
      </c>
    </row>
    <row r="102" spans="1:14" x14ac:dyDescent="0.25">
      <c r="A102">
        <v>102</v>
      </c>
      <c r="B102" t="s">
        <v>750</v>
      </c>
      <c r="C102" t="s">
        <v>206</v>
      </c>
      <c r="D102">
        <v>3047610416</v>
      </c>
      <c r="E102" t="s">
        <v>751</v>
      </c>
      <c r="F102" t="s">
        <v>752</v>
      </c>
      <c r="G102" t="s">
        <v>318</v>
      </c>
      <c r="H102" t="s">
        <v>358</v>
      </c>
      <c r="I102" t="s">
        <v>359</v>
      </c>
      <c r="J102" t="s">
        <v>191</v>
      </c>
      <c r="K102" t="s">
        <v>753</v>
      </c>
      <c r="L102">
        <v>616460839</v>
      </c>
      <c r="M102" t="s">
        <v>376</v>
      </c>
      <c r="N102" t="s">
        <v>1026</v>
      </c>
    </row>
    <row r="103" spans="1:14" x14ac:dyDescent="0.25">
      <c r="A103">
        <v>103</v>
      </c>
      <c r="B103" t="s">
        <v>754</v>
      </c>
      <c r="C103" t="s">
        <v>206</v>
      </c>
      <c r="D103">
        <v>3042116272</v>
      </c>
      <c r="E103" t="s">
        <v>755</v>
      </c>
      <c r="F103" t="s">
        <v>756</v>
      </c>
      <c r="G103" t="s">
        <v>320</v>
      </c>
      <c r="H103" t="s">
        <v>358</v>
      </c>
      <c r="I103" t="s">
        <v>359</v>
      </c>
      <c r="J103" t="s">
        <v>757</v>
      </c>
      <c r="K103" t="s">
        <v>758</v>
      </c>
      <c r="L103">
        <v>609465446</v>
      </c>
      <c r="M103" t="s">
        <v>376</v>
      </c>
      <c r="N103" t="s">
        <v>1027</v>
      </c>
    </row>
    <row r="104" spans="1:14" x14ac:dyDescent="0.25">
      <c r="A104">
        <v>104</v>
      </c>
      <c r="B104" t="s">
        <v>759</v>
      </c>
      <c r="C104" t="s">
        <v>357</v>
      </c>
      <c r="D104">
        <v>50830137</v>
      </c>
      <c r="E104" t="s">
        <v>1028</v>
      </c>
      <c r="F104" t="s">
        <v>1029</v>
      </c>
      <c r="G104" t="s">
        <v>760</v>
      </c>
      <c r="H104" t="s">
        <v>512</v>
      </c>
      <c r="I104" t="s">
        <v>359</v>
      </c>
      <c r="J104" t="s">
        <v>760</v>
      </c>
      <c r="K104" t="s">
        <v>760</v>
      </c>
      <c r="L104">
        <v>1</v>
      </c>
      <c r="M104" t="s">
        <v>376</v>
      </c>
      <c r="N104" t="s">
        <v>1030</v>
      </c>
    </row>
    <row r="105" spans="1:14" x14ac:dyDescent="0.25">
      <c r="A105">
        <v>105</v>
      </c>
      <c r="B105" t="s">
        <v>761</v>
      </c>
      <c r="C105" t="s">
        <v>206</v>
      </c>
      <c r="D105">
        <v>2492292546</v>
      </c>
      <c r="E105" t="s">
        <v>762</v>
      </c>
      <c r="F105" t="s">
        <v>763</v>
      </c>
      <c r="G105" t="s">
        <v>342</v>
      </c>
      <c r="H105" t="s">
        <v>512</v>
      </c>
      <c r="I105" t="s">
        <v>373</v>
      </c>
      <c r="J105" t="s">
        <v>764</v>
      </c>
      <c r="K105" t="s">
        <v>765</v>
      </c>
      <c r="L105">
        <v>628771861</v>
      </c>
      <c r="M105" t="s">
        <v>376</v>
      </c>
      <c r="N105" t="s">
        <v>1031</v>
      </c>
    </row>
    <row r="106" spans="1:14" x14ac:dyDescent="0.25">
      <c r="A106">
        <v>106</v>
      </c>
      <c r="B106" t="s">
        <v>766</v>
      </c>
      <c r="C106" t="s">
        <v>206</v>
      </c>
      <c r="D106">
        <v>3047610304</v>
      </c>
      <c r="E106" t="s">
        <v>767</v>
      </c>
      <c r="F106" t="s">
        <v>768</v>
      </c>
      <c r="G106" t="s">
        <v>343</v>
      </c>
      <c r="H106" t="s">
        <v>358</v>
      </c>
      <c r="I106" t="s">
        <v>359</v>
      </c>
      <c r="J106" t="s">
        <v>769</v>
      </c>
      <c r="K106" t="s">
        <v>770</v>
      </c>
      <c r="L106">
        <v>615349753</v>
      </c>
      <c r="M106" t="s">
        <v>376</v>
      </c>
      <c r="N106" t="s">
        <v>1032</v>
      </c>
    </row>
    <row r="107" spans="1:14" x14ac:dyDescent="0.25">
      <c r="A107">
        <v>107</v>
      </c>
      <c r="B107" t="s">
        <v>771</v>
      </c>
      <c r="C107" t="s">
        <v>206</v>
      </c>
      <c r="D107">
        <v>3051300176</v>
      </c>
      <c r="E107" t="s">
        <v>772</v>
      </c>
      <c r="F107" t="s">
        <v>773</v>
      </c>
      <c r="G107" t="s">
        <v>321</v>
      </c>
      <c r="H107" t="s">
        <v>358</v>
      </c>
      <c r="I107" t="s">
        <v>373</v>
      </c>
      <c r="J107" t="s">
        <v>191</v>
      </c>
      <c r="K107" t="s">
        <v>774</v>
      </c>
      <c r="L107">
        <v>651751807</v>
      </c>
      <c r="M107" t="s">
        <v>376</v>
      </c>
      <c r="N107" t="s">
        <v>1017</v>
      </c>
    </row>
    <row r="108" spans="1:14" x14ac:dyDescent="0.25">
      <c r="A108">
        <v>108</v>
      </c>
      <c r="B108" t="s">
        <v>775</v>
      </c>
      <c r="C108" t="s">
        <v>206</v>
      </c>
      <c r="D108">
        <v>3043257024</v>
      </c>
      <c r="E108" t="s">
        <v>776</v>
      </c>
      <c r="F108" t="s">
        <v>777</v>
      </c>
      <c r="G108" t="s">
        <v>326</v>
      </c>
      <c r="H108" t="s">
        <v>358</v>
      </c>
      <c r="I108" t="s">
        <v>373</v>
      </c>
      <c r="J108" t="s">
        <v>191</v>
      </c>
      <c r="K108" t="s">
        <v>778</v>
      </c>
      <c r="L108">
        <v>678222333</v>
      </c>
      <c r="M108" t="s">
        <v>376</v>
      </c>
      <c r="N108" t="s">
        <v>1033</v>
      </c>
    </row>
    <row r="109" spans="1:14" x14ac:dyDescent="0.25">
      <c r="A109">
        <v>109</v>
      </c>
      <c r="B109" t="s">
        <v>154</v>
      </c>
      <c r="C109" t="s">
        <v>206</v>
      </c>
      <c r="D109">
        <v>2767657811</v>
      </c>
      <c r="E109" t="s">
        <v>779</v>
      </c>
      <c r="F109" t="s">
        <v>780</v>
      </c>
      <c r="G109" t="s">
        <v>267</v>
      </c>
      <c r="H109" t="s">
        <v>358</v>
      </c>
      <c r="I109" t="s">
        <v>359</v>
      </c>
      <c r="J109" t="s">
        <v>781</v>
      </c>
      <c r="K109" t="s">
        <v>782</v>
      </c>
      <c r="L109">
        <v>677735184</v>
      </c>
      <c r="M109" t="s">
        <v>362</v>
      </c>
      <c r="N109" t="s">
        <v>1034</v>
      </c>
    </row>
    <row r="110" spans="1:14" x14ac:dyDescent="0.25">
      <c r="A110">
        <v>110</v>
      </c>
      <c r="B110" t="s">
        <v>783</v>
      </c>
      <c r="C110" t="s">
        <v>206</v>
      </c>
      <c r="D110">
        <v>270968882</v>
      </c>
      <c r="E110" t="s">
        <v>784</v>
      </c>
      <c r="F110" t="s">
        <v>785</v>
      </c>
      <c r="G110" t="s">
        <v>265</v>
      </c>
      <c r="H110" t="s">
        <v>358</v>
      </c>
      <c r="I110" t="s">
        <v>414</v>
      </c>
      <c r="J110" t="s">
        <v>786</v>
      </c>
      <c r="K110" t="s">
        <v>787</v>
      </c>
      <c r="L110">
        <v>622394736</v>
      </c>
      <c r="M110" t="s">
        <v>376</v>
      </c>
      <c r="N110" t="s">
        <v>1035</v>
      </c>
    </row>
    <row r="111" spans="1:14" x14ac:dyDescent="0.25">
      <c r="A111">
        <v>111</v>
      </c>
      <c r="B111" t="s">
        <v>788</v>
      </c>
      <c r="C111" t="s">
        <v>206</v>
      </c>
      <c r="D111">
        <v>2767662803</v>
      </c>
      <c r="E111" t="s">
        <v>789</v>
      </c>
      <c r="F111" t="s">
        <v>790</v>
      </c>
      <c r="G111" t="s">
        <v>791</v>
      </c>
      <c r="H111" t="s">
        <v>358</v>
      </c>
      <c r="I111" t="s">
        <v>414</v>
      </c>
      <c r="J111" t="s">
        <v>792</v>
      </c>
      <c r="K111" t="s">
        <v>793</v>
      </c>
      <c r="L111">
        <v>692497261</v>
      </c>
      <c r="M111" t="s">
        <v>376</v>
      </c>
      <c r="N111" t="s">
        <v>1036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F0EEF-0CFB-4456-8BDD-57CCECA4EF09}">
  <sheetPr codeName="Hoja3"/>
  <dimension ref="B1:M31"/>
  <sheetViews>
    <sheetView workbookViewId="0"/>
  </sheetViews>
  <sheetFormatPr baseColWidth="10" defaultRowHeight="15" x14ac:dyDescent="0.25"/>
  <cols>
    <col min="8" max="8" width="3" bestFit="1" customWidth="1"/>
    <col min="9" max="9" width="10.5703125" bestFit="1" customWidth="1"/>
    <col min="10" max="10" width="68" bestFit="1" customWidth="1"/>
    <col min="11" max="11" width="14.28515625" bestFit="1" customWidth="1"/>
    <col min="12" max="12" width="17.28515625" customWidth="1"/>
    <col min="13" max="13" width="15.140625" bestFit="1" customWidth="1"/>
  </cols>
  <sheetData>
    <row r="1" spans="2:13" ht="40.5" customHeight="1" x14ac:dyDescent="0.25">
      <c r="G1" t="s">
        <v>798</v>
      </c>
      <c r="H1" t="s">
        <v>1095</v>
      </c>
      <c r="I1" t="s">
        <v>1096</v>
      </c>
      <c r="J1" t="s">
        <v>1097</v>
      </c>
      <c r="K1" t="s">
        <v>2422</v>
      </c>
    </row>
    <row r="2" spans="2:13" ht="17.25" customHeight="1" x14ac:dyDescent="0.25">
      <c r="B2" s="200" t="s">
        <v>1065</v>
      </c>
      <c r="C2" s="200"/>
      <c r="D2" s="200"/>
      <c r="E2" s="200"/>
      <c r="G2" s="105">
        <v>45292</v>
      </c>
      <c r="H2">
        <v>1</v>
      </c>
      <c r="I2" t="s">
        <v>1086</v>
      </c>
      <c r="J2" t="s">
        <v>1071</v>
      </c>
      <c r="K2" t="s">
        <v>2423</v>
      </c>
      <c r="L2" t="s">
        <v>2424</v>
      </c>
    </row>
    <row r="3" spans="2:13" x14ac:dyDescent="0.25">
      <c r="B3" s="198" t="s">
        <v>1066</v>
      </c>
      <c r="C3" s="199" t="s">
        <v>1067</v>
      </c>
      <c r="D3" s="199"/>
      <c r="E3" s="199"/>
      <c r="G3" s="105">
        <v>45297</v>
      </c>
      <c r="H3">
        <v>6</v>
      </c>
      <c r="I3" t="s">
        <v>1086</v>
      </c>
      <c r="J3" t="s">
        <v>1072</v>
      </c>
      <c r="K3" t="s">
        <v>2425</v>
      </c>
      <c r="L3" t="s">
        <v>1064</v>
      </c>
    </row>
    <row r="4" spans="2:13" x14ac:dyDescent="0.25">
      <c r="B4" s="198"/>
      <c r="C4" s="113" t="s">
        <v>1068</v>
      </c>
      <c r="D4" s="113" t="s">
        <v>1069</v>
      </c>
      <c r="E4" s="113" t="s">
        <v>1070</v>
      </c>
      <c r="G4" s="105">
        <v>45370</v>
      </c>
      <c r="H4">
        <v>19</v>
      </c>
      <c r="I4" t="s">
        <v>1087</v>
      </c>
      <c r="J4" t="s">
        <v>1073</v>
      </c>
      <c r="K4" t="s">
        <v>2426</v>
      </c>
      <c r="L4" t="s">
        <v>2427</v>
      </c>
    </row>
    <row r="5" spans="2:13" x14ac:dyDescent="0.25">
      <c r="B5" s="137">
        <v>100</v>
      </c>
      <c r="C5" s="138">
        <v>9.56</v>
      </c>
      <c r="D5" s="138">
        <v>9.56</v>
      </c>
      <c r="E5" s="138">
        <v>11.95</v>
      </c>
      <c r="G5" s="105">
        <v>45410</v>
      </c>
      <c r="H5">
        <v>28</v>
      </c>
      <c r="I5" t="s">
        <v>1088</v>
      </c>
      <c r="J5" t="s">
        <v>1074</v>
      </c>
    </row>
    <row r="6" spans="2:13" x14ac:dyDescent="0.25">
      <c r="B6" s="137">
        <v>300</v>
      </c>
      <c r="C6" s="138">
        <v>8.9</v>
      </c>
      <c r="D6" s="138">
        <v>8.9</v>
      </c>
      <c r="E6" s="138">
        <v>11.12</v>
      </c>
      <c r="G6" s="105">
        <v>45400</v>
      </c>
      <c r="H6">
        <v>18</v>
      </c>
      <c r="I6" t="s">
        <v>1088</v>
      </c>
      <c r="J6" t="s">
        <v>1075</v>
      </c>
    </row>
    <row r="7" spans="2:13" x14ac:dyDescent="0.25">
      <c r="B7" s="137">
        <v>389</v>
      </c>
      <c r="C7" s="138">
        <v>9.56</v>
      </c>
      <c r="D7" s="138">
        <v>9.56</v>
      </c>
      <c r="E7" s="138">
        <v>11.95</v>
      </c>
      <c r="G7" s="105">
        <v>45396</v>
      </c>
      <c r="H7">
        <v>14</v>
      </c>
      <c r="I7" t="s">
        <v>1088</v>
      </c>
      <c r="J7" t="s">
        <v>1076</v>
      </c>
      <c r="K7" s="199" t="s">
        <v>201</v>
      </c>
      <c r="L7" s="199"/>
      <c r="M7" s="199"/>
    </row>
    <row r="8" spans="2:13" x14ac:dyDescent="0.25">
      <c r="G8" s="105">
        <v>45413</v>
      </c>
      <c r="H8">
        <v>1</v>
      </c>
      <c r="I8" t="s">
        <v>1089</v>
      </c>
      <c r="J8" t="s">
        <v>1077</v>
      </c>
      <c r="K8" s="166" t="s">
        <v>185</v>
      </c>
      <c r="L8" s="167" t="s">
        <v>2428</v>
      </c>
      <c r="M8" s="167" t="s">
        <v>2429</v>
      </c>
    </row>
    <row r="9" spans="2:13" x14ac:dyDescent="0.25">
      <c r="G9" s="105">
        <v>45466</v>
      </c>
      <c r="H9">
        <v>23</v>
      </c>
      <c r="I9" t="s">
        <v>1090</v>
      </c>
      <c r="J9" t="s">
        <v>1078</v>
      </c>
      <c r="K9" s="111" t="s">
        <v>191</v>
      </c>
      <c r="L9" s="112">
        <v>200</v>
      </c>
      <c r="M9" s="112">
        <v>35</v>
      </c>
    </row>
    <row r="10" spans="2:13" x14ac:dyDescent="0.25">
      <c r="G10" s="105">
        <v>45467</v>
      </c>
      <c r="H10">
        <v>24</v>
      </c>
      <c r="I10" t="s">
        <v>1090</v>
      </c>
      <c r="J10" t="s">
        <v>1079</v>
      </c>
      <c r="K10" s="111" t="s">
        <v>192</v>
      </c>
      <c r="L10" s="112">
        <v>300</v>
      </c>
      <c r="M10" s="112">
        <v>45</v>
      </c>
    </row>
    <row r="11" spans="2:13" x14ac:dyDescent="0.25">
      <c r="G11" s="105">
        <v>45519</v>
      </c>
      <c r="H11">
        <v>15</v>
      </c>
      <c r="I11" t="s">
        <v>1091</v>
      </c>
      <c r="J11" t="s">
        <v>1080</v>
      </c>
      <c r="K11" s="111"/>
      <c r="L11" s="112"/>
      <c r="M11" s="112"/>
    </row>
    <row r="12" spans="2:13" x14ac:dyDescent="0.25">
      <c r="G12" s="105">
        <v>45577</v>
      </c>
      <c r="H12">
        <v>12</v>
      </c>
      <c r="I12" t="s">
        <v>1092</v>
      </c>
      <c r="J12" t="s">
        <v>1081</v>
      </c>
      <c r="K12" s="111"/>
      <c r="L12" s="112"/>
      <c r="M12" s="112"/>
    </row>
    <row r="13" spans="2:13" x14ac:dyDescent="0.25">
      <c r="G13" s="105">
        <v>45574</v>
      </c>
      <c r="H13">
        <v>9</v>
      </c>
      <c r="I13" t="s">
        <v>1092</v>
      </c>
      <c r="J13" t="s">
        <v>1082</v>
      </c>
    </row>
    <row r="14" spans="2:13" x14ac:dyDescent="0.25">
      <c r="G14" s="105">
        <v>45597</v>
      </c>
      <c r="H14">
        <v>1</v>
      </c>
      <c r="I14" t="s">
        <v>1093</v>
      </c>
      <c r="J14" t="s">
        <v>1083</v>
      </c>
    </row>
    <row r="15" spans="2:13" x14ac:dyDescent="0.25">
      <c r="G15" s="105">
        <v>45632</v>
      </c>
      <c r="H15">
        <v>6</v>
      </c>
      <c r="I15" t="s">
        <v>1094</v>
      </c>
      <c r="J15" t="s">
        <v>1084</v>
      </c>
    </row>
    <row r="16" spans="2:13" x14ac:dyDescent="0.25">
      <c r="G16" s="105">
        <v>45634</v>
      </c>
      <c r="H16">
        <v>8</v>
      </c>
      <c r="I16" t="s">
        <v>1094</v>
      </c>
      <c r="J16" t="s">
        <v>1085</v>
      </c>
    </row>
    <row r="17" spans="7:10" x14ac:dyDescent="0.25">
      <c r="G17" s="105">
        <v>45658</v>
      </c>
      <c r="H17">
        <v>1</v>
      </c>
      <c r="I17" t="s">
        <v>1086</v>
      </c>
      <c r="J17" t="s">
        <v>1071</v>
      </c>
    </row>
    <row r="18" spans="7:10" x14ac:dyDescent="0.25">
      <c r="G18" s="105">
        <v>45663</v>
      </c>
      <c r="H18">
        <v>6</v>
      </c>
      <c r="I18" t="s">
        <v>1086</v>
      </c>
      <c r="J18" t="s">
        <v>1072</v>
      </c>
    </row>
    <row r="19" spans="7:10" x14ac:dyDescent="0.25">
      <c r="G19" s="105">
        <v>45735</v>
      </c>
      <c r="H19">
        <v>19</v>
      </c>
      <c r="I19" t="s">
        <v>1087</v>
      </c>
      <c r="J19" t="s">
        <v>1073</v>
      </c>
    </row>
    <row r="20" spans="7:10" x14ac:dyDescent="0.25">
      <c r="G20" s="105">
        <v>45775</v>
      </c>
      <c r="H20">
        <v>28</v>
      </c>
      <c r="I20" t="s">
        <v>1088</v>
      </c>
      <c r="J20" t="s">
        <v>1074</v>
      </c>
    </row>
    <row r="21" spans="7:10" x14ac:dyDescent="0.25">
      <c r="G21" s="105">
        <v>45765</v>
      </c>
      <c r="H21">
        <v>18</v>
      </c>
      <c r="I21" t="s">
        <v>1088</v>
      </c>
      <c r="J21" t="s">
        <v>1075</v>
      </c>
    </row>
    <row r="22" spans="7:10" x14ac:dyDescent="0.25">
      <c r="G22" s="105">
        <v>45761</v>
      </c>
      <c r="H22">
        <v>14</v>
      </c>
      <c r="I22" t="s">
        <v>1088</v>
      </c>
      <c r="J22" t="s">
        <v>1076</v>
      </c>
    </row>
    <row r="23" spans="7:10" x14ac:dyDescent="0.25">
      <c r="G23" s="105">
        <v>45778</v>
      </c>
      <c r="H23">
        <v>1</v>
      </c>
      <c r="I23" t="s">
        <v>1089</v>
      </c>
      <c r="J23" t="s">
        <v>1077</v>
      </c>
    </row>
    <row r="24" spans="7:10" x14ac:dyDescent="0.25">
      <c r="G24" s="105">
        <v>45831</v>
      </c>
      <c r="H24">
        <v>23</v>
      </c>
      <c r="I24" t="s">
        <v>1090</v>
      </c>
      <c r="J24" t="s">
        <v>1078</v>
      </c>
    </row>
    <row r="25" spans="7:10" x14ac:dyDescent="0.25">
      <c r="G25" s="105">
        <v>45832</v>
      </c>
      <c r="H25">
        <v>24</v>
      </c>
      <c r="I25" t="s">
        <v>1090</v>
      </c>
      <c r="J25" t="s">
        <v>1079</v>
      </c>
    </row>
    <row r="26" spans="7:10" x14ac:dyDescent="0.25">
      <c r="G26" s="105">
        <v>45884</v>
      </c>
      <c r="H26">
        <v>15</v>
      </c>
      <c r="I26" t="s">
        <v>1091</v>
      </c>
      <c r="J26" t="s">
        <v>1080</v>
      </c>
    </row>
    <row r="27" spans="7:10" x14ac:dyDescent="0.25">
      <c r="G27" s="105">
        <v>45942</v>
      </c>
      <c r="H27">
        <v>12</v>
      </c>
      <c r="I27" t="s">
        <v>1092</v>
      </c>
      <c r="J27" t="s">
        <v>1081</v>
      </c>
    </row>
    <row r="28" spans="7:10" x14ac:dyDescent="0.25">
      <c r="G28" s="105">
        <v>45939</v>
      </c>
      <c r="H28">
        <v>9</v>
      </c>
      <c r="I28" t="s">
        <v>1092</v>
      </c>
      <c r="J28" t="s">
        <v>1082</v>
      </c>
    </row>
    <row r="29" spans="7:10" x14ac:dyDescent="0.25">
      <c r="G29" s="105">
        <v>45962</v>
      </c>
      <c r="H29">
        <v>1</v>
      </c>
      <c r="I29" t="s">
        <v>1093</v>
      </c>
      <c r="J29" t="s">
        <v>1083</v>
      </c>
    </row>
    <row r="30" spans="7:10" x14ac:dyDescent="0.25">
      <c r="G30" s="105">
        <v>45997</v>
      </c>
      <c r="H30">
        <v>6</v>
      </c>
      <c r="I30" t="s">
        <v>1094</v>
      </c>
      <c r="J30" t="s">
        <v>1084</v>
      </c>
    </row>
    <row r="31" spans="7:10" x14ac:dyDescent="0.25">
      <c r="G31" s="105">
        <v>45999</v>
      </c>
      <c r="H31">
        <v>8</v>
      </c>
      <c r="I31" t="s">
        <v>1094</v>
      </c>
      <c r="J31" t="s">
        <v>1085</v>
      </c>
    </row>
  </sheetData>
  <mergeCells count="4">
    <mergeCell ref="B3:B4"/>
    <mergeCell ref="C3:E3"/>
    <mergeCell ref="B2:E2"/>
    <mergeCell ref="K7:M7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btn_Actualizar_Llamados">
          <controlPr defaultSize="0" autoLine="0" r:id="rId5">
            <anchor moveWithCells="1">
              <from>
                <xdr:col>3</xdr:col>
                <xdr:colOff>85725</xdr:colOff>
                <xdr:row>0</xdr:row>
                <xdr:rowOff>123825</xdr:rowOff>
              </from>
              <to>
                <xdr:col>5</xdr:col>
                <xdr:colOff>0</xdr:colOff>
                <xdr:row>0</xdr:row>
                <xdr:rowOff>381000</xdr:rowOff>
              </to>
            </anchor>
          </controlPr>
        </control>
      </mc:Choice>
      <mc:Fallback>
        <control shapeId="2050" r:id="rId4" name="btn_Actualizar_Llamados"/>
      </mc:Fallback>
    </mc:AlternateContent>
    <mc:AlternateContent xmlns:mc="http://schemas.openxmlformats.org/markup-compatibility/2006">
      <mc:Choice Requires="x14">
        <control shapeId="2049" r:id="rId6" name="btn_ActualizarFactores">
          <controlPr defaultSize="0" autoLine="0" autoPict="0" r:id="rId7">
            <anchor moveWithCells="1">
              <from>
                <xdr:col>1</xdr:col>
                <xdr:colOff>66675</xdr:colOff>
                <xdr:row>0</xdr:row>
                <xdr:rowOff>133350</xdr:rowOff>
              </from>
              <to>
                <xdr:col>2</xdr:col>
                <xdr:colOff>742950</xdr:colOff>
                <xdr:row>0</xdr:row>
                <xdr:rowOff>390525</xdr:rowOff>
              </to>
            </anchor>
          </controlPr>
        </control>
      </mc:Choice>
      <mc:Fallback>
        <control shapeId="2049" r:id="rId6" name="btn_ActualizarFactore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D7FCF-DC49-4FB8-9CEB-2038F4A94D1D}">
  <sheetPr codeName="Hoja5"/>
  <dimension ref="A1:R132"/>
  <sheetViews>
    <sheetView topLeftCell="E50" workbookViewId="0">
      <selection activeCell="Q91" sqref="Q91"/>
    </sheetView>
  </sheetViews>
  <sheetFormatPr baseColWidth="10" defaultColWidth="11.42578125" defaultRowHeight="15" x14ac:dyDescent="0.25"/>
  <cols>
    <col min="1" max="4" width="7.7109375" customWidth="1"/>
    <col min="6" max="7" width="3.7109375" bestFit="1" customWidth="1"/>
    <col min="8" max="8" width="6.7109375" customWidth="1"/>
    <col min="9" max="9" width="43.140625" bestFit="1" customWidth="1"/>
    <col min="11" max="11" width="7.140625" bestFit="1" customWidth="1"/>
    <col min="12" max="12" width="47.140625" bestFit="1" customWidth="1"/>
    <col min="13" max="13" width="6" bestFit="1" customWidth="1"/>
    <col min="14" max="14" width="7" bestFit="1" customWidth="1"/>
    <col min="15" max="16" width="6" customWidth="1"/>
    <col min="17" max="17" width="43.140625" bestFit="1" customWidth="1"/>
  </cols>
  <sheetData>
    <row r="1" spans="1:18" x14ac:dyDescent="0.25">
      <c r="A1">
        <v>2096</v>
      </c>
      <c r="B1">
        <v>2096</v>
      </c>
    </row>
    <row r="2" spans="1:18" ht="15.75" x14ac:dyDescent="0.25">
      <c r="A2">
        <v>11290</v>
      </c>
      <c r="B2">
        <v>11290</v>
      </c>
      <c r="D2">
        <v>2096</v>
      </c>
      <c r="G2" s="201" t="s">
        <v>20</v>
      </c>
      <c r="H2">
        <v>11488</v>
      </c>
      <c r="I2" t="s">
        <v>14</v>
      </c>
      <c r="K2" s="21" t="s">
        <v>0</v>
      </c>
      <c r="L2" s="4" t="s">
        <v>1</v>
      </c>
      <c r="N2" t="s">
        <v>1061</v>
      </c>
      <c r="Q2" t="s">
        <v>1062</v>
      </c>
      <c r="R2" t="s">
        <v>1063</v>
      </c>
    </row>
    <row r="3" spans="1:18" ht="15.75" x14ac:dyDescent="0.25">
      <c r="A3">
        <v>11291</v>
      </c>
      <c r="B3">
        <v>11291</v>
      </c>
      <c r="D3">
        <v>11290</v>
      </c>
      <c r="G3" s="202"/>
      <c r="H3">
        <v>11467</v>
      </c>
      <c r="I3" t="s">
        <v>15</v>
      </c>
      <c r="K3" s="22">
        <v>11488</v>
      </c>
      <c r="L3" s="4" t="s">
        <v>14</v>
      </c>
      <c r="M3">
        <v>2096</v>
      </c>
      <c r="N3">
        <v>2096</v>
      </c>
      <c r="O3">
        <v>2096</v>
      </c>
      <c r="P3">
        <v>2096</v>
      </c>
      <c r="Q3" t="s">
        <v>7</v>
      </c>
      <c r="R3" t="s">
        <v>182</v>
      </c>
    </row>
    <row r="4" spans="1:18" ht="15.75" x14ac:dyDescent="0.25">
      <c r="A4">
        <v>11292</v>
      </c>
      <c r="B4">
        <v>11292</v>
      </c>
      <c r="D4">
        <v>11291</v>
      </c>
      <c r="G4" s="202"/>
      <c r="H4">
        <v>11482</v>
      </c>
      <c r="I4" t="s">
        <v>17</v>
      </c>
      <c r="K4" s="22">
        <v>11467</v>
      </c>
      <c r="L4" s="4" t="s">
        <v>15</v>
      </c>
      <c r="M4">
        <v>11375</v>
      </c>
      <c r="N4">
        <v>11375</v>
      </c>
      <c r="O4">
        <v>11375</v>
      </c>
      <c r="P4">
        <v>11375</v>
      </c>
      <c r="Q4" t="s">
        <v>213</v>
      </c>
      <c r="R4" t="s">
        <v>182</v>
      </c>
    </row>
    <row r="5" spans="1:18" ht="15.75" x14ac:dyDescent="0.25">
      <c r="A5">
        <v>11363</v>
      </c>
      <c r="B5">
        <v>11363</v>
      </c>
      <c r="D5">
        <v>11292</v>
      </c>
      <c r="G5" s="202"/>
      <c r="H5">
        <v>11524</v>
      </c>
      <c r="I5" t="s">
        <v>116</v>
      </c>
      <c r="K5" s="22">
        <v>11482</v>
      </c>
      <c r="L5" s="4" t="s">
        <v>17</v>
      </c>
      <c r="M5">
        <v>11438</v>
      </c>
      <c r="N5">
        <v>11438</v>
      </c>
      <c r="O5">
        <v>11438</v>
      </c>
      <c r="P5">
        <v>11438</v>
      </c>
      <c r="Q5" t="s">
        <v>2</v>
      </c>
      <c r="R5" t="s">
        <v>182</v>
      </c>
    </row>
    <row r="6" spans="1:18" ht="15.75" x14ac:dyDescent="0.25">
      <c r="A6">
        <v>11375</v>
      </c>
      <c r="B6">
        <v>11375</v>
      </c>
      <c r="D6">
        <v>11363</v>
      </c>
      <c r="G6" s="202"/>
      <c r="H6">
        <v>11490</v>
      </c>
      <c r="I6" t="s">
        <v>93</v>
      </c>
      <c r="K6" s="21">
        <v>11524</v>
      </c>
      <c r="L6" s="4" t="s">
        <v>116</v>
      </c>
      <c r="M6">
        <v>11459</v>
      </c>
      <c r="N6">
        <v>11459</v>
      </c>
      <c r="O6">
        <v>11459</v>
      </c>
      <c r="P6">
        <v>11459</v>
      </c>
      <c r="Q6" t="s">
        <v>47</v>
      </c>
      <c r="R6" t="s">
        <v>182</v>
      </c>
    </row>
    <row r="7" spans="1:18" ht="15.75" x14ac:dyDescent="0.25">
      <c r="A7">
        <v>11376</v>
      </c>
      <c r="B7">
        <v>11376</v>
      </c>
      <c r="D7">
        <v>11375</v>
      </c>
      <c r="G7" s="202"/>
      <c r="H7">
        <v>11438</v>
      </c>
      <c r="I7" t="s">
        <v>2</v>
      </c>
      <c r="K7" s="22">
        <v>11490</v>
      </c>
      <c r="L7" s="4" t="s">
        <v>93</v>
      </c>
      <c r="M7">
        <v>11461</v>
      </c>
      <c r="N7">
        <v>11461</v>
      </c>
      <c r="O7">
        <v>11461</v>
      </c>
      <c r="P7">
        <v>11461</v>
      </c>
      <c r="Q7" t="s">
        <v>49</v>
      </c>
      <c r="R7" t="s">
        <v>182</v>
      </c>
    </row>
    <row r="8" spans="1:18" ht="15.75" x14ac:dyDescent="0.25">
      <c r="A8">
        <v>11401</v>
      </c>
      <c r="B8">
        <v>11401</v>
      </c>
      <c r="D8">
        <v>11376</v>
      </c>
      <c r="G8" s="202"/>
      <c r="H8">
        <v>11375</v>
      </c>
      <c r="I8" t="s">
        <v>98</v>
      </c>
      <c r="K8" s="34">
        <v>11438</v>
      </c>
      <c r="L8" s="49" t="s">
        <v>2</v>
      </c>
      <c r="M8">
        <v>11467</v>
      </c>
      <c r="N8">
        <v>11467</v>
      </c>
      <c r="O8">
        <v>11467</v>
      </c>
      <c r="P8">
        <v>11467</v>
      </c>
      <c r="Q8" t="s">
        <v>15</v>
      </c>
      <c r="R8" t="s">
        <v>182</v>
      </c>
    </row>
    <row r="9" spans="1:18" ht="15.75" x14ac:dyDescent="0.25">
      <c r="A9">
        <v>11406</v>
      </c>
      <c r="B9">
        <v>11406</v>
      </c>
      <c r="D9">
        <v>11401</v>
      </c>
      <c r="G9" s="202"/>
      <c r="H9">
        <v>11505</v>
      </c>
      <c r="I9" t="s">
        <v>99</v>
      </c>
      <c r="K9" s="22">
        <v>11375</v>
      </c>
      <c r="L9" s="4" t="s">
        <v>98</v>
      </c>
      <c r="M9">
        <v>11482</v>
      </c>
      <c r="N9">
        <v>11482</v>
      </c>
      <c r="O9">
        <v>11482</v>
      </c>
      <c r="P9">
        <v>11482</v>
      </c>
      <c r="Q9" t="s">
        <v>17</v>
      </c>
      <c r="R9" t="s">
        <v>182</v>
      </c>
    </row>
    <row r="10" spans="1:18" ht="15.75" x14ac:dyDescent="0.25">
      <c r="A10">
        <v>11407</v>
      </c>
      <c r="B10">
        <v>11407</v>
      </c>
      <c r="D10">
        <v>11499</v>
      </c>
      <c r="G10" s="202"/>
      <c r="H10">
        <v>11525</v>
      </c>
      <c r="I10" t="s">
        <v>118</v>
      </c>
      <c r="K10" s="22">
        <v>11505</v>
      </c>
      <c r="L10" s="4" t="s">
        <v>99</v>
      </c>
      <c r="M10">
        <v>11483</v>
      </c>
      <c r="N10">
        <v>11483</v>
      </c>
      <c r="O10">
        <v>11483</v>
      </c>
      <c r="P10">
        <v>11483</v>
      </c>
      <c r="Q10" t="s">
        <v>18</v>
      </c>
      <c r="R10" t="s">
        <v>182</v>
      </c>
    </row>
    <row r="11" spans="1:18" ht="15.75" x14ac:dyDescent="0.25">
      <c r="A11">
        <v>11408</v>
      </c>
      <c r="B11">
        <v>11408</v>
      </c>
      <c r="D11">
        <v>11406</v>
      </c>
      <c r="G11" s="202"/>
      <c r="H11">
        <v>2096</v>
      </c>
      <c r="I11" t="s">
        <v>7</v>
      </c>
      <c r="K11" s="21">
        <v>11525</v>
      </c>
      <c r="L11" s="4" t="s">
        <v>118</v>
      </c>
      <c r="M11">
        <v>11487</v>
      </c>
      <c r="N11">
        <v>11487</v>
      </c>
      <c r="O11">
        <v>11487</v>
      </c>
      <c r="P11">
        <v>11487</v>
      </c>
      <c r="Q11" t="s">
        <v>19</v>
      </c>
      <c r="R11" t="s">
        <v>182</v>
      </c>
    </row>
    <row r="12" spans="1:18" ht="15.75" x14ac:dyDescent="0.25">
      <c r="A12">
        <v>11411</v>
      </c>
      <c r="B12">
        <v>11411</v>
      </c>
      <c r="D12">
        <v>11407</v>
      </c>
      <c r="G12" s="202"/>
      <c r="H12">
        <v>11459</v>
      </c>
      <c r="I12" t="s">
        <v>47</v>
      </c>
      <c r="K12" s="34">
        <v>2096</v>
      </c>
      <c r="L12" s="49" t="s">
        <v>7</v>
      </c>
      <c r="M12">
        <v>11488</v>
      </c>
      <c r="N12">
        <v>11488</v>
      </c>
      <c r="O12">
        <v>11488</v>
      </c>
      <c r="P12">
        <v>11488</v>
      </c>
      <c r="Q12" t="s">
        <v>14</v>
      </c>
      <c r="R12" t="s">
        <v>182</v>
      </c>
    </row>
    <row r="13" spans="1:18" x14ac:dyDescent="0.25">
      <c r="A13">
        <v>11412</v>
      </c>
      <c r="B13">
        <v>11412</v>
      </c>
      <c r="D13">
        <v>11408</v>
      </c>
      <c r="G13" s="202"/>
      <c r="H13">
        <v>11461</v>
      </c>
      <c r="I13" t="s">
        <v>49</v>
      </c>
      <c r="K13" s="23">
        <v>11459</v>
      </c>
      <c r="L13" s="38" t="s">
        <v>47</v>
      </c>
      <c r="M13">
        <v>11490</v>
      </c>
      <c r="N13">
        <v>11490</v>
      </c>
      <c r="O13">
        <v>11490</v>
      </c>
      <c r="P13">
        <v>11490</v>
      </c>
      <c r="Q13" t="s">
        <v>93</v>
      </c>
      <c r="R13" t="s">
        <v>182</v>
      </c>
    </row>
    <row r="14" spans="1:18" x14ac:dyDescent="0.25">
      <c r="A14">
        <v>11413</v>
      </c>
      <c r="B14">
        <v>11413</v>
      </c>
      <c r="D14">
        <v>11411</v>
      </c>
      <c r="G14" s="202"/>
      <c r="H14">
        <v>11523</v>
      </c>
      <c r="I14" t="s">
        <v>117</v>
      </c>
      <c r="K14" s="51">
        <v>11461</v>
      </c>
      <c r="L14" s="50" t="s">
        <v>49</v>
      </c>
      <c r="M14">
        <v>11505</v>
      </c>
      <c r="N14">
        <v>11505</v>
      </c>
      <c r="O14">
        <v>11505</v>
      </c>
      <c r="P14">
        <v>11505</v>
      </c>
      <c r="Q14" t="s">
        <v>99</v>
      </c>
      <c r="R14" t="s">
        <v>182</v>
      </c>
    </row>
    <row r="15" spans="1:18" ht="15.75" x14ac:dyDescent="0.25">
      <c r="A15">
        <v>11414</v>
      </c>
      <c r="B15">
        <v>11414</v>
      </c>
      <c r="D15">
        <v>11412</v>
      </c>
      <c r="G15" s="202"/>
      <c r="H15">
        <v>11483</v>
      </c>
      <c r="I15" t="s">
        <v>18</v>
      </c>
      <c r="K15" s="21">
        <v>11523</v>
      </c>
      <c r="L15" s="4" t="s">
        <v>117</v>
      </c>
      <c r="M15">
        <v>11523</v>
      </c>
      <c r="N15">
        <v>11523</v>
      </c>
      <c r="O15">
        <v>11523</v>
      </c>
      <c r="P15">
        <v>11523</v>
      </c>
      <c r="Q15" t="s">
        <v>356</v>
      </c>
      <c r="R15" t="s">
        <v>182</v>
      </c>
    </row>
    <row r="16" spans="1:18" ht="15.75" x14ac:dyDescent="0.25">
      <c r="A16">
        <v>11415</v>
      </c>
      <c r="B16">
        <v>11415</v>
      </c>
      <c r="D16">
        <v>11413</v>
      </c>
      <c r="G16" s="203"/>
      <c r="H16">
        <v>11487</v>
      </c>
      <c r="I16" t="s">
        <v>19</v>
      </c>
      <c r="K16" s="22">
        <v>11535</v>
      </c>
      <c r="L16" s="4" t="s">
        <v>18</v>
      </c>
      <c r="M16">
        <v>11525</v>
      </c>
      <c r="N16">
        <v>11525</v>
      </c>
      <c r="O16">
        <v>11525</v>
      </c>
      <c r="P16">
        <v>11525</v>
      </c>
      <c r="Q16" t="s">
        <v>217</v>
      </c>
      <c r="R16" t="s">
        <v>182</v>
      </c>
    </row>
    <row r="17" spans="1:18" ht="15" customHeight="1" x14ac:dyDescent="0.25">
      <c r="A17">
        <v>11416</v>
      </c>
      <c r="B17">
        <v>11416</v>
      </c>
      <c r="D17">
        <v>11414</v>
      </c>
      <c r="G17" s="201" t="s">
        <v>52</v>
      </c>
      <c r="H17">
        <v>11411</v>
      </c>
      <c r="I17" t="s">
        <v>21</v>
      </c>
      <c r="K17" s="22">
        <v>11487</v>
      </c>
      <c r="L17" s="4" t="s">
        <v>19</v>
      </c>
      <c r="M17">
        <v>11290</v>
      </c>
      <c r="N17">
        <v>11290</v>
      </c>
      <c r="O17">
        <v>11290</v>
      </c>
      <c r="P17">
        <v>11290</v>
      </c>
      <c r="Q17" t="s">
        <v>3</v>
      </c>
      <c r="R17" t="s">
        <v>220</v>
      </c>
    </row>
    <row r="18" spans="1:18" ht="15.75" x14ac:dyDescent="0.25">
      <c r="A18">
        <v>11418</v>
      </c>
      <c r="B18">
        <v>11418</v>
      </c>
      <c r="D18">
        <v>11415</v>
      </c>
      <c r="G18" s="202"/>
      <c r="H18">
        <v>11414</v>
      </c>
      <c r="I18" t="s">
        <v>22</v>
      </c>
      <c r="K18" s="1"/>
      <c r="L18" s="2">
        <f>COUNTA(L3:L17)</f>
        <v>15</v>
      </c>
      <c r="M18">
        <v>11291</v>
      </c>
      <c r="N18">
        <v>11291</v>
      </c>
      <c r="O18">
        <v>11291</v>
      </c>
      <c r="P18">
        <v>11291</v>
      </c>
      <c r="Q18" t="s">
        <v>6</v>
      </c>
      <c r="R18" t="s">
        <v>220</v>
      </c>
    </row>
    <row r="19" spans="1:18" ht="15.75" x14ac:dyDescent="0.25">
      <c r="A19">
        <v>11419</v>
      </c>
      <c r="B19">
        <v>11419</v>
      </c>
      <c r="D19">
        <v>11416</v>
      </c>
      <c r="G19" s="202"/>
      <c r="H19">
        <v>11453</v>
      </c>
      <c r="I19" t="s">
        <v>23</v>
      </c>
      <c r="K19" s="1"/>
      <c r="L19" s="2"/>
      <c r="M19">
        <v>11312</v>
      </c>
      <c r="N19">
        <v>11312</v>
      </c>
      <c r="O19">
        <v>11312</v>
      </c>
      <c r="P19">
        <v>11312</v>
      </c>
      <c r="Q19" t="s">
        <v>257</v>
      </c>
      <c r="R19" t="s">
        <v>220</v>
      </c>
    </row>
    <row r="20" spans="1:18" ht="15.75" x14ac:dyDescent="0.25">
      <c r="A20">
        <v>11420</v>
      </c>
      <c r="B20">
        <v>11420</v>
      </c>
      <c r="D20">
        <v>11418</v>
      </c>
      <c r="G20" s="202"/>
      <c r="H20">
        <v>11451</v>
      </c>
      <c r="I20" t="s">
        <v>24</v>
      </c>
      <c r="K20" s="1"/>
      <c r="L20" s="2"/>
      <c r="M20">
        <v>11323</v>
      </c>
      <c r="N20">
        <v>11323</v>
      </c>
      <c r="O20">
        <v>11323</v>
      </c>
      <c r="P20">
        <v>11323</v>
      </c>
      <c r="Q20" t="s">
        <v>250</v>
      </c>
      <c r="R20" t="s">
        <v>220</v>
      </c>
    </row>
    <row r="21" spans="1:18" ht="18.75" x14ac:dyDescent="0.25">
      <c r="A21">
        <v>11421</v>
      </c>
      <c r="B21">
        <v>11421</v>
      </c>
      <c r="D21">
        <v>11419</v>
      </c>
      <c r="G21" s="202"/>
      <c r="H21">
        <v>11415</v>
      </c>
      <c r="I21" t="s">
        <v>25</v>
      </c>
      <c r="K21" s="177" t="s">
        <v>52</v>
      </c>
      <c r="L21" s="178"/>
      <c r="M21">
        <v>11342</v>
      </c>
      <c r="N21">
        <v>11342</v>
      </c>
      <c r="O21">
        <v>11342</v>
      </c>
      <c r="P21">
        <v>11342</v>
      </c>
      <c r="Q21" t="s">
        <v>253</v>
      </c>
      <c r="R21" t="s">
        <v>220</v>
      </c>
    </row>
    <row r="22" spans="1:18" ht="15.75" x14ac:dyDescent="0.25">
      <c r="A22">
        <v>11422</v>
      </c>
      <c r="B22">
        <v>11423</v>
      </c>
      <c r="D22">
        <v>11420</v>
      </c>
      <c r="G22" s="202"/>
      <c r="H22">
        <v>11413</v>
      </c>
      <c r="I22" t="s">
        <v>26</v>
      </c>
      <c r="K22" s="21" t="s">
        <v>0</v>
      </c>
      <c r="L22" s="4" t="s">
        <v>1</v>
      </c>
      <c r="M22">
        <v>11344</v>
      </c>
      <c r="N22">
        <v>11344</v>
      </c>
      <c r="O22">
        <v>11344</v>
      </c>
      <c r="P22">
        <v>11344</v>
      </c>
      <c r="Q22" t="s">
        <v>255</v>
      </c>
      <c r="R22" t="s">
        <v>220</v>
      </c>
    </row>
    <row r="23" spans="1:18" x14ac:dyDescent="0.25">
      <c r="A23">
        <v>11423</v>
      </c>
      <c r="B23">
        <v>11428</v>
      </c>
      <c r="D23">
        <v>11421</v>
      </c>
      <c r="G23" s="202"/>
      <c r="H23">
        <v>11503</v>
      </c>
      <c r="I23" t="s">
        <v>16</v>
      </c>
      <c r="K23" s="23">
        <v>11411</v>
      </c>
      <c r="L23" s="50" t="s">
        <v>21</v>
      </c>
      <c r="M23">
        <v>11350</v>
      </c>
      <c r="N23">
        <v>11350</v>
      </c>
      <c r="O23">
        <v>11350</v>
      </c>
      <c r="P23">
        <v>11350</v>
      </c>
      <c r="Q23" t="s">
        <v>252</v>
      </c>
      <c r="R23" t="s">
        <v>220</v>
      </c>
    </row>
    <row r="24" spans="1:18" x14ac:dyDescent="0.25">
      <c r="A24">
        <v>11428</v>
      </c>
      <c r="B24">
        <v>11438</v>
      </c>
      <c r="D24">
        <v>11423</v>
      </c>
      <c r="G24" s="202"/>
      <c r="H24">
        <v>11450</v>
      </c>
      <c r="I24" t="s">
        <v>27</v>
      </c>
      <c r="K24" s="23">
        <v>11414</v>
      </c>
      <c r="L24" s="50" t="s">
        <v>22</v>
      </c>
      <c r="M24">
        <v>11363</v>
      </c>
      <c r="N24">
        <v>11363</v>
      </c>
      <c r="O24">
        <v>11363</v>
      </c>
      <c r="P24">
        <v>11363</v>
      </c>
      <c r="Q24" t="s">
        <v>5</v>
      </c>
      <c r="R24" t="s">
        <v>220</v>
      </c>
    </row>
    <row r="25" spans="1:18" x14ac:dyDescent="0.25">
      <c r="A25">
        <v>11430</v>
      </c>
      <c r="B25">
        <v>11439</v>
      </c>
      <c r="D25">
        <v>11428</v>
      </c>
      <c r="G25" s="202"/>
      <c r="H25">
        <v>11473</v>
      </c>
      <c r="I25" t="s">
        <v>28</v>
      </c>
      <c r="K25" s="23">
        <v>11453</v>
      </c>
      <c r="L25" s="50" t="s">
        <v>23</v>
      </c>
      <c r="M25">
        <v>11401</v>
      </c>
      <c r="N25">
        <v>11401</v>
      </c>
      <c r="O25">
        <v>11401</v>
      </c>
      <c r="P25">
        <v>11401</v>
      </c>
      <c r="Q25" t="s">
        <v>108</v>
      </c>
      <c r="R25" t="s">
        <v>220</v>
      </c>
    </row>
    <row r="26" spans="1:18" x14ac:dyDescent="0.25">
      <c r="A26">
        <v>11431</v>
      </c>
      <c r="B26">
        <v>11441</v>
      </c>
      <c r="D26">
        <v>11529</v>
      </c>
      <c r="G26" s="202"/>
      <c r="H26">
        <v>11454</v>
      </c>
      <c r="I26" t="s">
        <v>29</v>
      </c>
      <c r="K26" s="23">
        <v>11451</v>
      </c>
      <c r="L26" s="38" t="s">
        <v>24</v>
      </c>
      <c r="M26">
        <v>11406</v>
      </c>
      <c r="N26">
        <v>11406</v>
      </c>
      <c r="O26">
        <v>11406</v>
      </c>
      <c r="P26">
        <v>11406</v>
      </c>
      <c r="Q26" t="s">
        <v>172</v>
      </c>
      <c r="R26" t="s">
        <v>220</v>
      </c>
    </row>
    <row r="27" spans="1:18" x14ac:dyDescent="0.25">
      <c r="A27">
        <v>11432</v>
      </c>
      <c r="B27">
        <v>11442</v>
      </c>
      <c r="D27">
        <v>11480</v>
      </c>
      <c r="G27" s="202"/>
      <c r="H27">
        <v>11479</v>
      </c>
      <c r="I27" t="s">
        <v>30</v>
      </c>
      <c r="K27" s="23">
        <v>11415</v>
      </c>
      <c r="L27" s="50" t="s">
        <v>25</v>
      </c>
      <c r="M27">
        <v>11407</v>
      </c>
      <c r="N27">
        <v>11407</v>
      </c>
      <c r="O27">
        <v>11407</v>
      </c>
      <c r="P27">
        <v>11407</v>
      </c>
      <c r="Q27" t="s">
        <v>80</v>
      </c>
      <c r="R27" t="s">
        <v>220</v>
      </c>
    </row>
    <row r="28" spans="1:18" x14ac:dyDescent="0.25">
      <c r="A28">
        <v>11433</v>
      </c>
      <c r="B28">
        <v>11449</v>
      </c>
      <c r="D28">
        <v>11430</v>
      </c>
      <c r="G28" s="202"/>
      <c r="H28">
        <v>11489</v>
      </c>
      <c r="I28" t="s">
        <v>31</v>
      </c>
      <c r="K28" s="23">
        <v>11413</v>
      </c>
      <c r="L28" s="50" t="s">
        <v>26</v>
      </c>
      <c r="M28">
        <v>11408</v>
      </c>
      <c r="N28">
        <v>11408</v>
      </c>
      <c r="O28">
        <v>11408</v>
      </c>
      <c r="P28">
        <v>11408</v>
      </c>
      <c r="Q28" t="s">
        <v>64</v>
      </c>
      <c r="R28" t="s">
        <v>220</v>
      </c>
    </row>
    <row r="29" spans="1:18" x14ac:dyDescent="0.25">
      <c r="A29">
        <v>11434</v>
      </c>
      <c r="B29">
        <v>11450</v>
      </c>
      <c r="D29">
        <v>11431</v>
      </c>
      <c r="G29" s="202"/>
      <c r="H29">
        <v>11423</v>
      </c>
      <c r="I29" t="s">
        <v>32</v>
      </c>
      <c r="K29" s="23">
        <v>11503</v>
      </c>
      <c r="L29" s="38" t="s">
        <v>16</v>
      </c>
      <c r="M29">
        <v>11426</v>
      </c>
      <c r="N29">
        <v>11426</v>
      </c>
      <c r="O29">
        <v>11426</v>
      </c>
      <c r="P29">
        <v>11426</v>
      </c>
      <c r="Q29" t="s">
        <v>240</v>
      </c>
      <c r="R29" t="s">
        <v>220</v>
      </c>
    </row>
    <row r="30" spans="1:18" x14ac:dyDescent="0.25">
      <c r="A30">
        <v>11438</v>
      </c>
      <c r="B30">
        <v>11451</v>
      </c>
      <c r="D30">
        <v>11432</v>
      </c>
      <c r="G30" s="202"/>
      <c r="H30">
        <v>11464</v>
      </c>
      <c r="I30" t="s">
        <v>96</v>
      </c>
      <c r="K30" s="32">
        <v>11450</v>
      </c>
      <c r="L30" s="39" t="s">
        <v>27</v>
      </c>
      <c r="M30">
        <v>11427</v>
      </c>
      <c r="N30">
        <v>11427</v>
      </c>
      <c r="O30">
        <v>11427</v>
      </c>
      <c r="P30">
        <v>11427</v>
      </c>
      <c r="Q30" t="s">
        <v>236</v>
      </c>
      <c r="R30" t="s">
        <v>220</v>
      </c>
    </row>
    <row r="31" spans="1:18" x14ac:dyDescent="0.25">
      <c r="A31">
        <v>11439</v>
      </c>
      <c r="B31">
        <v>11452</v>
      </c>
      <c r="D31">
        <v>11422</v>
      </c>
      <c r="G31" s="202"/>
      <c r="H31">
        <v>11492</v>
      </c>
      <c r="I31" t="s">
        <v>94</v>
      </c>
      <c r="K31" s="23">
        <v>11473</v>
      </c>
      <c r="L31" s="50" t="s">
        <v>28</v>
      </c>
      <c r="M31">
        <v>11428</v>
      </c>
      <c r="N31">
        <v>11428</v>
      </c>
      <c r="O31">
        <v>11428</v>
      </c>
      <c r="P31">
        <v>11428</v>
      </c>
      <c r="Q31" t="s">
        <v>170</v>
      </c>
      <c r="R31" t="s">
        <v>220</v>
      </c>
    </row>
    <row r="32" spans="1:18" x14ac:dyDescent="0.25">
      <c r="A32">
        <v>11441</v>
      </c>
      <c r="B32">
        <v>11453</v>
      </c>
      <c r="D32">
        <v>11522</v>
      </c>
      <c r="G32" s="202"/>
      <c r="H32">
        <v>11465</v>
      </c>
      <c r="I32" t="s">
        <v>33</v>
      </c>
      <c r="K32" s="23">
        <v>11454</v>
      </c>
      <c r="L32" s="50" t="s">
        <v>29</v>
      </c>
      <c r="M32">
        <v>11429</v>
      </c>
      <c r="N32">
        <v>11429</v>
      </c>
      <c r="O32">
        <v>11429</v>
      </c>
      <c r="P32">
        <v>11429</v>
      </c>
      <c r="Q32" t="s">
        <v>242</v>
      </c>
      <c r="R32" t="s">
        <v>220</v>
      </c>
    </row>
    <row r="33" spans="1:18" x14ac:dyDescent="0.25">
      <c r="A33">
        <v>11442</v>
      </c>
      <c r="B33">
        <v>11454</v>
      </c>
      <c r="D33">
        <v>11433</v>
      </c>
      <c r="G33" s="202"/>
      <c r="H33">
        <v>11292</v>
      </c>
      <c r="I33" t="s">
        <v>4</v>
      </c>
      <c r="K33" s="23">
        <v>11479</v>
      </c>
      <c r="L33" s="38" t="s">
        <v>30</v>
      </c>
      <c r="M33">
        <v>11443</v>
      </c>
      <c r="N33">
        <v>11443</v>
      </c>
      <c r="O33">
        <v>11443</v>
      </c>
      <c r="P33">
        <v>11443</v>
      </c>
      <c r="Q33" t="s">
        <v>238</v>
      </c>
      <c r="R33" t="s">
        <v>220</v>
      </c>
    </row>
    <row r="34" spans="1:18" x14ac:dyDescent="0.25">
      <c r="A34">
        <v>11444</v>
      </c>
      <c r="B34">
        <v>11457</v>
      </c>
      <c r="D34">
        <v>11434</v>
      </c>
      <c r="G34" s="202"/>
      <c r="H34">
        <v>11474</v>
      </c>
      <c r="I34" t="s">
        <v>34</v>
      </c>
      <c r="K34" s="23">
        <v>11489</v>
      </c>
      <c r="L34" s="38" t="s">
        <v>31</v>
      </c>
      <c r="M34">
        <v>11449</v>
      </c>
      <c r="N34">
        <v>11449</v>
      </c>
      <c r="O34">
        <v>11449</v>
      </c>
      <c r="P34">
        <v>11449</v>
      </c>
      <c r="Q34" t="s">
        <v>58</v>
      </c>
      <c r="R34" t="s">
        <v>220</v>
      </c>
    </row>
    <row r="35" spans="1:18" x14ac:dyDescent="0.25">
      <c r="A35">
        <v>11445</v>
      </c>
      <c r="B35">
        <v>11458</v>
      </c>
      <c r="D35">
        <v>11438</v>
      </c>
      <c r="G35" s="202"/>
      <c r="H35">
        <v>11462</v>
      </c>
      <c r="I35" t="s">
        <v>35</v>
      </c>
      <c r="K35" s="23">
        <v>11423</v>
      </c>
      <c r="L35" s="50" t="s">
        <v>32</v>
      </c>
      <c r="M35">
        <v>11469</v>
      </c>
      <c r="N35">
        <v>11469</v>
      </c>
      <c r="O35">
        <v>11469</v>
      </c>
      <c r="P35">
        <v>11469</v>
      </c>
      <c r="Q35" t="s">
        <v>232</v>
      </c>
      <c r="R35" t="s">
        <v>220</v>
      </c>
    </row>
    <row r="36" spans="1:18" x14ac:dyDescent="0.25">
      <c r="A36">
        <v>11448</v>
      </c>
      <c r="B36">
        <v>11459</v>
      </c>
      <c r="D36">
        <v>11439</v>
      </c>
      <c r="G36" s="202"/>
      <c r="H36">
        <v>11441</v>
      </c>
      <c r="I36" t="s">
        <v>36</v>
      </c>
      <c r="K36" s="23">
        <v>11464</v>
      </c>
      <c r="L36" s="38" t="s">
        <v>96</v>
      </c>
      <c r="M36">
        <v>11478</v>
      </c>
      <c r="N36">
        <v>11478</v>
      </c>
      <c r="O36">
        <v>11478</v>
      </c>
      <c r="P36">
        <v>11478</v>
      </c>
      <c r="Q36" t="s">
        <v>70</v>
      </c>
      <c r="R36" t="s">
        <v>220</v>
      </c>
    </row>
    <row r="37" spans="1:18" x14ac:dyDescent="0.25">
      <c r="A37">
        <v>11449</v>
      </c>
      <c r="B37">
        <v>11460</v>
      </c>
      <c r="D37">
        <v>11441</v>
      </c>
      <c r="G37" s="202"/>
      <c r="H37">
        <v>11376</v>
      </c>
      <c r="I37" t="s">
        <v>37</v>
      </c>
      <c r="K37" s="23">
        <v>11492</v>
      </c>
      <c r="L37" s="38" t="s">
        <v>94</v>
      </c>
      <c r="M37">
        <v>11483</v>
      </c>
      <c r="N37">
        <v>11483</v>
      </c>
      <c r="O37">
        <v>11483</v>
      </c>
      <c r="P37">
        <v>11483</v>
      </c>
      <c r="Q37" t="s">
        <v>1059</v>
      </c>
      <c r="R37" t="s">
        <v>220</v>
      </c>
    </row>
    <row r="38" spans="1:18" x14ac:dyDescent="0.25">
      <c r="A38">
        <v>11450</v>
      </c>
      <c r="B38">
        <v>11461</v>
      </c>
      <c r="D38">
        <v>11442</v>
      </c>
      <c r="G38" s="202"/>
      <c r="H38">
        <v>11420</v>
      </c>
      <c r="I38" t="s">
        <v>38</v>
      </c>
      <c r="K38" s="23">
        <v>11465</v>
      </c>
      <c r="L38" s="38" t="s">
        <v>33</v>
      </c>
      <c r="M38">
        <v>11493</v>
      </c>
      <c r="N38">
        <v>11493</v>
      </c>
      <c r="O38">
        <v>11493</v>
      </c>
      <c r="P38">
        <v>11493</v>
      </c>
      <c r="Q38" t="s">
        <v>83</v>
      </c>
      <c r="R38" t="s">
        <v>220</v>
      </c>
    </row>
    <row r="39" spans="1:18" x14ac:dyDescent="0.25">
      <c r="A39">
        <v>11451</v>
      </c>
      <c r="B39">
        <v>11462</v>
      </c>
      <c r="D39">
        <v>11444</v>
      </c>
      <c r="G39" s="202"/>
      <c r="H39">
        <v>11442</v>
      </c>
      <c r="I39" t="s">
        <v>39</v>
      </c>
      <c r="K39" s="32">
        <v>11292</v>
      </c>
      <c r="L39" s="52" t="s">
        <v>4</v>
      </c>
      <c r="M39">
        <v>11494</v>
      </c>
      <c r="N39">
        <v>11494</v>
      </c>
      <c r="O39">
        <v>11494</v>
      </c>
      <c r="P39">
        <v>11494</v>
      </c>
      <c r="Q39" t="s">
        <v>84</v>
      </c>
      <c r="R39" t="s">
        <v>220</v>
      </c>
    </row>
    <row r="40" spans="1:18" x14ac:dyDescent="0.25">
      <c r="A40">
        <v>11452</v>
      </c>
      <c r="B40">
        <v>11464</v>
      </c>
      <c r="D40">
        <v>11445</v>
      </c>
      <c r="G40" s="202"/>
      <c r="H40">
        <v>11439</v>
      </c>
      <c r="I40" t="s">
        <v>40</v>
      </c>
      <c r="K40" s="23">
        <v>11474</v>
      </c>
      <c r="L40" s="38" t="s">
        <v>34</v>
      </c>
      <c r="M40">
        <v>11495</v>
      </c>
      <c r="N40">
        <v>11495</v>
      </c>
      <c r="O40">
        <v>11495</v>
      </c>
      <c r="P40">
        <v>11495</v>
      </c>
      <c r="Q40" t="s">
        <v>92</v>
      </c>
      <c r="R40" t="s">
        <v>220</v>
      </c>
    </row>
    <row r="41" spans="1:18" x14ac:dyDescent="0.25">
      <c r="A41">
        <v>11453</v>
      </c>
      <c r="B41">
        <v>11465</v>
      </c>
      <c r="D41">
        <v>11448</v>
      </c>
      <c r="G41" s="202"/>
      <c r="H41">
        <v>11471</v>
      </c>
      <c r="I41" t="s">
        <v>41</v>
      </c>
      <c r="K41" s="23">
        <v>11462</v>
      </c>
      <c r="L41" s="38" t="s">
        <v>35</v>
      </c>
      <c r="M41">
        <v>11496</v>
      </c>
      <c r="N41">
        <v>11496</v>
      </c>
      <c r="O41">
        <v>11496</v>
      </c>
      <c r="P41">
        <v>11496</v>
      </c>
      <c r="Q41" t="s">
        <v>86</v>
      </c>
      <c r="R41" t="s">
        <v>220</v>
      </c>
    </row>
    <row r="42" spans="1:18" x14ac:dyDescent="0.25">
      <c r="A42">
        <v>11454</v>
      </c>
      <c r="B42">
        <v>11469</v>
      </c>
      <c r="D42">
        <v>11516</v>
      </c>
      <c r="G42" s="202"/>
      <c r="H42">
        <v>11472</v>
      </c>
      <c r="I42" t="s">
        <v>42</v>
      </c>
      <c r="K42" s="23">
        <v>11441</v>
      </c>
      <c r="L42" s="38" t="s">
        <v>36</v>
      </c>
      <c r="M42">
        <v>11497</v>
      </c>
      <c r="N42">
        <v>11497</v>
      </c>
      <c r="O42">
        <v>11497</v>
      </c>
      <c r="P42">
        <v>11497</v>
      </c>
      <c r="Q42" t="s">
        <v>87</v>
      </c>
      <c r="R42" t="s">
        <v>220</v>
      </c>
    </row>
    <row r="43" spans="1:18" x14ac:dyDescent="0.25">
      <c r="A43">
        <v>11455</v>
      </c>
      <c r="B43">
        <v>11470</v>
      </c>
      <c r="D43">
        <v>11475</v>
      </c>
      <c r="G43" s="202"/>
      <c r="H43">
        <v>11460</v>
      </c>
      <c r="I43" t="s">
        <v>43</v>
      </c>
      <c r="K43" s="32">
        <v>11376</v>
      </c>
      <c r="L43" s="39" t="s">
        <v>37</v>
      </c>
      <c r="M43">
        <v>11498</v>
      </c>
      <c r="N43">
        <v>11498</v>
      </c>
      <c r="O43">
        <v>11498</v>
      </c>
      <c r="P43">
        <v>11498</v>
      </c>
      <c r="Q43" t="s">
        <v>230</v>
      </c>
      <c r="R43" t="s">
        <v>220</v>
      </c>
    </row>
    <row r="44" spans="1:18" x14ac:dyDescent="0.25">
      <c r="A44">
        <v>11456</v>
      </c>
      <c r="B44">
        <v>11471</v>
      </c>
      <c r="D44">
        <v>11449</v>
      </c>
      <c r="G44" s="202"/>
      <c r="H44">
        <v>11419</v>
      </c>
      <c r="I44" t="s">
        <v>44</v>
      </c>
      <c r="K44" s="23">
        <v>11420</v>
      </c>
      <c r="L44" s="50" t="s">
        <v>38</v>
      </c>
      <c r="M44">
        <v>11499</v>
      </c>
      <c r="N44">
        <v>11499</v>
      </c>
      <c r="O44">
        <v>11499</v>
      </c>
      <c r="P44">
        <v>11499</v>
      </c>
      <c r="Q44" t="s">
        <v>89</v>
      </c>
      <c r="R44" t="s">
        <v>220</v>
      </c>
    </row>
    <row r="45" spans="1:18" x14ac:dyDescent="0.25">
      <c r="A45">
        <v>11457</v>
      </c>
      <c r="B45">
        <v>11472</v>
      </c>
      <c r="D45">
        <v>11450</v>
      </c>
      <c r="G45" s="202"/>
      <c r="H45">
        <v>11416</v>
      </c>
      <c r="I45" t="s">
        <v>45</v>
      </c>
      <c r="K45" s="23">
        <v>11442</v>
      </c>
      <c r="L45" s="38" t="s">
        <v>39</v>
      </c>
      <c r="M45">
        <v>11500</v>
      </c>
      <c r="N45">
        <v>11500</v>
      </c>
      <c r="O45">
        <v>11500</v>
      </c>
      <c r="P45">
        <v>11500</v>
      </c>
      <c r="Q45" t="s">
        <v>90</v>
      </c>
      <c r="R45" t="s">
        <v>220</v>
      </c>
    </row>
    <row r="46" spans="1:18" x14ac:dyDescent="0.25">
      <c r="A46">
        <v>11458</v>
      </c>
      <c r="B46">
        <v>11473</v>
      </c>
      <c r="D46">
        <v>11451</v>
      </c>
      <c r="G46" s="202"/>
      <c r="H46">
        <v>11452</v>
      </c>
      <c r="I46" t="s">
        <v>46</v>
      </c>
      <c r="K46" s="33">
        <v>11439</v>
      </c>
      <c r="L46" s="40" t="s">
        <v>40</v>
      </c>
      <c r="M46">
        <v>11501</v>
      </c>
      <c r="N46">
        <v>11501</v>
      </c>
      <c r="O46">
        <v>11501</v>
      </c>
      <c r="P46">
        <v>11501</v>
      </c>
      <c r="Q46" t="s">
        <v>85</v>
      </c>
      <c r="R46" t="s">
        <v>220</v>
      </c>
    </row>
    <row r="47" spans="1:18" x14ac:dyDescent="0.25">
      <c r="A47">
        <v>11459</v>
      </c>
      <c r="B47">
        <v>11474</v>
      </c>
      <c r="D47">
        <v>11452</v>
      </c>
      <c r="G47" s="202"/>
      <c r="H47">
        <v>11470</v>
      </c>
      <c r="I47" t="s">
        <v>48</v>
      </c>
      <c r="K47" s="23">
        <v>11471</v>
      </c>
      <c r="L47" s="38" t="s">
        <v>41</v>
      </c>
      <c r="M47">
        <v>11502</v>
      </c>
      <c r="N47">
        <v>11502</v>
      </c>
      <c r="O47">
        <v>11502</v>
      </c>
      <c r="P47">
        <v>11502</v>
      </c>
      <c r="Q47" t="s">
        <v>91</v>
      </c>
      <c r="R47" t="s">
        <v>220</v>
      </c>
    </row>
    <row r="48" spans="1:18" x14ac:dyDescent="0.25">
      <c r="A48">
        <v>11460</v>
      </c>
      <c r="B48">
        <v>11475</v>
      </c>
      <c r="D48">
        <v>11453</v>
      </c>
      <c r="G48" s="202"/>
      <c r="H48">
        <v>11491</v>
      </c>
      <c r="I48" t="s">
        <v>95</v>
      </c>
      <c r="K48" s="23">
        <v>11472</v>
      </c>
      <c r="L48" s="38" t="s">
        <v>42</v>
      </c>
      <c r="M48">
        <v>11504</v>
      </c>
      <c r="N48">
        <v>11504</v>
      </c>
      <c r="O48">
        <v>11504</v>
      </c>
      <c r="P48">
        <v>11504</v>
      </c>
      <c r="Q48" t="s">
        <v>78</v>
      </c>
      <c r="R48" t="s">
        <v>220</v>
      </c>
    </row>
    <row r="49" spans="1:18" x14ac:dyDescent="0.25">
      <c r="A49">
        <v>11461</v>
      </c>
      <c r="B49">
        <v>11477</v>
      </c>
      <c r="D49">
        <v>11454</v>
      </c>
      <c r="G49" s="202"/>
      <c r="H49">
        <v>11412</v>
      </c>
      <c r="I49" t="s">
        <v>50</v>
      </c>
      <c r="K49" s="23">
        <v>11460</v>
      </c>
      <c r="L49" s="38" t="s">
        <v>43</v>
      </c>
      <c r="M49">
        <v>11509</v>
      </c>
      <c r="N49">
        <v>11509</v>
      </c>
      <c r="O49">
        <v>11509</v>
      </c>
      <c r="P49">
        <v>11509</v>
      </c>
      <c r="Q49" t="s">
        <v>102</v>
      </c>
      <c r="R49" t="s">
        <v>220</v>
      </c>
    </row>
    <row r="50" spans="1:18" x14ac:dyDescent="0.25">
      <c r="A50">
        <v>11462</v>
      </c>
      <c r="B50">
        <v>11479</v>
      </c>
      <c r="D50">
        <v>11455</v>
      </c>
      <c r="G50" s="203"/>
      <c r="H50">
        <v>11418</v>
      </c>
      <c r="I50" t="s">
        <v>51</v>
      </c>
      <c r="K50" s="23">
        <v>11419</v>
      </c>
      <c r="L50" s="50" t="s">
        <v>44</v>
      </c>
      <c r="M50">
        <v>11514</v>
      </c>
      <c r="N50">
        <v>11514</v>
      </c>
      <c r="O50">
        <v>11514</v>
      </c>
      <c r="P50">
        <v>11514</v>
      </c>
      <c r="Q50" t="s">
        <v>263</v>
      </c>
      <c r="R50" t="s">
        <v>220</v>
      </c>
    </row>
    <row r="51" spans="1:18" x14ac:dyDescent="0.25">
      <c r="A51">
        <v>11463</v>
      </c>
      <c r="B51">
        <v>11482</v>
      </c>
      <c r="D51">
        <v>11456</v>
      </c>
      <c r="F51" s="201" t="s">
        <v>150</v>
      </c>
      <c r="G51" s="201" t="s">
        <v>81</v>
      </c>
      <c r="H51">
        <v>11494</v>
      </c>
      <c r="I51" t="s">
        <v>84</v>
      </c>
      <c r="K51" s="23">
        <v>11416</v>
      </c>
      <c r="L51" s="50" t="s">
        <v>45</v>
      </c>
      <c r="M51">
        <v>11520</v>
      </c>
      <c r="N51">
        <v>11520</v>
      </c>
      <c r="O51">
        <v>11520</v>
      </c>
      <c r="P51">
        <v>11520</v>
      </c>
      <c r="Q51" t="s">
        <v>111</v>
      </c>
      <c r="R51" t="s">
        <v>220</v>
      </c>
    </row>
    <row r="52" spans="1:18" x14ac:dyDescent="0.25">
      <c r="A52">
        <v>11464</v>
      </c>
      <c r="B52">
        <v>11483</v>
      </c>
      <c r="D52">
        <v>11459</v>
      </c>
      <c r="F52" s="202"/>
      <c r="G52" s="202"/>
      <c r="H52">
        <v>11449</v>
      </c>
      <c r="I52" t="s">
        <v>58</v>
      </c>
      <c r="K52" s="23">
        <v>11452</v>
      </c>
      <c r="L52" s="38" t="s">
        <v>46</v>
      </c>
      <c r="M52">
        <v>11531</v>
      </c>
      <c r="N52">
        <v>11531</v>
      </c>
      <c r="O52">
        <v>11531</v>
      </c>
      <c r="P52">
        <v>11531</v>
      </c>
      <c r="Q52" t="s">
        <v>122</v>
      </c>
      <c r="R52" t="s">
        <v>220</v>
      </c>
    </row>
    <row r="53" spans="1:18" x14ac:dyDescent="0.25">
      <c r="A53">
        <v>11465</v>
      </c>
      <c r="B53">
        <v>11484</v>
      </c>
      <c r="D53">
        <v>11460</v>
      </c>
      <c r="F53" s="202"/>
      <c r="G53" s="202"/>
      <c r="H53">
        <v>11290</v>
      </c>
      <c r="I53" t="s">
        <v>3</v>
      </c>
      <c r="K53" s="23">
        <v>11470</v>
      </c>
      <c r="L53" s="38" t="s">
        <v>48</v>
      </c>
      <c r="M53">
        <v>11534</v>
      </c>
      <c r="N53">
        <v>11534</v>
      </c>
      <c r="O53">
        <v>11534</v>
      </c>
      <c r="P53">
        <v>11534</v>
      </c>
      <c r="Q53" t="s">
        <v>266</v>
      </c>
      <c r="R53" t="s">
        <v>220</v>
      </c>
    </row>
    <row r="54" spans="1:18" x14ac:dyDescent="0.25">
      <c r="A54">
        <v>11467</v>
      </c>
      <c r="B54">
        <v>11485</v>
      </c>
      <c r="D54">
        <v>11461</v>
      </c>
      <c r="F54" s="202"/>
      <c r="G54" s="202"/>
      <c r="H54">
        <v>11401</v>
      </c>
      <c r="I54" t="s">
        <v>108</v>
      </c>
      <c r="K54" s="23">
        <v>11491</v>
      </c>
      <c r="L54" s="38" t="s">
        <v>95</v>
      </c>
      <c r="M54">
        <v>11536</v>
      </c>
      <c r="N54">
        <v>11536</v>
      </c>
      <c r="O54">
        <v>11536</v>
      </c>
      <c r="P54">
        <v>11536</v>
      </c>
      <c r="Q54" t="s">
        <v>1058</v>
      </c>
      <c r="R54" t="s">
        <v>220</v>
      </c>
    </row>
    <row r="55" spans="1:18" x14ac:dyDescent="0.25">
      <c r="A55">
        <v>11469</v>
      </c>
      <c r="B55">
        <v>11487</v>
      </c>
      <c r="D55">
        <v>11462</v>
      </c>
      <c r="F55" s="202"/>
      <c r="G55" s="202"/>
      <c r="H55">
        <v>11499</v>
      </c>
      <c r="I55" t="s">
        <v>89</v>
      </c>
      <c r="K55" s="23">
        <v>11412</v>
      </c>
      <c r="L55" s="38" t="s">
        <v>50</v>
      </c>
      <c r="M55">
        <v>11421</v>
      </c>
      <c r="N55">
        <v>11421</v>
      </c>
      <c r="O55">
        <v>11421</v>
      </c>
      <c r="P55">
        <v>11421</v>
      </c>
      <c r="Q55" t="s">
        <v>62</v>
      </c>
      <c r="R55" t="s">
        <v>269</v>
      </c>
    </row>
    <row r="56" spans="1:18" x14ac:dyDescent="0.25">
      <c r="A56">
        <v>11470</v>
      </c>
      <c r="B56">
        <v>11488</v>
      </c>
      <c r="D56">
        <v>11463</v>
      </c>
      <c r="F56" s="202"/>
      <c r="G56" s="202"/>
      <c r="H56">
        <v>11363</v>
      </c>
      <c r="I56" t="s">
        <v>5</v>
      </c>
      <c r="K56" s="23">
        <v>11418</v>
      </c>
      <c r="L56" s="38" t="s">
        <v>51</v>
      </c>
      <c r="M56">
        <v>11422</v>
      </c>
      <c r="N56">
        <v>11422</v>
      </c>
      <c r="O56">
        <v>11422</v>
      </c>
      <c r="P56">
        <v>11422</v>
      </c>
      <c r="Q56" t="s">
        <v>69</v>
      </c>
      <c r="R56" t="s">
        <v>269</v>
      </c>
    </row>
    <row r="57" spans="1:18" ht="15.75" x14ac:dyDescent="0.25">
      <c r="A57">
        <v>11471</v>
      </c>
      <c r="B57">
        <v>11489</v>
      </c>
      <c r="D57">
        <v>11464</v>
      </c>
      <c r="F57" s="202"/>
      <c r="G57" s="202"/>
      <c r="H57">
        <v>11291</v>
      </c>
      <c r="I57" t="s">
        <v>6</v>
      </c>
      <c r="K57" s="1"/>
      <c r="L57" s="2">
        <f>COUNTA(L23:L56)</f>
        <v>34</v>
      </c>
      <c r="M57">
        <v>11430</v>
      </c>
      <c r="N57">
        <v>11430</v>
      </c>
      <c r="O57">
        <v>11430</v>
      </c>
      <c r="P57">
        <v>11430</v>
      </c>
      <c r="Q57" t="s">
        <v>168</v>
      </c>
      <c r="R57" t="s">
        <v>269</v>
      </c>
    </row>
    <row r="58" spans="1:18" ht="15.75" x14ac:dyDescent="0.25">
      <c r="A58">
        <v>11472</v>
      </c>
      <c r="B58">
        <v>11490</v>
      </c>
      <c r="D58">
        <v>11465</v>
      </c>
      <c r="F58" s="202"/>
      <c r="G58" s="202"/>
      <c r="H58">
        <v>11502</v>
      </c>
      <c r="I58" t="s">
        <v>91</v>
      </c>
      <c r="K58" s="1"/>
      <c r="L58" s="2"/>
      <c r="M58">
        <v>11431</v>
      </c>
      <c r="N58">
        <v>11431</v>
      </c>
      <c r="O58">
        <v>11431</v>
      </c>
      <c r="P58">
        <v>11431</v>
      </c>
      <c r="Q58" t="s">
        <v>54</v>
      </c>
      <c r="R58" t="s">
        <v>269</v>
      </c>
    </row>
    <row r="59" spans="1:18" ht="15.75" x14ac:dyDescent="0.25">
      <c r="A59">
        <v>11473</v>
      </c>
      <c r="B59">
        <v>11491</v>
      </c>
      <c r="D59">
        <v>11469</v>
      </c>
      <c r="F59" s="202"/>
      <c r="G59" s="202"/>
      <c r="H59">
        <v>11408</v>
      </c>
      <c r="I59" t="s">
        <v>64</v>
      </c>
      <c r="K59" s="1"/>
      <c r="L59" s="2"/>
      <c r="M59">
        <v>11432</v>
      </c>
      <c r="N59">
        <v>11432</v>
      </c>
      <c r="O59">
        <v>11432</v>
      </c>
      <c r="P59">
        <v>11432</v>
      </c>
      <c r="Q59" t="s">
        <v>171</v>
      </c>
      <c r="R59" t="s">
        <v>269</v>
      </c>
    </row>
    <row r="60" spans="1:18" ht="18.75" x14ac:dyDescent="0.25">
      <c r="A60">
        <v>11474</v>
      </c>
      <c r="B60">
        <v>11492</v>
      </c>
      <c r="D60">
        <v>11470</v>
      </c>
      <c r="F60" s="202"/>
      <c r="G60" s="202"/>
      <c r="H60">
        <v>11428</v>
      </c>
      <c r="I60" t="s">
        <v>65</v>
      </c>
      <c r="K60" s="177" t="s">
        <v>81</v>
      </c>
      <c r="L60" s="178"/>
      <c r="M60">
        <v>11433</v>
      </c>
      <c r="N60">
        <v>11433</v>
      </c>
      <c r="O60">
        <v>11433</v>
      </c>
      <c r="P60">
        <v>11433</v>
      </c>
      <c r="Q60" t="s">
        <v>279</v>
      </c>
      <c r="R60" t="s">
        <v>269</v>
      </c>
    </row>
    <row r="61" spans="1:18" ht="15.75" x14ac:dyDescent="0.25">
      <c r="A61">
        <v>11475</v>
      </c>
      <c r="B61">
        <v>11493</v>
      </c>
      <c r="D61">
        <v>11471</v>
      </c>
      <c r="F61" s="202"/>
      <c r="G61" s="202"/>
      <c r="H61">
        <v>11529</v>
      </c>
      <c r="I61" t="s">
        <v>119</v>
      </c>
      <c r="K61" s="21" t="s">
        <v>0</v>
      </c>
      <c r="L61" s="4" t="s">
        <v>1</v>
      </c>
      <c r="M61">
        <v>11434</v>
      </c>
      <c r="N61">
        <v>11434</v>
      </c>
      <c r="O61">
        <v>11434</v>
      </c>
      <c r="P61">
        <v>11434</v>
      </c>
      <c r="Q61" t="s">
        <v>76</v>
      </c>
      <c r="R61" t="s">
        <v>269</v>
      </c>
    </row>
    <row r="62" spans="1:18" ht="15.75" x14ac:dyDescent="0.25">
      <c r="A62">
        <v>11477</v>
      </c>
      <c r="B62">
        <v>11494</v>
      </c>
      <c r="D62">
        <v>11472</v>
      </c>
      <c r="F62" s="202"/>
      <c r="G62" s="202"/>
      <c r="H62">
        <v>11480</v>
      </c>
      <c r="I62" t="s">
        <v>66</v>
      </c>
      <c r="K62" s="21">
        <v>11494</v>
      </c>
      <c r="L62" s="53" t="s">
        <v>84</v>
      </c>
      <c r="M62">
        <v>11444</v>
      </c>
      <c r="N62">
        <v>11444</v>
      </c>
      <c r="O62">
        <v>11444</v>
      </c>
      <c r="P62">
        <v>11444</v>
      </c>
      <c r="Q62" t="s">
        <v>75</v>
      </c>
      <c r="R62" t="s">
        <v>269</v>
      </c>
    </row>
    <row r="63" spans="1:18" ht="15.75" x14ac:dyDescent="0.25">
      <c r="A63">
        <v>11478</v>
      </c>
      <c r="B63">
        <v>11495</v>
      </c>
      <c r="D63">
        <v>11473</v>
      </c>
      <c r="F63" s="202"/>
      <c r="G63" s="202"/>
      <c r="H63">
        <v>11517</v>
      </c>
      <c r="I63" t="s">
        <v>105</v>
      </c>
      <c r="K63" s="21">
        <v>11449</v>
      </c>
      <c r="L63" s="7" t="s">
        <v>58</v>
      </c>
      <c r="M63">
        <v>11445</v>
      </c>
      <c r="N63">
        <v>11445</v>
      </c>
      <c r="O63">
        <v>11445</v>
      </c>
      <c r="P63">
        <v>11445</v>
      </c>
      <c r="Q63" t="s">
        <v>67</v>
      </c>
      <c r="R63" t="s">
        <v>269</v>
      </c>
    </row>
    <row r="64" spans="1:18" ht="15.75" x14ac:dyDescent="0.25">
      <c r="A64">
        <v>11479</v>
      </c>
      <c r="B64">
        <v>11496</v>
      </c>
      <c r="D64">
        <v>11474</v>
      </c>
      <c r="F64" s="202"/>
      <c r="G64" s="202"/>
      <c r="H64">
        <v>11514</v>
      </c>
      <c r="I64" t="s">
        <v>107</v>
      </c>
      <c r="K64" s="31">
        <v>11290</v>
      </c>
      <c r="L64" s="37" t="s">
        <v>3</v>
      </c>
      <c r="M64">
        <v>11448</v>
      </c>
      <c r="N64">
        <v>11448</v>
      </c>
      <c r="O64">
        <v>11448</v>
      </c>
      <c r="P64">
        <v>11448</v>
      </c>
      <c r="Q64" t="s">
        <v>285</v>
      </c>
      <c r="R64" t="s">
        <v>269</v>
      </c>
    </row>
    <row r="65" spans="1:18" ht="15.75" x14ac:dyDescent="0.25">
      <c r="A65">
        <v>11480</v>
      </c>
      <c r="B65">
        <v>11497</v>
      </c>
      <c r="D65">
        <v>11477</v>
      </c>
      <c r="F65" s="202"/>
      <c r="G65" s="202"/>
      <c r="H65">
        <v>11500</v>
      </c>
      <c r="I65" t="s">
        <v>90</v>
      </c>
      <c r="K65" s="21">
        <v>11401</v>
      </c>
      <c r="L65" s="53" t="s">
        <v>108</v>
      </c>
      <c r="M65">
        <v>11455</v>
      </c>
      <c r="N65">
        <v>11455</v>
      </c>
      <c r="O65">
        <v>11455</v>
      </c>
      <c r="P65">
        <v>11455</v>
      </c>
      <c r="Q65" t="s">
        <v>173</v>
      </c>
      <c r="R65" t="s">
        <v>269</v>
      </c>
    </row>
    <row r="66" spans="1:18" ht="15.75" x14ac:dyDescent="0.25">
      <c r="A66">
        <v>11482</v>
      </c>
      <c r="B66">
        <v>11498</v>
      </c>
      <c r="D66">
        <v>11478</v>
      </c>
      <c r="F66" s="202"/>
      <c r="G66" s="202"/>
      <c r="H66">
        <v>11501</v>
      </c>
      <c r="I66" t="s">
        <v>85</v>
      </c>
      <c r="K66" s="21">
        <v>11499</v>
      </c>
      <c r="L66" s="53" t="s">
        <v>89</v>
      </c>
      <c r="M66">
        <v>11456</v>
      </c>
      <c r="N66">
        <v>11456</v>
      </c>
      <c r="O66">
        <v>11456</v>
      </c>
      <c r="P66">
        <v>11456</v>
      </c>
      <c r="Q66" t="s">
        <v>72</v>
      </c>
      <c r="R66" t="s">
        <v>269</v>
      </c>
    </row>
    <row r="67" spans="1:18" ht="15.75" x14ac:dyDescent="0.25">
      <c r="A67">
        <v>11483</v>
      </c>
      <c r="B67">
        <v>11499</v>
      </c>
      <c r="D67">
        <v>11479</v>
      </c>
      <c r="F67" s="202"/>
      <c r="G67" s="202"/>
      <c r="H67">
        <v>11495</v>
      </c>
      <c r="I67" t="s">
        <v>92</v>
      </c>
      <c r="K67" s="31">
        <v>11363</v>
      </c>
      <c r="L67" s="37" t="s">
        <v>5</v>
      </c>
      <c r="M67">
        <v>11457</v>
      </c>
      <c r="N67">
        <v>11457</v>
      </c>
      <c r="O67">
        <v>11457</v>
      </c>
      <c r="P67">
        <v>11457</v>
      </c>
      <c r="Q67" t="s">
        <v>61</v>
      </c>
      <c r="R67" t="s">
        <v>269</v>
      </c>
    </row>
    <row r="68" spans="1:18" ht="15.75" x14ac:dyDescent="0.25">
      <c r="A68">
        <v>11484</v>
      </c>
      <c r="B68">
        <v>11500</v>
      </c>
      <c r="D68">
        <v>11482</v>
      </c>
      <c r="F68" s="202"/>
      <c r="G68" s="202"/>
      <c r="H68">
        <v>11496</v>
      </c>
      <c r="I68" t="s">
        <v>86</v>
      </c>
      <c r="K68" s="31">
        <v>11291</v>
      </c>
      <c r="L68" s="37" t="s">
        <v>6</v>
      </c>
      <c r="M68">
        <v>11458</v>
      </c>
      <c r="N68">
        <v>11458</v>
      </c>
      <c r="O68">
        <v>11458</v>
      </c>
      <c r="P68">
        <v>11458</v>
      </c>
      <c r="Q68" t="s">
        <v>60</v>
      </c>
      <c r="R68" t="s">
        <v>269</v>
      </c>
    </row>
    <row r="69" spans="1:18" ht="15.75" x14ac:dyDescent="0.25">
      <c r="A69">
        <v>11485</v>
      </c>
      <c r="B69">
        <v>11501</v>
      </c>
      <c r="D69">
        <v>11483</v>
      </c>
      <c r="F69" s="202"/>
      <c r="G69" s="202"/>
      <c r="H69">
        <v>11530</v>
      </c>
      <c r="I69" t="s">
        <v>120</v>
      </c>
      <c r="K69" s="21">
        <v>11502</v>
      </c>
      <c r="L69" s="53" t="s">
        <v>91</v>
      </c>
      <c r="M69">
        <v>11463</v>
      </c>
      <c r="N69">
        <v>11463</v>
      </c>
      <c r="O69">
        <v>11463</v>
      </c>
      <c r="P69">
        <v>11463</v>
      </c>
      <c r="Q69" t="s">
        <v>174</v>
      </c>
      <c r="R69" t="s">
        <v>269</v>
      </c>
    </row>
    <row r="70" spans="1:18" ht="15.75" x14ac:dyDescent="0.25">
      <c r="A70">
        <v>11487</v>
      </c>
      <c r="B70">
        <v>11502</v>
      </c>
      <c r="D70">
        <v>11484</v>
      </c>
      <c r="F70" s="202"/>
      <c r="G70" s="202"/>
      <c r="H70">
        <v>11493</v>
      </c>
      <c r="I70" t="s">
        <v>83</v>
      </c>
      <c r="K70" s="21">
        <v>11408</v>
      </c>
      <c r="L70" s="53" t="s">
        <v>64</v>
      </c>
      <c r="M70">
        <v>11475</v>
      </c>
      <c r="N70">
        <v>11475</v>
      </c>
      <c r="O70">
        <v>11475</v>
      </c>
      <c r="P70">
        <v>11475</v>
      </c>
      <c r="Q70" t="s">
        <v>56</v>
      </c>
      <c r="R70" t="s">
        <v>269</v>
      </c>
    </row>
    <row r="71" spans="1:18" ht="15.75" x14ac:dyDescent="0.25">
      <c r="A71">
        <v>11488</v>
      </c>
      <c r="B71">
        <v>11503</v>
      </c>
      <c r="D71">
        <v>11458</v>
      </c>
      <c r="F71" s="202"/>
      <c r="G71" s="202"/>
      <c r="H71">
        <v>11406</v>
      </c>
      <c r="I71" t="s">
        <v>73</v>
      </c>
      <c r="K71" s="21">
        <v>11428</v>
      </c>
      <c r="L71" s="53" t="s">
        <v>65</v>
      </c>
      <c r="M71">
        <v>11477</v>
      </c>
      <c r="N71">
        <v>11477</v>
      </c>
      <c r="O71">
        <v>11477</v>
      </c>
      <c r="P71">
        <v>11477</v>
      </c>
      <c r="Q71" t="s">
        <v>71</v>
      </c>
      <c r="R71" t="s">
        <v>269</v>
      </c>
    </row>
    <row r="72" spans="1:18" ht="15.75" x14ac:dyDescent="0.25">
      <c r="A72">
        <v>11489</v>
      </c>
      <c r="B72">
        <v>11504</v>
      </c>
      <c r="D72">
        <v>11457</v>
      </c>
      <c r="F72" s="202"/>
      <c r="G72" s="202"/>
      <c r="H72">
        <v>11497</v>
      </c>
      <c r="I72" t="s">
        <v>87</v>
      </c>
      <c r="K72" s="21">
        <v>11529</v>
      </c>
      <c r="L72" s="41" t="s">
        <v>119</v>
      </c>
      <c r="M72">
        <v>11484</v>
      </c>
      <c r="N72">
        <v>11484</v>
      </c>
      <c r="O72">
        <v>11484</v>
      </c>
      <c r="P72">
        <v>11484</v>
      </c>
      <c r="Q72" t="s">
        <v>63</v>
      </c>
      <c r="R72" t="s">
        <v>269</v>
      </c>
    </row>
    <row r="73" spans="1:18" ht="15.75" x14ac:dyDescent="0.25">
      <c r="A73">
        <v>11490</v>
      </c>
      <c r="B73">
        <v>11505</v>
      </c>
      <c r="D73">
        <v>11485</v>
      </c>
      <c r="F73" s="202"/>
      <c r="G73" s="202"/>
      <c r="H73">
        <v>11469</v>
      </c>
      <c r="I73" t="s">
        <v>74</v>
      </c>
      <c r="K73" s="21">
        <v>11480</v>
      </c>
      <c r="L73" s="7" t="s">
        <v>66</v>
      </c>
      <c r="M73">
        <v>11485</v>
      </c>
      <c r="N73">
        <v>11485</v>
      </c>
      <c r="O73">
        <v>11485</v>
      </c>
      <c r="P73">
        <v>11485</v>
      </c>
      <c r="Q73" t="s">
        <v>818</v>
      </c>
      <c r="R73" t="s">
        <v>269</v>
      </c>
    </row>
    <row r="74" spans="1:18" ht="15.75" x14ac:dyDescent="0.25">
      <c r="A74">
        <v>11491</v>
      </c>
      <c r="B74">
        <v>11506</v>
      </c>
      <c r="D74">
        <v>11487</v>
      </c>
      <c r="F74" s="202"/>
      <c r="G74" s="202"/>
      <c r="H74">
        <v>11498</v>
      </c>
      <c r="I74" t="s">
        <v>88</v>
      </c>
      <c r="K74" s="21">
        <v>11517</v>
      </c>
      <c r="L74" s="53" t="s">
        <v>105</v>
      </c>
      <c r="M74">
        <v>11506</v>
      </c>
      <c r="N74">
        <v>11506</v>
      </c>
      <c r="O74">
        <v>11506</v>
      </c>
      <c r="P74">
        <v>11506</v>
      </c>
      <c r="Q74" t="s">
        <v>100</v>
      </c>
      <c r="R74" t="s">
        <v>269</v>
      </c>
    </row>
    <row r="75" spans="1:18" ht="15.75" x14ac:dyDescent="0.25">
      <c r="A75">
        <v>11492</v>
      </c>
      <c r="B75">
        <v>11507</v>
      </c>
      <c r="D75">
        <v>11488</v>
      </c>
      <c r="F75" s="202"/>
      <c r="G75" s="202"/>
      <c r="H75">
        <v>11504</v>
      </c>
      <c r="I75" t="s">
        <v>78</v>
      </c>
      <c r="K75" s="21">
        <v>11514</v>
      </c>
      <c r="L75" s="53" t="s">
        <v>107</v>
      </c>
      <c r="M75">
        <v>11507</v>
      </c>
      <c r="N75">
        <v>11507</v>
      </c>
      <c r="O75">
        <v>11507</v>
      </c>
      <c r="P75">
        <v>11507</v>
      </c>
      <c r="Q75" t="s">
        <v>97</v>
      </c>
      <c r="R75" t="s">
        <v>269</v>
      </c>
    </row>
    <row r="76" spans="1:18" ht="15.75" x14ac:dyDescent="0.25">
      <c r="A76">
        <v>11493</v>
      </c>
      <c r="B76">
        <v>11509</v>
      </c>
      <c r="D76">
        <v>11467</v>
      </c>
      <c r="F76" s="202"/>
      <c r="G76" s="202"/>
      <c r="H76">
        <v>11528</v>
      </c>
      <c r="I76" t="s">
        <v>121</v>
      </c>
      <c r="K76" s="21">
        <v>11500</v>
      </c>
      <c r="L76" s="53" t="s">
        <v>90</v>
      </c>
      <c r="M76">
        <v>11510</v>
      </c>
      <c r="N76">
        <v>11510</v>
      </c>
      <c r="O76">
        <v>11510</v>
      </c>
      <c r="P76">
        <v>11510</v>
      </c>
      <c r="Q76" t="s">
        <v>101</v>
      </c>
      <c r="R76" t="s">
        <v>269</v>
      </c>
    </row>
    <row r="77" spans="1:18" ht="15.75" x14ac:dyDescent="0.25">
      <c r="A77">
        <v>11494</v>
      </c>
      <c r="B77">
        <v>11510</v>
      </c>
      <c r="D77">
        <v>11489</v>
      </c>
      <c r="F77" s="202"/>
      <c r="G77" s="202"/>
      <c r="H77">
        <v>11531</v>
      </c>
      <c r="I77" t="s">
        <v>122</v>
      </c>
      <c r="K77" s="21">
        <v>11501</v>
      </c>
      <c r="L77" s="53" t="s">
        <v>85</v>
      </c>
      <c r="M77">
        <v>11511</v>
      </c>
      <c r="N77">
        <v>11511</v>
      </c>
      <c r="O77">
        <v>11511</v>
      </c>
      <c r="P77">
        <v>11511</v>
      </c>
      <c r="Q77" t="s">
        <v>169</v>
      </c>
      <c r="R77" t="s">
        <v>269</v>
      </c>
    </row>
    <row r="78" spans="1:18" ht="15.75" x14ac:dyDescent="0.25">
      <c r="A78">
        <v>11495</v>
      </c>
      <c r="B78">
        <v>11511</v>
      </c>
      <c r="D78">
        <v>11490</v>
      </c>
      <c r="F78" s="202"/>
      <c r="G78" s="202"/>
      <c r="H78">
        <v>11526</v>
      </c>
      <c r="I78" t="s">
        <v>114</v>
      </c>
      <c r="K78" s="21">
        <v>11495</v>
      </c>
      <c r="L78" s="53" t="s">
        <v>92</v>
      </c>
      <c r="M78">
        <v>11515</v>
      </c>
      <c r="N78">
        <v>11515</v>
      </c>
      <c r="O78">
        <v>11515</v>
      </c>
      <c r="P78">
        <v>11515</v>
      </c>
      <c r="Q78" t="s">
        <v>351</v>
      </c>
      <c r="R78" t="s">
        <v>269</v>
      </c>
    </row>
    <row r="79" spans="1:18" ht="15.75" x14ac:dyDescent="0.25">
      <c r="A79">
        <v>11496</v>
      </c>
      <c r="B79">
        <v>11514</v>
      </c>
      <c r="D79">
        <v>11491</v>
      </c>
      <c r="F79" s="202"/>
      <c r="G79" s="202"/>
      <c r="H79">
        <v>11527</v>
      </c>
      <c r="I79" t="s">
        <v>115</v>
      </c>
      <c r="K79" s="21">
        <v>11496</v>
      </c>
      <c r="L79" s="53" t="s">
        <v>86</v>
      </c>
      <c r="M79">
        <v>11517</v>
      </c>
      <c r="N79">
        <v>11517</v>
      </c>
      <c r="O79">
        <v>11517</v>
      </c>
      <c r="P79">
        <v>11517</v>
      </c>
      <c r="Q79" t="s">
        <v>105</v>
      </c>
      <c r="R79" t="s">
        <v>269</v>
      </c>
    </row>
    <row r="80" spans="1:18" ht="15.75" x14ac:dyDescent="0.25">
      <c r="A80">
        <v>11497</v>
      </c>
      <c r="B80">
        <v>11515</v>
      </c>
      <c r="D80">
        <v>11492</v>
      </c>
      <c r="F80" s="202"/>
      <c r="G80" s="202"/>
      <c r="H80">
        <v>11521</v>
      </c>
      <c r="I80" t="s">
        <v>113</v>
      </c>
      <c r="K80" s="21">
        <v>11530</v>
      </c>
      <c r="L80" s="41" t="s">
        <v>120</v>
      </c>
      <c r="M80">
        <v>11518</v>
      </c>
      <c r="N80">
        <v>11518</v>
      </c>
      <c r="O80">
        <v>11518</v>
      </c>
      <c r="P80">
        <v>11518</v>
      </c>
      <c r="Q80" t="s">
        <v>349</v>
      </c>
      <c r="R80" t="s">
        <v>269</v>
      </c>
    </row>
    <row r="81" spans="1:18" ht="15.75" x14ac:dyDescent="0.25">
      <c r="A81">
        <v>11498</v>
      </c>
      <c r="B81">
        <v>11517</v>
      </c>
      <c r="D81">
        <v>11493</v>
      </c>
      <c r="F81" s="202"/>
      <c r="G81" s="203"/>
      <c r="H81">
        <v>11407</v>
      </c>
      <c r="I81" t="s">
        <v>80</v>
      </c>
      <c r="K81" s="21">
        <v>11493</v>
      </c>
      <c r="L81" s="53" t="s">
        <v>83</v>
      </c>
      <c r="M81">
        <v>11526</v>
      </c>
      <c r="N81">
        <v>11526</v>
      </c>
      <c r="O81">
        <v>11526</v>
      </c>
      <c r="P81">
        <v>11526</v>
      </c>
      <c r="Q81" t="s">
        <v>175</v>
      </c>
      <c r="R81" t="s">
        <v>269</v>
      </c>
    </row>
    <row r="82" spans="1:18" ht="15.75" x14ac:dyDescent="0.25">
      <c r="A82">
        <v>11499</v>
      </c>
      <c r="B82">
        <v>11518</v>
      </c>
      <c r="D82">
        <v>11494</v>
      </c>
      <c r="F82" s="202"/>
      <c r="G82" s="201" t="s">
        <v>82</v>
      </c>
      <c r="H82">
        <v>11515</v>
      </c>
      <c r="I82" t="s">
        <v>109</v>
      </c>
      <c r="K82" s="21">
        <v>11406</v>
      </c>
      <c r="L82" s="53" t="s">
        <v>73</v>
      </c>
      <c r="M82">
        <v>11527</v>
      </c>
      <c r="N82">
        <v>11527</v>
      </c>
      <c r="O82">
        <v>11527</v>
      </c>
      <c r="P82">
        <v>11527</v>
      </c>
      <c r="Q82" t="s">
        <v>115</v>
      </c>
      <c r="R82" t="s">
        <v>269</v>
      </c>
    </row>
    <row r="83" spans="1:18" ht="15.75" x14ac:dyDescent="0.25">
      <c r="A83">
        <v>11500</v>
      </c>
      <c r="B83">
        <v>11520</v>
      </c>
      <c r="D83">
        <v>11495</v>
      </c>
      <c r="F83" s="202"/>
      <c r="G83" s="202"/>
      <c r="H83">
        <v>11430</v>
      </c>
      <c r="I83" t="s">
        <v>53</v>
      </c>
      <c r="K83" s="21">
        <v>11497</v>
      </c>
      <c r="L83" s="53" t="s">
        <v>87</v>
      </c>
      <c r="M83">
        <v>11528</v>
      </c>
      <c r="N83">
        <v>11528</v>
      </c>
      <c r="O83">
        <v>11528</v>
      </c>
      <c r="P83">
        <v>11528</v>
      </c>
      <c r="Q83" t="s">
        <v>121</v>
      </c>
      <c r="R83" t="s">
        <v>269</v>
      </c>
    </row>
    <row r="84" spans="1:18" ht="15.75" x14ac:dyDescent="0.25">
      <c r="A84">
        <v>11501</v>
      </c>
      <c r="B84">
        <v>11523</v>
      </c>
      <c r="D84">
        <v>11496</v>
      </c>
      <c r="F84" s="202"/>
      <c r="G84" s="202"/>
      <c r="H84">
        <v>11431</v>
      </c>
      <c r="I84" t="s">
        <v>54</v>
      </c>
      <c r="K84" s="31">
        <v>11469</v>
      </c>
      <c r="L84" s="54" t="s">
        <v>74</v>
      </c>
      <c r="M84">
        <v>11529</v>
      </c>
      <c r="N84">
        <v>11529</v>
      </c>
      <c r="O84">
        <v>11529</v>
      </c>
      <c r="P84">
        <v>11529</v>
      </c>
      <c r="Q84" t="s">
        <v>119</v>
      </c>
      <c r="R84" t="s">
        <v>269</v>
      </c>
    </row>
    <row r="85" spans="1:18" ht="15.75" x14ac:dyDescent="0.25">
      <c r="A85">
        <v>11502</v>
      </c>
      <c r="B85">
        <v>11524</v>
      </c>
      <c r="D85">
        <v>11530</v>
      </c>
      <c r="F85" s="202"/>
      <c r="G85" s="202"/>
      <c r="H85">
        <v>11448</v>
      </c>
      <c r="I85" t="s">
        <v>55</v>
      </c>
      <c r="K85" s="21">
        <v>11498</v>
      </c>
      <c r="L85" s="53" t="s">
        <v>88</v>
      </c>
      <c r="M85">
        <v>11530</v>
      </c>
      <c r="N85">
        <v>11530</v>
      </c>
      <c r="O85">
        <v>11530</v>
      </c>
      <c r="P85">
        <v>11530</v>
      </c>
      <c r="Q85" t="s">
        <v>120</v>
      </c>
      <c r="R85" t="s">
        <v>269</v>
      </c>
    </row>
    <row r="86" spans="1:18" ht="15.75" x14ac:dyDescent="0.25">
      <c r="A86">
        <v>11503</v>
      </c>
      <c r="B86">
        <v>11525</v>
      </c>
      <c r="D86">
        <v>11497</v>
      </c>
      <c r="F86" s="202"/>
      <c r="G86" s="202"/>
      <c r="H86">
        <v>11516</v>
      </c>
      <c r="I86" t="s">
        <v>104</v>
      </c>
      <c r="K86" s="31">
        <v>11504</v>
      </c>
      <c r="L86" s="54" t="s">
        <v>78</v>
      </c>
      <c r="M86">
        <v>11533</v>
      </c>
      <c r="N86">
        <v>11533</v>
      </c>
      <c r="O86">
        <v>11533</v>
      </c>
      <c r="P86">
        <v>11533</v>
      </c>
      <c r="Q86" t="s">
        <v>268</v>
      </c>
      <c r="R86" t="s">
        <v>269</v>
      </c>
    </row>
    <row r="87" spans="1:18" ht="15.75" x14ac:dyDescent="0.25">
      <c r="A87">
        <v>11504</v>
      </c>
      <c r="B87">
        <v>11526</v>
      </c>
      <c r="D87">
        <v>11498</v>
      </c>
      <c r="F87" s="202"/>
      <c r="G87" s="202"/>
      <c r="H87">
        <v>11475</v>
      </c>
      <c r="I87" t="s">
        <v>56</v>
      </c>
      <c r="K87" s="21">
        <v>11528</v>
      </c>
      <c r="L87" s="53" t="s">
        <v>121</v>
      </c>
      <c r="M87">
        <v>11277</v>
      </c>
      <c r="N87">
        <v>11277</v>
      </c>
      <c r="O87">
        <v>11277</v>
      </c>
      <c r="P87">
        <v>11277</v>
      </c>
      <c r="Q87" t="s">
        <v>301</v>
      </c>
      <c r="R87" t="s">
        <v>296</v>
      </c>
    </row>
    <row r="88" spans="1:18" ht="15.75" x14ac:dyDescent="0.25">
      <c r="A88">
        <v>11505</v>
      </c>
      <c r="B88">
        <v>11527</v>
      </c>
      <c r="D88">
        <v>11500</v>
      </c>
      <c r="F88" s="202"/>
      <c r="G88" s="202"/>
      <c r="H88">
        <v>11433</v>
      </c>
      <c r="I88" t="s">
        <v>57</v>
      </c>
      <c r="K88" s="21">
        <v>11531</v>
      </c>
      <c r="L88" s="53" t="s">
        <v>122</v>
      </c>
      <c r="M88">
        <v>11278</v>
      </c>
      <c r="N88">
        <v>11278</v>
      </c>
      <c r="O88">
        <v>11278</v>
      </c>
      <c r="P88">
        <v>11278</v>
      </c>
      <c r="Q88" t="s">
        <v>298</v>
      </c>
      <c r="R88" t="s">
        <v>296</v>
      </c>
    </row>
    <row r="89" spans="1:18" ht="15.75" x14ac:dyDescent="0.25">
      <c r="A89">
        <v>11506</v>
      </c>
      <c r="B89">
        <v>11528</v>
      </c>
      <c r="D89">
        <v>11501</v>
      </c>
      <c r="F89" s="202"/>
      <c r="G89" s="202"/>
      <c r="H89">
        <v>11511</v>
      </c>
      <c r="I89" t="s">
        <v>103</v>
      </c>
      <c r="K89" s="21">
        <v>11526</v>
      </c>
      <c r="L89" s="53" t="s">
        <v>114</v>
      </c>
      <c r="M89">
        <v>11279</v>
      </c>
      <c r="N89">
        <v>11279</v>
      </c>
      <c r="O89">
        <v>11279</v>
      </c>
      <c r="P89">
        <v>11279</v>
      </c>
      <c r="Q89" t="s">
        <v>303</v>
      </c>
      <c r="R89" t="s">
        <v>296</v>
      </c>
    </row>
    <row r="90" spans="1:18" ht="15.75" x14ac:dyDescent="0.25">
      <c r="A90">
        <v>11507</v>
      </c>
      <c r="B90">
        <v>11531</v>
      </c>
      <c r="D90">
        <v>11502</v>
      </c>
      <c r="F90" s="202"/>
      <c r="G90" s="202"/>
      <c r="H90">
        <v>11485</v>
      </c>
      <c r="I90" t="s">
        <v>59</v>
      </c>
      <c r="K90" s="21">
        <v>11527</v>
      </c>
      <c r="L90" s="53" t="s">
        <v>115</v>
      </c>
      <c r="M90">
        <v>11294</v>
      </c>
      <c r="N90">
        <v>11294</v>
      </c>
      <c r="O90">
        <v>11294</v>
      </c>
      <c r="P90">
        <v>11294</v>
      </c>
      <c r="Q90" t="s">
        <v>305</v>
      </c>
      <c r="R90" t="s">
        <v>296</v>
      </c>
    </row>
    <row r="91" spans="1:18" ht="15.75" x14ac:dyDescent="0.25">
      <c r="A91">
        <v>11509</v>
      </c>
      <c r="D91">
        <v>11503</v>
      </c>
      <c r="F91" s="202"/>
      <c r="G91" s="202"/>
      <c r="H91">
        <v>11458</v>
      </c>
      <c r="I91" t="s">
        <v>60</v>
      </c>
      <c r="K91" s="31">
        <v>11521</v>
      </c>
      <c r="L91" s="37" t="s">
        <v>113</v>
      </c>
      <c r="M91">
        <v>11486</v>
      </c>
      <c r="N91">
        <v>11486</v>
      </c>
      <c r="O91">
        <v>11486</v>
      </c>
      <c r="P91">
        <v>11486</v>
      </c>
      <c r="Q91" t="s">
        <v>300</v>
      </c>
      <c r="R91" t="s">
        <v>296</v>
      </c>
    </row>
    <row r="92" spans="1:18" ht="15.75" x14ac:dyDescent="0.25">
      <c r="A92">
        <v>11510</v>
      </c>
      <c r="D92">
        <v>11504</v>
      </c>
      <c r="F92" s="202"/>
      <c r="G92" s="202"/>
      <c r="H92">
        <v>11457</v>
      </c>
      <c r="I92" t="s">
        <v>61</v>
      </c>
      <c r="K92" s="21">
        <v>11407</v>
      </c>
      <c r="L92" s="53" t="s">
        <v>80</v>
      </c>
      <c r="M92">
        <v>11513</v>
      </c>
      <c r="N92">
        <v>11513</v>
      </c>
      <c r="O92">
        <v>11513</v>
      </c>
      <c r="P92">
        <v>11513</v>
      </c>
      <c r="Q92" t="s">
        <v>352</v>
      </c>
      <c r="R92" t="s">
        <v>296</v>
      </c>
    </row>
    <row r="93" spans="1:18" ht="15.75" x14ac:dyDescent="0.25">
      <c r="A93">
        <v>11511</v>
      </c>
      <c r="D93">
        <v>11505</v>
      </c>
      <c r="F93" s="202"/>
      <c r="G93" s="202"/>
      <c r="H93">
        <v>11509</v>
      </c>
      <c r="I93" t="s">
        <v>102</v>
      </c>
      <c r="K93" s="21">
        <v>11534</v>
      </c>
      <c r="L93" s="7" t="s">
        <v>266</v>
      </c>
      <c r="M93">
        <v>11532</v>
      </c>
      <c r="N93">
        <v>11532</v>
      </c>
      <c r="O93">
        <v>11532</v>
      </c>
      <c r="P93">
        <v>11532</v>
      </c>
      <c r="Q93" t="s">
        <v>295</v>
      </c>
      <c r="R93" t="s">
        <v>296</v>
      </c>
    </row>
    <row r="94" spans="1:18" ht="15.75" x14ac:dyDescent="0.25">
      <c r="A94">
        <v>11514</v>
      </c>
      <c r="D94">
        <v>11506</v>
      </c>
      <c r="F94" s="202"/>
      <c r="G94" s="202"/>
      <c r="H94">
        <v>11518</v>
      </c>
      <c r="I94" t="s">
        <v>106</v>
      </c>
      <c r="K94" s="21">
        <v>11536</v>
      </c>
      <c r="L94" s="7" t="s">
        <v>1058</v>
      </c>
      <c r="M94">
        <v>11292</v>
      </c>
      <c r="N94">
        <v>11292</v>
      </c>
      <c r="O94">
        <v>11292</v>
      </c>
      <c r="P94">
        <v>11292</v>
      </c>
      <c r="Q94" t="s">
        <v>4</v>
      </c>
      <c r="R94" t="s">
        <v>308</v>
      </c>
    </row>
    <row r="95" spans="1:18" ht="15.75" x14ac:dyDescent="0.25">
      <c r="A95">
        <v>11515</v>
      </c>
      <c r="D95">
        <v>11507</v>
      </c>
      <c r="F95" s="202"/>
      <c r="G95" s="202"/>
      <c r="H95">
        <v>11421</v>
      </c>
      <c r="I95" t="s">
        <v>62</v>
      </c>
      <c r="K95" s="21">
        <v>11483</v>
      </c>
      <c r="L95" s="7" t="s">
        <v>1059</v>
      </c>
      <c r="M95">
        <v>11360</v>
      </c>
      <c r="N95">
        <v>11360</v>
      </c>
      <c r="O95">
        <v>11360</v>
      </c>
      <c r="P95">
        <v>11360</v>
      </c>
      <c r="Q95" t="s">
        <v>307</v>
      </c>
      <c r="R95" t="s">
        <v>308</v>
      </c>
    </row>
    <row r="96" spans="1:18" ht="15.75" x14ac:dyDescent="0.25">
      <c r="A96">
        <v>11516</v>
      </c>
      <c r="D96">
        <v>11509</v>
      </c>
      <c r="F96" s="202"/>
      <c r="G96" s="202"/>
      <c r="H96">
        <v>11484</v>
      </c>
      <c r="I96" t="s">
        <v>63</v>
      </c>
      <c r="K96" s="1"/>
      <c r="L96" s="2">
        <f>COUNTA(L62:L92)</f>
        <v>31</v>
      </c>
      <c r="M96">
        <v>11376</v>
      </c>
      <c r="N96">
        <v>11376</v>
      </c>
      <c r="O96">
        <v>11376</v>
      </c>
      <c r="P96">
        <v>11376</v>
      </c>
      <c r="Q96" t="s">
        <v>37</v>
      </c>
      <c r="R96" t="s">
        <v>308</v>
      </c>
    </row>
    <row r="97" spans="1:18" ht="15.75" x14ac:dyDescent="0.25">
      <c r="A97">
        <v>11517</v>
      </c>
      <c r="D97">
        <v>11510</v>
      </c>
      <c r="F97" s="202"/>
      <c r="G97" s="202"/>
      <c r="H97">
        <v>11510</v>
      </c>
      <c r="I97" t="s">
        <v>101</v>
      </c>
      <c r="K97" s="1"/>
      <c r="L97" s="2"/>
      <c r="M97">
        <v>11411</v>
      </c>
      <c r="N97">
        <v>11411</v>
      </c>
      <c r="O97">
        <v>11411</v>
      </c>
      <c r="P97">
        <v>11411</v>
      </c>
      <c r="Q97" t="s">
        <v>21</v>
      </c>
      <c r="R97" t="s">
        <v>308</v>
      </c>
    </row>
    <row r="98" spans="1:18" ht="15.75" x14ac:dyDescent="0.25">
      <c r="A98">
        <v>11518</v>
      </c>
      <c r="D98">
        <v>11511</v>
      </c>
      <c r="F98" s="202"/>
      <c r="G98" s="202"/>
      <c r="H98">
        <v>11507</v>
      </c>
      <c r="I98" t="s">
        <v>97</v>
      </c>
      <c r="K98" s="1"/>
      <c r="L98" s="2"/>
      <c r="M98">
        <v>11412</v>
      </c>
      <c r="N98">
        <v>11412</v>
      </c>
      <c r="O98">
        <v>11412</v>
      </c>
      <c r="P98">
        <v>11412</v>
      </c>
      <c r="Q98" t="s">
        <v>50</v>
      </c>
      <c r="R98" t="s">
        <v>308</v>
      </c>
    </row>
    <row r="99" spans="1:18" ht="18.75" x14ac:dyDescent="0.25">
      <c r="A99">
        <v>11520</v>
      </c>
      <c r="D99">
        <v>11514</v>
      </c>
      <c r="F99" s="202"/>
      <c r="G99" s="202"/>
      <c r="H99">
        <v>11445</v>
      </c>
      <c r="I99" t="s">
        <v>67</v>
      </c>
      <c r="K99" s="177" t="s">
        <v>82</v>
      </c>
      <c r="L99" s="178"/>
      <c r="M99">
        <v>11413</v>
      </c>
      <c r="N99">
        <v>11413</v>
      </c>
      <c r="O99">
        <v>11413</v>
      </c>
      <c r="P99">
        <v>11413</v>
      </c>
      <c r="Q99" t="s">
        <v>26</v>
      </c>
      <c r="R99" t="s">
        <v>308</v>
      </c>
    </row>
    <row r="100" spans="1:18" ht="15.75" x14ac:dyDescent="0.25">
      <c r="A100">
        <v>11521</v>
      </c>
      <c r="D100">
        <v>11515</v>
      </c>
      <c r="F100" s="202"/>
      <c r="G100" s="202"/>
      <c r="H100">
        <v>11432</v>
      </c>
      <c r="I100" t="s">
        <v>68</v>
      </c>
      <c r="K100" s="21" t="s">
        <v>0</v>
      </c>
      <c r="L100" s="4" t="s">
        <v>1</v>
      </c>
      <c r="M100">
        <v>11414</v>
      </c>
      <c r="N100">
        <v>11414</v>
      </c>
      <c r="O100">
        <v>11414</v>
      </c>
      <c r="P100">
        <v>11414</v>
      </c>
      <c r="Q100" t="s">
        <v>22</v>
      </c>
      <c r="R100" t="s">
        <v>308</v>
      </c>
    </row>
    <row r="101" spans="1:18" ht="15.75" x14ac:dyDescent="0.25">
      <c r="A101">
        <v>11522</v>
      </c>
      <c r="D101">
        <v>11517</v>
      </c>
      <c r="F101" s="202"/>
      <c r="G101" s="202"/>
      <c r="H101">
        <v>11422</v>
      </c>
      <c r="I101" t="s">
        <v>69</v>
      </c>
      <c r="K101" s="21">
        <v>11515</v>
      </c>
      <c r="L101" s="53" t="s">
        <v>109</v>
      </c>
      <c r="M101">
        <v>11415</v>
      </c>
      <c r="N101">
        <v>11415</v>
      </c>
      <c r="O101">
        <v>11415</v>
      </c>
      <c r="P101">
        <v>11415</v>
      </c>
      <c r="Q101" t="s">
        <v>25</v>
      </c>
      <c r="R101" t="s">
        <v>308</v>
      </c>
    </row>
    <row r="102" spans="1:18" ht="15.75" x14ac:dyDescent="0.25">
      <c r="A102">
        <v>11523</v>
      </c>
      <c r="D102">
        <v>11518</v>
      </c>
      <c r="F102" s="202"/>
      <c r="G102" s="202"/>
      <c r="H102">
        <v>11522</v>
      </c>
      <c r="I102" t="s">
        <v>112</v>
      </c>
      <c r="K102" s="21">
        <v>11430</v>
      </c>
      <c r="L102" s="7" t="s">
        <v>53</v>
      </c>
      <c r="M102">
        <v>11416</v>
      </c>
      <c r="N102">
        <v>11416</v>
      </c>
      <c r="O102">
        <v>11416</v>
      </c>
      <c r="P102">
        <v>11416</v>
      </c>
      <c r="Q102" t="s">
        <v>45</v>
      </c>
      <c r="R102" t="s">
        <v>308</v>
      </c>
    </row>
    <row r="103" spans="1:18" ht="15.75" x14ac:dyDescent="0.25">
      <c r="A103">
        <v>11524</v>
      </c>
      <c r="D103">
        <v>11520</v>
      </c>
      <c r="F103" s="202"/>
      <c r="G103" s="202"/>
      <c r="H103">
        <v>11506</v>
      </c>
      <c r="I103" t="s">
        <v>100</v>
      </c>
      <c r="K103" s="21">
        <v>11431</v>
      </c>
      <c r="L103" s="7" t="s">
        <v>54</v>
      </c>
      <c r="M103">
        <v>11418</v>
      </c>
      <c r="N103">
        <v>11418</v>
      </c>
      <c r="O103">
        <v>11418</v>
      </c>
      <c r="P103">
        <v>11418</v>
      </c>
      <c r="Q103" t="s">
        <v>51</v>
      </c>
      <c r="R103" t="s">
        <v>308</v>
      </c>
    </row>
    <row r="104" spans="1:18" ht="15.75" x14ac:dyDescent="0.25">
      <c r="A104">
        <v>11525</v>
      </c>
      <c r="D104">
        <v>11523</v>
      </c>
      <c r="F104" s="202"/>
      <c r="G104" s="202"/>
      <c r="H104">
        <v>11478</v>
      </c>
      <c r="I104" t="s">
        <v>70</v>
      </c>
      <c r="K104" s="21">
        <v>11448</v>
      </c>
      <c r="L104" s="7" t="s">
        <v>55</v>
      </c>
      <c r="M104">
        <v>11419</v>
      </c>
      <c r="N104">
        <v>11419</v>
      </c>
      <c r="O104">
        <v>11419</v>
      </c>
      <c r="P104">
        <v>11419</v>
      </c>
      <c r="Q104" t="s">
        <v>44</v>
      </c>
      <c r="R104" t="s">
        <v>308</v>
      </c>
    </row>
    <row r="105" spans="1:18" ht="15.75" x14ac:dyDescent="0.25">
      <c r="A105">
        <v>11526</v>
      </c>
      <c r="D105">
        <v>11524</v>
      </c>
      <c r="F105" s="202"/>
      <c r="G105" s="202"/>
      <c r="H105">
        <v>11477</v>
      </c>
      <c r="I105" t="s">
        <v>71</v>
      </c>
      <c r="K105" s="31">
        <v>11516</v>
      </c>
      <c r="L105" s="37" t="s">
        <v>104</v>
      </c>
      <c r="M105">
        <v>11420</v>
      </c>
      <c r="N105">
        <v>11420</v>
      </c>
      <c r="O105">
        <v>11420</v>
      </c>
      <c r="P105">
        <v>11420</v>
      </c>
      <c r="Q105" t="s">
        <v>38</v>
      </c>
      <c r="R105" t="s">
        <v>308</v>
      </c>
    </row>
    <row r="106" spans="1:18" ht="15.75" x14ac:dyDescent="0.25">
      <c r="A106">
        <v>11527</v>
      </c>
      <c r="D106">
        <v>11525</v>
      </c>
      <c r="F106" s="202"/>
      <c r="G106" s="202"/>
      <c r="H106">
        <v>11520</v>
      </c>
      <c r="I106" t="s">
        <v>111</v>
      </c>
      <c r="K106" s="21">
        <v>11475</v>
      </c>
      <c r="L106" s="7" t="s">
        <v>56</v>
      </c>
      <c r="M106">
        <v>11423</v>
      </c>
      <c r="N106">
        <v>11423</v>
      </c>
      <c r="O106">
        <v>11423</v>
      </c>
      <c r="P106">
        <v>11423</v>
      </c>
      <c r="Q106" t="s">
        <v>32</v>
      </c>
      <c r="R106" t="s">
        <v>308</v>
      </c>
    </row>
    <row r="107" spans="1:18" ht="15.75" x14ac:dyDescent="0.25">
      <c r="A107">
        <v>11528</v>
      </c>
      <c r="D107">
        <v>11526</v>
      </c>
      <c r="F107" s="202"/>
      <c r="G107" s="202"/>
      <c r="I107" t="s">
        <v>110</v>
      </c>
      <c r="K107" s="21">
        <v>11433</v>
      </c>
      <c r="L107" s="7" t="s">
        <v>57</v>
      </c>
      <c r="M107">
        <v>11441</v>
      </c>
      <c r="N107">
        <v>11441</v>
      </c>
      <c r="O107">
        <v>11441</v>
      </c>
      <c r="P107">
        <v>11441</v>
      </c>
      <c r="Q107" t="s">
        <v>36</v>
      </c>
      <c r="R107" t="s">
        <v>308</v>
      </c>
    </row>
    <row r="108" spans="1:18" ht="15.75" x14ac:dyDescent="0.25">
      <c r="A108">
        <v>11529</v>
      </c>
      <c r="D108">
        <v>11527</v>
      </c>
      <c r="F108" s="202"/>
      <c r="G108" s="202"/>
      <c r="H108">
        <v>11456</v>
      </c>
      <c r="I108" t="s">
        <v>72</v>
      </c>
      <c r="K108" s="21">
        <v>11511</v>
      </c>
      <c r="L108" s="53" t="s">
        <v>103</v>
      </c>
      <c r="M108">
        <v>11442</v>
      </c>
      <c r="N108">
        <v>11442</v>
      </c>
      <c r="O108">
        <v>11442</v>
      </c>
      <c r="P108">
        <v>11442</v>
      </c>
      <c r="Q108" t="s">
        <v>39</v>
      </c>
      <c r="R108" t="s">
        <v>308</v>
      </c>
    </row>
    <row r="109" spans="1:18" ht="15.75" x14ac:dyDescent="0.25">
      <c r="A109">
        <v>11530</v>
      </c>
      <c r="D109">
        <v>11521</v>
      </c>
      <c r="F109" s="202"/>
      <c r="G109" s="202"/>
      <c r="H109">
        <v>11533</v>
      </c>
      <c r="I109" t="s">
        <v>154</v>
      </c>
      <c r="K109" s="21">
        <v>11485</v>
      </c>
      <c r="L109" s="53" t="s">
        <v>59</v>
      </c>
      <c r="M109">
        <v>11450</v>
      </c>
      <c r="N109">
        <v>11450</v>
      </c>
      <c r="O109">
        <v>11450</v>
      </c>
      <c r="P109">
        <v>11450</v>
      </c>
      <c r="Q109" t="s">
        <v>27</v>
      </c>
      <c r="R109" t="s">
        <v>308</v>
      </c>
    </row>
    <row r="110" spans="1:18" ht="15.75" x14ac:dyDescent="0.25">
      <c r="A110">
        <v>11531</v>
      </c>
      <c r="D110">
        <v>11528</v>
      </c>
      <c r="F110" s="202"/>
      <c r="G110" s="202"/>
      <c r="H110">
        <v>11444</v>
      </c>
      <c r="I110" t="s">
        <v>75</v>
      </c>
      <c r="K110" s="21">
        <v>11458</v>
      </c>
      <c r="L110" s="37" t="s">
        <v>60</v>
      </c>
      <c r="M110">
        <v>11451</v>
      </c>
      <c r="N110">
        <v>11451</v>
      </c>
      <c r="O110">
        <v>11451</v>
      </c>
      <c r="P110">
        <v>11451</v>
      </c>
      <c r="Q110" t="s">
        <v>334</v>
      </c>
      <c r="R110" t="s">
        <v>308</v>
      </c>
    </row>
    <row r="111" spans="1:18" ht="15.75" x14ac:dyDescent="0.25">
      <c r="D111">
        <v>11531</v>
      </c>
      <c r="F111" s="202"/>
      <c r="G111" s="202"/>
      <c r="H111">
        <v>11434</v>
      </c>
      <c r="I111" t="s">
        <v>76</v>
      </c>
      <c r="K111" s="21">
        <v>11457</v>
      </c>
      <c r="L111" s="37" t="s">
        <v>61</v>
      </c>
      <c r="M111">
        <v>11452</v>
      </c>
      <c r="N111">
        <v>11452</v>
      </c>
      <c r="O111">
        <v>11452</v>
      </c>
      <c r="P111">
        <v>11452</v>
      </c>
      <c r="Q111" t="s">
        <v>46</v>
      </c>
      <c r="R111" t="s">
        <v>308</v>
      </c>
    </row>
    <row r="112" spans="1:18" ht="15.75" x14ac:dyDescent="0.25">
      <c r="D112">
        <v>11533</v>
      </c>
      <c r="F112" s="202"/>
      <c r="G112" s="202"/>
      <c r="H112">
        <v>11455</v>
      </c>
      <c r="I112" t="s">
        <v>77</v>
      </c>
      <c r="K112" s="21">
        <v>11509</v>
      </c>
      <c r="L112" s="53" t="s">
        <v>102</v>
      </c>
      <c r="M112">
        <v>11453</v>
      </c>
      <c r="N112">
        <v>11453</v>
      </c>
      <c r="O112">
        <v>11453</v>
      </c>
      <c r="P112">
        <v>11453</v>
      </c>
      <c r="Q112" t="s">
        <v>23</v>
      </c>
      <c r="R112" t="s">
        <v>308</v>
      </c>
    </row>
    <row r="113" spans="6:18" ht="15.75" x14ac:dyDescent="0.25">
      <c r="F113" s="203"/>
      <c r="G113" s="203"/>
      <c r="H113">
        <v>11463</v>
      </c>
      <c r="I113" t="s">
        <v>79</v>
      </c>
      <c r="K113" s="21">
        <v>11518</v>
      </c>
      <c r="L113" s="53" t="s">
        <v>106</v>
      </c>
      <c r="M113">
        <v>11454</v>
      </c>
      <c r="N113">
        <v>11454</v>
      </c>
      <c r="O113">
        <v>11454</v>
      </c>
      <c r="P113">
        <v>11454</v>
      </c>
      <c r="Q113" t="s">
        <v>29</v>
      </c>
      <c r="R113" t="s">
        <v>308</v>
      </c>
    </row>
    <row r="114" spans="6:18" ht="15.75" x14ac:dyDescent="0.25">
      <c r="K114" s="21">
        <v>11421</v>
      </c>
      <c r="L114" s="7" t="s">
        <v>62</v>
      </c>
      <c r="M114">
        <v>11460</v>
      </c>
      <c r="N114">
        <v>11460</v>
      </c>
      <c r="O114">
        <v>11460</v>
      </c>
      <c r="P114">
        <v>11460</v>
      </c>
      <c r="Q114" t="s">
        <v>43</v>
      </c>
      <c r="R114" t="s">
        <v>308</v>
      </c>
    </row>
    <row r="115" spans="6:18" ht="15.75" x14ac:dyDescent="0.25">
      <c r="K115" s="21">
        <v>11484</v>
      </c>
      <c r="L115" s="53" t="s">
        <v>63</v>
      </c>
      <c r="M115">
        <v>11462</v>
      </c>
      <c r="N115">
        <v>11462</v>
      </c>
      <c r="O115">
        <v>11462</v>
      </c>
      <c r="P115">
        <v>11462</v>
      </c>
      <c r="Q115" t="s">
        <v>35</v>
      </c>
      <c r="R115" t="s">
        <v>308</v>
      </c>
    </row>
    <row r="116" spans="6:18" ht="15.75" x14ac:dyDescent="0.25">
      <c r="K116" s="21">
        <v>11510</v>
      </c>
      <c r="L116" s="53" t="s">
        <v>101</v>
      </c>
      <c r="M116">
        <v>11464</v>
      </c>
      <c r="N116">
        <v>11464</v>
      </c>
      <c r="O116">
        <v>11464</v>
      </c>
      <c r="P116">
        <v>11464</v>
      </c>
      <c r="Q116" t="s">
        <v>325</v>
      </c>
      <c r="R116" t="s">
        <v>308</v>
      </c>
    </row>
    <row r="117" spans="6:18" ht="15.75" x14ac:dyDescent="0.25">
      <c r="K117" s="21">
        <v>11507</v>
      </c>
      <c r="L117" s="53" t="s">
        <v>97</v>
      </c>
      <c r="M117">
        <v>11465</v>
      </c>
      <c r="N117">
        <v>11465</v>
      </c>
      <c r="O117">
        <v>11465</v>
      </c>
      <c r="P117">
        <v>11465</v>
      </c>
      <c r="Q117" t="s">
        <v>33</v>
      </c>
      <c r="R117" t="s">
        <v>308</v>
      </c>
    </row>
    <row r="118" spans="6:18" ht="15.75" x14ac:dyDescent="0.25">
      <c r="K118" s="21">
        <v>11445</v>
      </c>
      <c r="L118" s="7" t="s">
        <v>67</v>
      </c>
      <c r="M118">
        <v>11470</v>
      </c>
      <c r="N118">
        <v>11470</v>
      </c>
      <c r="O118">
        <v>11470</v>
      </c>
      <c r="P118">
        <v>11470</v>
      </c>
      <c r="Q118" t="s">
        <v>48</v>
      </c>
      <c r="R118" t="s">
        <v>308</v>
      </c>
    </row>
    <row r="119" spans="6:18" ht="15.75" x14ac:dyDescent="0.25">
      <c r="K119" s="21">
        <v>11432</v>
      </c>
      <c r="L119" s="7" t="s">
        <v>68</v>
      </c>
      <c r="M119">
        <v>11471</v>
      </c>
      <c r="N119">
        <v>11471</v>
      </c>
      <c r="O119">
        <v>11471</v>
      </c>
      <c r="P119">
        <v>11471</v>
      </c>
      <c r="Q119" t="s">
        <v>41</v>
      </c>
      <c r="R119" t="s">
        <v>308</v>
      </c>
    </row>
    <row r="120" spans="6:18" ht="15.75" x14ac:dyDescent="0.25">
      <c r="K120" s="21">
        <v>11422</v>
      </c>
      <c r="L120" s="7" t="s">
        <v>69</v>
      </c>
      <c r="M120">
        <v>11472</v>
      </c>
      <c r="N120">
        <v>11472</v>
      </c>
      <c r="O120">
        <v>11472</v>
      </c>
      <c r="P120">
        <v>11472</v>
      </c>
      <c r="Q120" t="s">
        <v>42</v>
      </c>
      <c r="R120" t="s">
        <v>308</v>
      </c>
    </row>
    <row r="121" spans="6:18" ht="15.75" x14ac:dyDescent="0.25">
      <c r="K121" s="46">
        <v>11522</v>
      </c>
      <c r="L121" s="48" t="s">
        <v>112</v>
      </c>
      <c r="M121">
        <v>11473</v>
      </c>
      <c r="N121">
        <v>11473</v>
      </c>
      <c r="O121">
        <v>11473</v>
      </c>
      <c r="P121">
        <v>11473</v>
      </c>
      <c r="Q121" t="s">
        <v>28</v>
      </c>
      <c r="R121" t="s">
        <v>308</v>
      </c>
    </row>
    <row r="122" spans="6:18" ht="15.75" x14ac:dyDescent="0.25">
      <c r="K122" s="21">
        <v>11506</v>
      </c>
      <c r="L122" s="53" t="s">
        <v>100</v>
      </c>
      <c r="M122">
        <v>11474</v>
      </c>
      <c r="N122">
        <v>11474</v>
      </c>
      <c r="O122">
        <v>11474</v>
      </c>
      <c r="P122">
        <v>11474</v>
      </c>
      <c r="Q122" t="s">
        <v>34</v>
      </c>
      <c r="R122" t="s">
        <v>308</v>
      </c>
    </row>
    <row r="123" spans="6:18" ht="15.75" x14ac:dyDescent="0.25">
      <c r="K123" s="21">
        <v>11478</v>
      </c>
      <c r="L123" s="7" t="s">
        <v>70</v>
      </c>
      <c r="M123">
        <v>11479</v>
      </c>
      <c r="N123">
        <v>11479</v>
      </c>
      <c r="O123">
        <v>11479</v>
      </c>
      <c r="P123">
        <v>11479</v>
      </c>
      <c r="Q123" t="s">
        <v>30</v>
      </c>
      <c r="R123" t="s">
        <v>308</v>
      </c>
    </row>
    <row r="124" spans="6:18" ht="15.75" x14ac:dyDescent="0.25">
      <c r="K124" s="21">
        <v>11477</v>
      </c>
      <c r="L124" s="53" t="s">
        <v>71</v>
      </c>
      <c r="M124">
        <v>11489</v>
      </c>
      <c r="N124">
        <v>11489</v>
      </c>
      <c r="O124">
        <v>11489</v>
      </c>
      <c r="P124">
        <v>11489</v>
      </c>
      <c r="Q124" t="s">
        <v>31</v>
      </c>
      <c r="R124" t="s">
        <v>308</v>
      </c>
    </row>
    <row r="125" spans="6:18" ht="15.75" x14ac:dyDescent="0.25">
      <c r="K125" s="21">
        <v>11520</v>
      </c>
      <c r="L125" s="53" t="s">
        <v>111</v>
      </c>
      <c r="M125">
        <v>11491</v>
      </c>
      <c r="N125">
        <v>11491</v>
      </c>
      <c r="O125">
        <v>11491</v>
      </c>
      <c r="P125">
        <v>11491</v>
      </c>
      <c r="Q125" t="s">
        <v>95</v>
      </c>
      <c r="R125" t="s">
        <v>308</v>
      </c>
    </row>
    <row r="126" spans="6:18" ht="15.75" x14ac:dyDescent="0.25">
      <c r="K126" s="46"/>
      <c r="L126" s="47" t="s">
        <v>110</v>
      </c>
      <c r="M126">
        <v>11492</v>
      </c>
      <c r="N126">
        <v>11492</v>
      </c>
      <c r="O126">
        <v>11492</v>
      </c>
      <c r="P126">
        <v>11492</v>
      </c>
      <c r="Q126" t="s">
        <v>94</v>
      </c>
      <c r="R126" t="s">
        <v>308</v>
      </c>
    </row>
    <row r="127" spans="6:18" ht="15.75" x14ac:dyDescent="0.25">
      <c r="K127" s="21">
        <v>11456</v>
      </c>
      <c r="L127" s="7" t="s">
        <v>72</v>
      </c>
      <c r="M127">
        <v>11503</v>
      </c>
      <c r="N127">
        <v>11503</v>
      </c>
      <c r="O127">
        <v>11503</v>
      </c>
      <c r="P127">
        <v>11503</v>
      </c>
      <c r="Q127" t="s">
        <v>16</v>
      </c>
      <c r="R127" t="s">
        <v>308</v>
      </c>
    </row>
    <row r="128" spans="6:18" ht="15.75" x14ac:dyDescent="0.25">
      <c r="K128" s="21">
        <v>11533</v>
      </c>
      <c r="L128" s="7" t="s">
        <v>154</v>
      </c>
    </row>
    <row r="129" spans="11:12" ht="15.75" x14ac:dyDescent="0.25">
      <c r="K129" s="21">
        <v>11444</v>
      </c>
      <c r="L129" s="7" t="s">
        <v>75</v>
      </c>
    </row>
    <row r="130" spans="11:12" ht="15.75" x14ac:dyDescent="0.25">
      <c r="K130" s="21">
        <v>11434</v>
      </c>
      <c r="L130" s="7" t="s">
        <v>76</v>
      </c>
    </row>
    <row r="131" spans="11:12" ht="15.75" x14ac:dyDescent="0.25">
      <c r="K131" s="21">
        <v>11455</v>
      </c>
      <c r="L131" s="7" t="s">
        <v>77</v>
      </c>
    </row>
    <row r="132" spans="11:12" ht="15.75" x14ac:dyDescent="0.25">
      <c r="K132" s="21">
        <v>11463</v>
      </c>
      <c r="L132" s="7" t="s">
        <v>79</v>
      </c>
    </row>
  </sheetData>
  <sortState xmlns:xlrd2="http://schemas.microsoft.com/office/spreadsheetml/2017/richdata2" ref="N3:R127">
    <sortCondition ref="R3:R127"/>
    <sortCondition ref="N3:N127"/>
  </sortState>
  <mergeCells count="8">
    <mergeCell ref="K99:L99"/>
    <mergeCell ref="G82:G113"/>
    <mergeCell ref="F51:F113"/>
    <mergeCell ref="G2:G16"/>
    <mergeCell ref="G17:G50"/>
    <mergeCell ref="G51:G81"/>
    <mergeCell ref="K21:L21"/>
    <mergeCell ref="K60:L60"/>
  </mergeCells>
  <conditionalFormatting sqref="K3:K17 N1:P2 N128:P1048576">
    <cfRule type="duplicateValues" dxfId="17" priority="5" stopIfTrue="1"/>
  </conditionalFormatting>
  <conditionalFormatting sqref="K3:K17 M1:M1048576">
    <cfRule type="duplicateValues" dxfId="16" priority="4"/>
  </conditionalFormatting>
  <conditionalFormatting sqref="K23:K56 N1:N1048576">
    <cfRule type="duplicateValues" dxfId="15" priority="3"/>
  </conditionalFormatting>
  <conditionalFormatting sqref="K62:K95 O1:O1048576">
    <cfRule type="duplicateValues" dxfId="14" priority="2"/>
  </conditionalFormatting>
  <conditionalFormatting sqref="K101:K132 P1:P1048576">
    <cfRule type="duplicateValues" dxfId="13" priority="1"/>
  </conditionalFormatting>
  <pageMargins left="0.7" right="0.7" top="0.75" bottom="0.75" header="0.3" footer="0.3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FB9C0AC-90EF-45EB-AA5E-04132018D97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18</vt:i4>
      </vt:variant>
    </vt:vector>
  </HeadingPairs>
  <TitlesOfParts>
    <vt:vector size="28" baseType="lpstr">
      <vt:lpstr>MES</vt:lpstr>
      <vt:lpstr>VARIABLES</vt:lpstr>
      <vt:lpstr>JORNADAS</vt:lpstr>
      <vt:lpstr>LLAMADOS</vt:lpstr>
      <vt:lpstr>Hoja_Base</vt:lpstr>
      <vt:lpstr>Fichaje</vt:lpstr>
      <vt:lpstr>TRABAJADORES</vt:lpstr>
      <vt:lpstr>MOBIBUK</vt:lpstr>
      <vt:lpstr>CONFIG</vt:lpstr>
      <vt:lpstr>Hoja1</vt:lpstr>
      <vt:lpstr>ANHO_LIBRO</vt:lpstr>
      <vt:lpstr>FACTOR_HORAS</vt:lpstr>
      <vt:lpstr>FESTIVOS</vt:lpstr>
      <vt:lpstr>FichajePath</vt:lpstr>
      <vt:lpstr>MobibukPath</vt:lpstr>
      <vt:lpstr>Nomina</vt:lpstr>
      <vt:lpstr>PathFichaje</vt:lpstr>
      <vt:lpstr>PathMobibuk</vt:lpstr>
      <vt:lpstr>PathTrabajadores</vt:lpstr>
      <vt:lpstr>TIPOS</vt:lpstr>
      <vt:lpstr>Total_Jornadas</vt:lpstr>
      <vt:lpstr>Total_Llamados</vt:lpstr>
      <vt:lpstr>Total_Variables</vt:lpstr>
      <vt:lpstr>Totales_Almacen</vt:lpstr>
      <vt:lpstr>Totales_GOB_I</vt:lpstr>
      <vt:lpstr>Totales_GOB_II</vt:lpstr>
      <vt:lpstr>Totales_La_Torre</vt:lpstr>
      <vt:lpstr>TrabajadoresPath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Navarro</dc:creator>
  <cp:lastModifiedBy>Miguel Antonio Lugo Zamora</cp:lastModifiedBy>
  <dcterms:created xsi:type="dcterms:W3CDTF">2024-04-09T09:30:15Z</dcterms:created>
  <dcterms:modified xsi:type="dcterms:W3CDTF">2024-10-13T20:20:16Z</dcterms:modified>
</cp:coreProperties>
</file>